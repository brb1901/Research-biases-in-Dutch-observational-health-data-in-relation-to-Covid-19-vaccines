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mb\bakkerrepo\techrepo\projects\Oversterfte\excel\"/>
    </mc:Choice>
  </mc:AlternateContent>
  <xr:revisionPtr revIDLastSave="0" documentId="13_ncr:1_{9CA33D63-7DAC-4895-8FC2-4F4DB906CC0B}" xr6:coauthVersionLast="47" xr6:coauthVersionMax="47" xr10:uidLastSave="{00000000-0000-0000-0000-000000000000}"/>
  <bookViews>
    <workbookView xWindow="14303" yWindow="-2985" windowWidth="28995" windowHeight="15675" xr2:uid="{07611BDC-0137-4DC9-85E6-87EE4F9334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6" i="1" l="1"/>
  <c r="C91" i="1"/>
  <c r="C86" i="1"/>
  <c r="E85" i="1"/>
  <c r="E84" i="1"/>
  <c r="D84" i="1"/>
  <c r="E83" i="1"/>
  <c r="D83" i="1"/>
  <c r="C82" i="1"/>
  <c r="E81" i="1"/>
  <c r="E80" i="1"/>
  <c r="D80" i="1"/>
  <c r="J89" i="1" s="1"/>
  <c r="E79" i="1"/>
  <c r="D79" i="1"/>
  <c r="C15" i="1"/>
  <c r="C10" i="1"/>
  <c r="E9" i="1"/>
  <c r="E8" i="1"/>
  <c r="E7" i="1"/>
  <c r="C6" i="1"/>
  <c r="E5" i="1"/>
  <c r="E4" i="1"/>
  <c r="D4" i="1"/>
  <c r="J13" i="1" s="1"/>
  <c r="E3" i="1"/>
  <c r="D3" i="1"/>
  <c r="C209" i="1"/>
  <c r="C204" i="1"/>
  <c r="E203" i="1"/>
  <c r="E202" i="1"/>
  <c r="E201" i="1"/>
  <c r="C200" i="1"/>
  <c r="E199" i="1"/>
  <c r="E198" i="1"/>
  <c r="D198" i="1"/>
  <c r="E197" i="1"/>
  <c r="D197" i="1"/>
  <c r="AA2" i="1"/>
  <c r="C140" i="1"/>
  <c r="J135" i="1"/>
  <c r="C135" i="1"/>
  <c r="E134" i="1"/>
  <c r="E133" i="1"/>
  <c r="E132" i="1"/>
  <c r="C131" i="1"/>
  <c r="E130" i="1"/>
  <c r="E129" i="1"/>
  <c r="E128" i="1"/>
  <c r="D128" i="1"/>
  <c r="C191" i="1"/>
  <c r="C186" i="1"/>
  <c r="E185" i="1"/>
  <c r="E184" i="1"/>
  <c r="E183" i="1"/>
  <c r="C182" i="1"/>
  <c r="E181" i="1"/>
  <c r="E180" i="1"/>
  <c r="E179" i="1"/>
  <c r="C74" i="1"/>
  <c r="C69" i="1"/>
  <c r="E69" i="1" s="1"/>
  <c r="E68" i="1"/>
  <c r="D68" i="1"/>
  <c r="D74" i="1" s="1"/>
  <c r="E67" i="1"/>
  <c r="D67" i="1"/>
  <c r="E74" i="1" s="1"/>
  <c r="E66" i="1"/>
  <c r="D66" i="1"/>
  <c r="D69" i="1" s="1"/>
  <c r="E65" i="1"/>
  <c r="E71" i="1" s="1"/>
  <c r="C65" i="1"/>
  <c r="C71" i="1" s="1"/>
  <c r="C72" i="1" s="1"/>
  <c r="D72" i="1" s="1"/>
  <c r="E64" i="1"/>
  <c r="D64" i="1"/>
  <c r="J73" i="1" s="1"/>
  <c r="E63" i="1"/>
  <c r="D63" i="1"/>
  <c r="J72" i="1" s="1"/>
  <c r="E62" i="1"/>
  <c r="D62" i="1"/>
  <c r="C174" i="1"/>
  <c r="C169" i="1"/>
  <c r="E168" i="1"/>
  <c r="E167" i="1"/>
  <c r="E166" i="1"/>
  <c r="C165" i="1"/>
  <c r="E164" i="1"/>
  <c r="E163" i="1"/>
  <c r="E162" i="1"/>
  <c r="C157" i="1"/>
  <c r="C152" i="1"/>
  <c r="E151" i="1"/>
  <c r="E150" i="1"/>
  <c r="E149" i="1"/>
  <c r="C148" i="1"/>
  <c r="E147" i="1"/>
  <c r="E146" i="1"/>
  <c r="E145" i="1"/>
  <c r="C123" i="1"/>
  <c r="C118" i="1"/>
  <c r="E117" i="1"/>
  <c r="E116" i="1"/>
  <c r="D116" i="1"/>
  <c r="E115" i="1"/>
  <c r="D115" i="1"/>
  <c r="C114" i="1"/>
  <c r="E113" i="1"/>
  <c r="E112" i="1"/>
  <c r="E111" i="1"/>
  <c r="C107" i="1"/>
  <c r="C102" i="1"/>
  <c r="E101" i="1"/>
  <c r="D101" i="1"/>
  <c r="E100" i="1"/>
  <c r="D100" i="1"/>
  <c r="E99" i="1"/>
  <c r="D99" i="1"/>
  <c r="C98" i="1"/>
  <c r="E97" i="1"/>
  <c r="D97" i="1"/>
  <c r="E96" i="1"/>
  <c r="D96" i="1"/>
  <c r="E95" i="1"/>
  <c r="D95" i="1"/>
  <c r="N3" i="1"/>
  <c r="E86" i="1" l="1"/>
  <c r="D85" i="1"/>
  <c r="C88" i="1"/>
  <c r="C89" i="1" s="1"/>
  <c r="D89" i="1" s="1"/>
  <c r="E82" i="1"/>
  <c r="E88" i="1" s="1"/>
  <c r="D81" i="1"/>
  <c r="J90" i="1" s="1"/>
  <c r="G82" i="1"/>
  <c r="J88" i="1"/>
  <c r="J91" i="1" s="1"/>
  <c r="D82" i="1"/>
  <c r="E10" i="1"/>
  <c r="D9" i="1"/>
  <c r="D8" i="1"/>
  <c r="D7" i="1"/>
  <c r="D10" i="1" s="1"/>
  <c r="C12" i="1"/>
  <c r="C13" i="1" s="1"/>
  <c r="D13" i="1" s="1"/>
  <c r="D5" i="1"/>
  <c r="J14" i="1" s="1"/>
  <c r="E6" i="1"/>
  <c r="E12" i="1" s="1"/>
  <c r="J12" i="1"/>
  <c r="J15" i="1" s="1"/>
  <c r="G6" i="1"/>
  <c r="D6" i="1"/>
  <c r="D201" i="1"/>
  <c r="E204" i="1"/>
  <c r="D202" i="1"/>
  <c r="D203" i="1"/>
  <c r="E200" i="1"/>
  <c r="E206" i="1" s="1"/>
  <c r="C206" i="1"/>
  <c r="C207" i="1" s="1"/>
  <c r="D207" i="1" s="1"/>
  <c r="D199" i="1"/>
  <c r="G200" i="1"/>
  <c r="D200" i="1"/>
  <c r="E135" i="1"/>
  <c r="D134" i="1"/>
  <c r="D133" i="1"/>
  <c r="D132" i="1"/>
  <c r="D135" i="1" s="1"/>
  <c r="E131" i="1"/>
  <c r="E137" i="1" s="1"/>
  <c r="C137" i="1"/>
  <c r="C138" i="1" s="1"/>
  <c r="D138" i="1" s="1"/>
  <c r="D130" i="1"/>
  <c r="D129" i="1"/>
  <c r="G131" i="1"/>
  <c r="D131" i="1"/>
  <c r="D185" i="1"/>
  <c r="D183" i="1"/>
  <c r="E186" i="1"/>
  <c r="D184" i="1"/>
  <c r="C188" i="1"/>
  <c r="C189" i="1" s="1"/>
  <c r="D189" i="1" s="1"/>
  <c r="D181" i="1"/>
  <c r="E182" i="1"/>
  <c r="E188" i="1" s="1"/>
  <c r="D180" i="1"/>
  <c r="D179" i="1"/>
  <c r="J71" i="1"/>
  <c r="J74" i="1" s="1"/>
  <c r="G65" i="1"/>
  <c r="D65" i="1"/>
  <c r="AI2" i="1"/>
  <c r="AI3" i="1" s="1"/>
  <c r="Z2" i="1"/>
  <c r="Z3" i="1" s="1"/>
  <c r="Z4" i="1" s="1"/>
  <c r="Z5" i="1" s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65" i="1" s="1"/>
  <c r="Z66" i="1" s="1"/>
  <c r="Z67" i="1" s="1"/>
  <c r="Z68" i="1" s="1"/>
  <c r="Z69" i="1" s="1"/>
  <c r="Z70" i="1" s="1"/>
  <c r="Z71" i="1" s="1"/>
  <c r="Z72" i="1" s="1"/>
  <c r="Z73" i="1" s="1"/>
  <c r="Z74" i="1" s="1"/>
  <c r="Z75" i="1" s="1"/>
  <c r="Z76" i="1" s="1"/>
  <c r="Z77" i="1" s="1"/>
  <c r="Z78" i="1" s="1"/>
  <c r="Z79" i="1" s="1"/>
  <c r="Z80" i="1" s="1"/>
  <c r="Z81" i="1" s="1"/>
  <c r="Z82" i="1" s="1"/>
  <c r="Z83" i="1" s="1"/>
  <c r="Z84" i="1" s="1"/>
  <c r="Z85" i="1" s="1"/>
  <c r="Z86" i="1" s="1"/>
  <c r="Z87" i="1" s="1"/>
  <c r="Z88" i="1" s="1"/>
  <c r="Z89" i="1" s="1"/>
  <c r="Z90" i="1" s="1"/>
  <c r="Z91" i="1" s="1"/>
  <c r="Z92" i="1" s="1"/>
  <c r="Z93" i="1" s="1"/>
  <c r="Z94" i="1" s="1"/>
  <c r="Z95" i="1" s="1"/>
  <c r="Z96" i="1" s="1"/>
  <c r="Z97" i="1" s="1"/>
  <c r="Z98" i="1" s="1"/>
  <c r="Z99" i="1" s="1"/>
  <c r="Z100" i="1" s="1"/>
  <c r="Z101" i="1" s="1"/>
  <c r="Z102" i="1" s="1"/>
  <c r="Z103" i="1" s="1"/>
  <c r="Z104" i="1" s="1"/>
  <c r="Z105" i="1" s="1"/>
  <c r="Z106" i="1" s="1"/>
  <c r="Z107" i="1" s="1"/>
  <c r="Z108" i="1" s="1"/>
  <c r="Z109" i="1" s="1"/>
  <c r="Z110" i="1" s="1"/>
  <c r="Z111" i="1" s="1"/>
  <c r="Z112" i="1" s="1"/>
  <c r="Z113" i="1" s="1"/>
  <c r="Z114" i="1" s="1"/>
  <c r="Z115" i="1" s="1"/>
  <c r="E107" i="1"/>
  <c r="D107" i="1"/>
  <c r="E169" i="1"/>
  <c r="D166" i="1"/>
  <c r="D164" i="1"/>
  <c r="D163" i="1"/>
  <c r="C171" i="1"/>
  <c r="C172" i="1" s="1"/>
  <c r="D172" i="1" s="1"/>
  <c r="D168" i="1"/>
  <c r="D174" i="1" s="1"/>
  <c r="D167" i="1"/>
  <c r="E174" i="1" s="1"/>
  <c r="E165" i="1"/>
  <c r="E171" i="1" s="1"/>
  <c r="D162" i="1"/>
  <c r="C154" i="1"/>
  <c r="C155" i="1" s="1"/>
  <c r="E152" i="1"/>
  <c r="E148" i="1"/>
  <c r="E154" i="1" s="1"/>
  <c r="D147" i="1"/>
  <c r="D146" i="1"/>
  <c r="D145" i="1"/>
  <c r="D155" i="1"/>
  <c r="D151" i="1"/>
  <c r="D157" i="1" s="1"/>
  <c r="D150" i="1"/>
  <c r="E157" i="1" s="1"/>
  <c r="D149" i="1"/>
  <c r="D152" i="1" s="1"/>
  <c r="C120" i="1"/>
  <c r="C121" i="1" s="1"/>
  <c r="D121" i="1" s="1"/>
  <c r="E118" i="1"/>
  <c r="D113" i="1"/>
  <c r="D112" i="1"/>
  <c r="E114" i="1"/>
  <c r="D117" i="1"/>
  <c r="D123" i="1" s="1"/>
  <c r="D111" i="1"/>
  <c r="AH2" i="1"/>
  <c r="AH3" i="1" s="1"/>
  <c r="C104" i="1"/>
  <c r="C105" i="1" s="1"/>
  <c r="D105" i="1" s="1"/>
  <c r="E102" i="1"/>
  <c r="D102" i="1"/>
  <c r="G98" i="1"/>
  <c r="E98" i="1"/>
  <c r="E104" i="1" s="1"/>
  <c r="D98" i="1"/>
  <c r="Y2" i="1"/>
  <c r="U2" i="1"/>
  <c r="V2" i="1" s="1"/>
  <c r="W2" i="1" s="1"/>
  <c r="O2" i="1"/>
  <c r="N4" i="1"/>
  <c r="R2" i="1"/>
  <c r="S2" i="1" s="1"/>
  <c r="T2" i="1" s="1"/>
  <c r="AA3" i="1"/>
  <c r="AG2" i="1"/>
  <c r="AG3" i="1" s="1"/>
  <c r="AG4" i="1" s="1"/>
  <c r="E91" i="1" l="1"/>
  <c r="D91" i="1"/>
  <c r="E15" i="1"/>
  <c r="D15" i="1"/>
  <c r="D204" i="1"/>
  <c r="H204" i="1"/>
  <c r="J204" i="1" s="1"/>
  <c r="H205" i="1"/>
  <c r="J205" i="1" s="1"/>
  <c r="E209" i="1"/>
  <c r="D209" i="1"/>
  <c r="D140" i="1"/>
  <c r="E140" i="1"/>
  <c r="H186" i="1"/>
  <c r="J186" i="1" s="1"/>
  <c r="H187" i="1"/>
  <c r="D186" i="1"/>
  <c r="D182" i="1"/>
  <c r="G182" i="1"/>
  <c r="D191" i="1"/>
  <c r="E191" i="1"/>
  <c r="Z116" i="1"/>
  <c r="E123" i="1"/>
  <c r="G165" i="1"/>
  <c r="D165" i="1"/>
  <c r="D169" i="1"/>
  <c r="G148" i="1"/>
  <c r="D148" i="1"/>
  <c r="E120" i="1"/>
  <c r="D114" i="1"/>
  <c r="G114" i="1"/>
  <c r="D118" i="1"/>
  <c r="AH4" i="1"/>
  <c r="AI4" i="1"/>
  <c r="AG5" i="1"/>
  <c r="U3" i="1"/>
  <c r="R3" i="1"/>
  <c r="P2" i="1"/>
  <c r="N5" i="1"/>
  <c r="AA4" i="1"/>
  <c r="Z117" i="1" l="1"/>
  <c r="Z118" i="1" s="1"/>
  <c r="AG6" i="1"/>
  <c r="AG7" i="1" s="1"/>
  <c r="AG8" i="1" s="1"/>
  <c r="AG9" i="1" s="1"/>
  <c r="AG10" i="1" s="1"/>
  <c r="AG11" i="1" s="1"/>
  <c r="AG12" i="1" s="1"/>
  <c r="AG13" i="1" s="1"/>
  <c r="AG14" i="1" s="1"/>
  <c r="AG15" i="1" s="1"/>
  <c r="AG16" i="1" s="1"/>
  <c r="AG17" i="1" s="1"/>
  <c r="AG18" i="1" s="1"/>
  <c r="AG19" i="1" s="1"/>
  <c r="AG20" i="1" s="1"/>
  <c r="AG21" i="1" s="1"/>
  <c r="AG22" i="1" s="1"/>
  <c r="AG23" i="1" s="1"/>
  <c r="AG24" i="1" s="1"/>
  <c r="AG25" i="1" s="1"/>
  <c r="AG26" i="1" s="1"/>
  <c r="AG27" i="1" s="1"/>
  <c r="AG28" i="1" s="1"/>
  <c r="AG29" i="1" s="1"/>
  <c r="AG30" i="1" s="1"/>
  <c r="AG31" i="1" s="1"/>
  <c r="AG32" i="1" s="1"/>
  <c r="AG33" i="1" s="1"/>
  <c r="AG34" i="1" s="1"/>
  <c r="AG35" i="1" s="1"/>
  <c r="AG36" i="1" s="1"/>
  <c r="AG37" i="1" s="1"/>
  <c r="AG38" i="1" s="1"/>
  <c r="AG39" i="1" s="1"/>
  <c r="AI5" i="1"/>
  <c r="AI6" i="1" s="1"/>
  <c r="AH5" i="1"/>
  <c r="AH6" i="1" s="1"/>
  <c r="AH7" i="1" s="1"/>
  <c r="S3" i="1"/>
  <c r="T3" i="1" s="1"/>
  <c r="V3" i="1"/>
  <c r="W3" i="1" s="1"/>
  <c r="Q2" i="1"/>
  <c r="N6" i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AA5" i="1"/>
  <c r="Z119" i="1" l="1"/>
  <c r="Z120" i="1" s="1"/>
  <c r="Z121" i="1" s="1"/>
  <c r="Z122" i="1" s="1"/>
  <c r="Z123" i="1" s="1"/>
  <c r="Z124" i="1" s="1"/>
  <c r="Z125" i="1" s="1"/>
  <c r="Z126" i="1" s="1"/>
  <c r="Z127" i="1" s="1"/>
  <c r="Z128" i="1" s="1"/>
  <c r="Z129" i="1" s="1"/>
  <c r="Z130" i="1" s="1"/>
  <c r="Z131" i="1" s="1"/>
  <c r="Z132" i="1" s="1"/>
  <c r="Z133" i="1" s="1"/>
  <c r="Z134" i="1" s="1"/>
  <c r="Z135" i="1" s="1"/>
  <c r="Z136" i="1" s="1"/>
  <c r="Z137" i="1" s="1"/>
  <c r="Z138" i="1" s="1"/>
  <c r="Z139" i="1" s="1"/>
  <c r="Z140" i="1" s="1"/>
  <c r="Z141" i="1" s="1"/>
  <c r="Z142" i="1" s="1"/>
  <c r="Z143" i="1" s="1"/>
  <c r="Z144" i="1" s="1"/>
  <c r="Z145" i="1" s="1"/>
  <c r="Z146" i="1" s="1"/>
  <c r="Z147" i="1" s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Z174" i="1" s="1"/>
  <c r="Z175" i="1" s="1"/>
  <c r="Z176" i="1" s="1"/>
  <c r="Z177" i="1" s="1"/>
  <c r="Z178" i="1" s="1"/>
  <c r="Z179" i="1" s="1"/>
  <c r="Z180" i="1" s="1"/>
  <c r="Z181" i="1" s="1"/>
  <c r="Z182" i="1" s="1"/>
  <c r="Z183" i="1" s="1"/>
  <c r="Z184" i="1" s="1"/>
  <c r="Z185" i="1" s="1"/>
  <c r="Z186" i="1" s="1"/>
  <c r="Z187" i="1" s="1"/>
  <c r="Z188" i="1" s="1"/>
  <c r="Z189" i="1" s="1"/>
  <c r="Z190" i="1" s="1"/>
  <c r="Z191" i="1" s="1"/>
  <c r="Z192" i="1" s="1"/>
  <c r="Z193" i="1" s="1"/>
  <c r="Z194" i="1" s="1"/>
  <c r="Z195" i="1" s="1"/>
  <c r="Z196" i="1" s="1"/>
  <c r="Z197" i="1" s="1"/>
  <c r="Z198" i="1" s="1"/>
  <c r="Z199" i="1" s="1"/>
  <c r="Z200" i="1" s="1"/>
  <c r="Z201" i="1" s="1"/>
  <c r="Z202" i="1" s="1"/>
  <c r="Z203" i="1" s="1"/>
  <c r="Z204" i="1" s="1"/>
  <c r="Z205" i="1" s="1"/>
  <c r="Z206" i="1" s="1"/>
  <c r="Z207" i="1" s="1"/>
  <c r="Z208" i="1" s="1"/>
  <c r="Z209" i="1" s="1"/>
  <c r="Z210" i="1" s="1"/>
  <c r="Z211" i="1" s="1"/>
  <c r="Z212" i="1" s="1"/>
  <c r="Z213" i="1" s="1"/>
  <c r="Z214" i="1" s="1"/>
  <c r="Z215" i="1" s="1"/>
  <c r="Z216" i="1" s="1"/>
  <c r="Z217" i="1" s="1"/>
  <c r="Z218" i="1" s="1"/>
  <c r="Z219" i="1" s="1"/>
  <c r="Z220" i="1" s="1"/>
  <c r="Z221" i="1" s="1"/>
  <c r="Z222" i="1" s="1"/>
  <c r="Z223" i="1" s="1"/>
  <c r="Z224" i="1" s="1"/>
  <c r="Z225" i="1" s="1"/>
  <c r="Z226" i="1" s="1"/>
  <c r="Z227" i="1" s="1"/>
  <c r="Z228" i="1" s="1"/>
  <c r="Z229" i="1" s="1"/>
  <c r="Z230" i="1" s="1"/>
  <c r="Z231" i="1" s="1"/>
  <c r="Z232" i="1" s="1"/>
  <c r="Z233" i="1" s="1"/>
  <c r="Z234" i="1" s="1"/>
  <c r="Z235" i="1" s="1"/>
  <c r="Z236" i="1" s="1"/>
  <c r="Z237" i="1" s="1"/>
  <c r="Z238" i="1" s="1"/>
  <c r="Z239" i="1" s="1"/>
  <c r="Z240" i="1" s="1"/>
  <c r="Z241" i="1" s="1"/>
  <c r="Z242" i="1" s="1"/>
  <c r="Z243" i="1" s="1"/>
  <c r="Z244" i="1" s="1"/>
  <c r="Z245" i="1" s="1"/>
  <c r="Z246" i="1" s="1"/>
  <c r="Z247" i="1" s="1"/>
  <c r="Z248" i="1" s="1"/>
  <c r="Z249" i="1" s="1"/>
  <c r="Z250" i="1" s="1"/>
  <c r="Z251" i="1" s="1"/>
  <c r="Z252" i="1" s="1"/>
  <c r="Z253" i="1" s="1"/>
  <c r="Z254" i="1" s="1"/>
  <c r="Z255" i="1" s="1"/>
  <c r="Z256" i="1" s="1"/>
  <c r="Z257" i="1" s="1"/>
  <c r="Z258" i="1" s="1"/>
  <c r="Z259" i="1" s="1"/>
  <c r="Z260" i="1" s="1"/>
  <c r="Z261" i="1" s="1"/>
  <c r="Z262" i="1" s="1"/>
  <c r="Z263" i="1" s="1"/>
  <c r="Z264" i="1" s="1"/>
  <c r="Z265" i="1" s="1"/>
  <c r="Z266" i="1" s="1"/>
  <c r="Z267" i="1" s="1"/>
  <c r="Z268" i="1" s="1"/>
  <c r="Z269" i="1" s="1"/>
  <c r="Z270" i="1" s="1"/>
  <c r="Z271" i="1" s="1"/>
  <c r="Z272" i="1" s="1"/>
  <c r="Z273" i="1" s="1"/>
  <c r="Z274" i="1" s="1"/>
  <c r="Z275" i="1" s="1"/>
  <c r="Z276" i="1" s="1"/>
  <c r="Z277" i="1" s="1"/>
  <c r="Z278" i="1" s="1"/>
  <c r="Z279" i="1" s="1"/>
  <c r="Z280" i="1" s="1"/>
  <c r="Z281" i="1" s="1"/>
  <c r="Z282" i="1" s="1"/>
  <c r="Z283" i="1" s="1"/>
  <c r="Z284" i="1" s="1"/>
  <c r="Z285" i="1" s="1"/>
  <c r="Z286" i="1" s="1"/>
  <c r="Z287" i="1" s="1"/>
  <c r="Z288" i="1" s="1"/>
  <c r="Z289" i="1" s="1"/>
  <c r="Z290" i="1" s="1"/>
  <c r="Z291" i="1" s="1"/>
  <c r="Z292" i="1" s="1"/>
  <c r="Z293" i="1" s="1"/>
  <c r="Z294" i="1" s="1"/>
  <c r="Z295" i="1" s="1"/>
  <c r="Z296" i="1" s="1"/>
  <c r="Z297" i="1" s="1"/>
  <c r="Z298" i="1" s="1"/>
  <c r="Z299" i="1" s="1"/>
  <c r="Z300" i="1" s="1"/>
  <c r="Z301" i="1" s="1"/>
  <c r="Z302" i="1" s="1"/>
  <c r="Z303" i="1" s="1"/>
  <c r="Z304" i="1" s="1"/>
  <c r="Z305" i="1" s="1"/>
  <c r="Z306" i="1" s="1"/>
  <c r="Z307" i="1" s="1"/>
  <c r="Z308" i="1" s="1"/>
  <c r="Z309" i="1" s="1"/>
  <c r="Z310" i="1" s="1"/>
  <c r="Z311" i="1" s="1"/>
  <c r="Z312" i="1" s="1"/>
  <c r="Z313" i="1" s="1"/>
  <c r="Z314" i="1" s="1"/>
  <c r="Z315" i="1" s="1"/>
  <c r="Z316" i="1" s="1"/>
  <c r="Z317" i="1" s="1"/>
  <c r="Z318" i="1" s="1"/>
  <c r="Z319" i="1" s="1"/>
  <c r="Z320" i="1" s="1"/>
  <c r="Z321" i="1" s="1"/>
  <c r="Z322" i="1" s="1"/>
  <c r="Z323" i="1" s="1"/>
  <c r="Z324" i="1" s="1"/>
  <c r="Z325" i="1" s="1"/>
  <c r="Z326" i="1" s="1"/>
  <c r="Z327" i="1" s="1"/>
  <c r="Z328" i="1" s="1"/>
  <c r="Z329" i="1" s="1"/>
  <c r="Z330" i="1" s="1"/>
  <c r="Z331" i="1" s="1"/>
  <c r="Z332" i="1" s="1"/>
  <c r="Z333" i="1" s="1"/>
  <c r="Z334" i="1" s="1"/>
  <c r="Z335" i="1" s="1"/>
  <c r="Z336" i="1" s="1"/>
  <c r="Z337" i="1" s="1"/>
  <c r="Z338" i="1" s="1"/>
  <c r="Z339" i="1" s="1"/>
  <c r="Z340" i="1" s="1"/>
  <c r="Z341" i="1" s="1"/>
  <c r="Z342" i="1" s="1"/>
  <c r="Z343" i="1" s="1"/>
  <c r="Z344" i="1" s="1"/>
  <c r="Z345" i="1" s="1"/>
  <c r="Z346" i="1" s="1"/>
  <c r="Z347" i="1" s="1"/>
  <c r="Z348" i="1" s="1"/>
  <c r="Z349" i="1" s="1"/>
  <c r="Z350" i="1" s="1"/>
  <c r="Z351" i="1" s="1"/>
  <c r="Z352" i="1" s="1"/>
  <c r="Z353" i="1" s="1"/>
  <c r="Z354" i="1" s="1"/>
  <c r="Z355" i="1" s="1"/>
  <c r="Z356" i="1" s="1"/>
  <c r="Z357" i="1" s="1"/>
  <c r="Z358" i="1" s="1"/>
  <c r="Z359" i="1" s="1"/>
  <c r="Z360" i="1" s="1"/>
  <c r="Z361" i="1" s="1"/>
  <c r="Z362" i="1" s="1"/>
  <c r="Z363" i="1" s="1"/>
  <c r="Z364" i="1" s="1"/>
  <c r="Z365" i="1" s="1"/>
  <c r="Z366" i="1" s="1"/>
  <c r="Z367" i="1" s="1"/>
  <c r="Z368" i="1" s="1"/>
  <c r="Z369" i="1" s="1"/>
  <c r="Z370" i="1" s="1"/>
  <c r="Z371" i="1" s="1"/>
  <c r="Z372" i="1" s="1"/>
  <c r="Z373" i="1" s="1"/>
  <c r="Z374" i="1" s="1"/>
  <c r="Z375" i="1" s="1"/>
  <c r="Z376" i="1" s="1"/>
  <c r="Z377" i="1" s="1"/>
  <c r="Z378" i="1" s="1"/>
  <c r="Z379" i="1" s="1"/>
  <c r="Z380" i="1" s="1"/>
  <c r="Z381" i="1" s="1"/>
  <c r="Z382" i="1" s="1"/>
  <c r="Z383" i="1" s="1"/>
  <c r="Z384" i="1" s="1"/>
  <c r="Z385" i="1" s="1"/>
  <c r="Z386" i="1" s="1"/>
  <c r="Z387" i="1" s="1"/>
  <c r="Z388" i="1" s="1"/>
  <c r="Z389" i="1" s="1"/>
  <c r="Z390" i="1" s="1"/>
  <c r="Z391" i="1" s="1"/>
  <c r="Z392" i="1" s="1"/>
  <c r="Z393" i="1" s="1"/>
  <c r="Z394" i="1" s="1"/>
  <c r="Z395" i="1" s="1"/>
  <c r="Z396" i="1" s="1"/>
  <c r="Z397" i="1" s="1"/>
  <c r="Z398" i="1" s="1"/>
  <c r="Z399" i="1" s="1"/>
  <c r="Z400" i="1" s="1"/>
  <c r="Z401" i="1" s="1"/>
  <c r="Z402" i="1" s="1"/>
  <c r="Z403" i="1" s="1"/>
  <c r="Z404" i="1" s="1"/>
  <c r="Z405" i="1" s="1"/>
  <c r="Z406" i="1" s="1"/>
  <c r="Z407" i="1" s="1"/>
  <c r="Z408" i="1" s="1"/>
  <c r="Z409" i="1" s="1"/>
  <c r="Z410" i="1" s="1"/>
  <c r="Z411" i="1" s="1"/>
  <c r="Z412" i="1" s="1"/>
  <c r="Z413" i="1" s="1"/>
  <c r="Z414" i="1" s="1"/>
  <c r="Z415" i="1" s="1"/>
  <c r="Z416" i="1" s="1"/>
  <c r="Z417" i="1" s="1"/>
  <c r="Z418" i="1" s="1"/>
  <c r="Z419" i="1" s="1"/>
  <c r="Z420" i="1" s="1"/>
  <c r="Z421" i="1" s="1"/>
  <c r="Z422" i="1" s="1"/>
  <c r="Z423" i="1" s="1"/>
  <c r="Z424" i="1" s="1"/>
  <c r="Z425" i="1" s="1"/>
  <c r="Z426" i="1" s="1"/>
  <c r="Z427" i="1" s="1"/>
  <c r="Z428" i="1" s="1"/>
  <c r="Z429" i="1" s="1"/>
  <c r="Z430" i="1" s="1"/>
  <c r="Z431" i="1" s="1"/>
  <c r="Z432" i="1" s="1"/>
  <c r="Z433" i="1" s="1"/>
  <c r="Z434" i="1" s="1"/>
  <c r="Z435" i="1" s="1"/>
  <c r="Z436" i="1" s="1"/>
  <c r="Z437" i="1" s="1"/>
  <c r="Z438" i="1" s="1"/>
  <c r="Z439" i="1" s="1"/>
  <c r="Z440" i="1" s="1"/>
  <c r="Z441" i="1" s="1"/>
  <c r="Z442" i="1" s="1"/>
  <c r="Z443" i="1" s="1"/>
  <c r="Z444" i="1" s="1"/>
  <c r="Z445" i="1" s="1"/>
  <c r="Z446" i="1" s="1"/>
  <c r="Z447" i="1" s="1"/>
  <c r="Z448" i="1" s="1"/>
  <c r="Z449" i="1" s="1"/>
  <c r="Z450" i="1" s="1"/>
  <c r="Z451" i="1" s="1"/>
  <c r="Z452" i="1" s="1"/>
  <c r="Z453" i="1" s="1"/>
  <c r="Z454" i="1" s="1"/>
  <c r="Z455" i="1" s="1"/>
  <c r="Z456" i="1" s="1"/>
  <c r="Z457" i="1" s="1"/>
  <c r="Z458" i="1" s="1"/>
  <c r="Z459" i="1" s="1"/>
  <c r="Z460" i="1" s="1"/>
  <c r="Z461" i="1" s="1"/>
  <c r="Z462" i="1" s="1"/>
  <c r="Z463" i="1" s="1"/>
  <c r="Z464" i="1" s="1"/>
  <c r="Z465" i="1" s="1"/>
  <c r="Z466" i="1" s="1"/>
  <c r="Z467" i="1" s="1"/>
  <c r="Z468" i="1" s="1"/>
  <c r="Z469" i="1" s="1"/>
  <c r="Z470" i="1" s="1"/>
  <c r="Z471" i="1" s="1"/>
  <c r="Z472" i="1" s="1"/>
  <c r="Z473" i="1" s="1"/>
  <c r="Z474" i="1" s="1"/>
  <c r="Z475" i="1" s="1"/>
  <c r="Z476" i="1" s="1"/>
  <c r="Z477" i="1" s="1"/>
  <c r="Z478" i="1" s="1"/>
  <c r="Z479" i="1" s="1"/>
  <c r="Z480" i="1" s="1"/>
  <c r="Z481" i="1" s="1"/>
  <c r="Z482" i="1" s="1"/>
  <c r="Z483" i="1" s="1"/>
  <c r="Z484" i="1" s="1"/>
  <c r="Z485" i="1" s="1"/>
  <c r="Z486" i="1" s="1"/>
  <c r="Z487" i="1" s="1"/>
  <c r="Z488" i="1" s="1"/>
  <c r="Z489" i="1" s="1"/>
  <c r="Z490" i="1" s="1"/>
  <c r="Z491" i="1" s="1"/>
  <c r="Z492" i="1" s="1"/>
  <c r="Z493" i="1" s="1"/>
  <c r="Z494" i="1" s="1"/>
  <c r="Z495" i="1" s="1"/>
  <c r="Z496" i="1" s="1"/>
  <c r="Z497" i="1" s="1"/>
  <c r="Z498" i="1" s="1"/>
  <c r="Z499" i="1" s="1"/>
  <c r="Z500" i="1" s="1"/>
  <c r="Z501" i="1" s="1"/>
  <c r="Z502" i="1" s="1"/>
  <c r="Z503" i="1" s="1"/>
  <c r="Z504" i="1" s="1"/>
  <c r="Z505" i="1" s="1"/>
  <c r="Z506" i="1" s="1"/>
  <c r="Z507" i="1" s="1"/>
  <c r="Z508" i="1" s="1"/>
  <c r="Z509" i="1" s="1"/>
  <c r="Z510" i="1" s="1"/>
  <c r="Z511" i="1" s="1"/>
  <c r="Z512" i="1" s="1"/>
  <c r="Z513" i="1" s="1"/>
  <c r="Z514" i="1" s="1"/>
  <c r="Z515" i="1" s="1"/>
  <c r="Z516" i="1" s="1"/>
  <c r="Z517" i="1" s="1"/>
  <c r="Z518" i="1" s="1"/>
  <c r="Z519" i="1" s="1"/>
  <c r="Z520" i="1" s="1"/>
  <c r="Z521" i="1" s="1"/>
  <c r="Z522" i="1" s="1"/>
  <c r="Z523" i="1" s="1"/>
  <c r="Z524" i="1" s="1"/>
  <c r="Z525" i="1" s="1"/>
  <c r="Z526" i="1" s="1"/>
  <c r="Z527" i="1" s="1"/>
  <c r="Z528" i="1" s="1"/>
  <c r="Z529" i="1" s="1"/>
  <c r="Z530" i="1" s="1"/>
  <c r="Z531" i="1" s="1"/>
  <c r="Z532" i="1" s="1"/>
  <c r="Z533" i="1" s="1"/>
  <c r="Z534" i="1" s="1"/>
  <c r="Z535" i="1" s="1"/>
  <c r="Z536" i="1" s="1"/>
  <c r="Z537" i="1" s="1"/>
  <c r="Z538" i="1" s="1"/>
  <c r="Z539" i="1" s="1"/>
  <c r="Z540" i="1" s="1"/>
  <c r="Z541" i="1" s="1"/>
  <c r="Z542" i="1" s="1"/>
  <c r="Z543" i="1" s="1"/>
  <c r="Z544" i="1" s="1"/>
  <c r="Z545" i="1" s="1"/>
  <c r="Z546" i="1" s="1"/>
  <c r="Z547" i="1" s="1"/>
  <c r="Z548" i="1" s="1"/>
  <c r="Z549" i="1" s="1"/>
  <c r="Z550" i="1" s="1"/>
  <c r="Z551" i="1" s="1"/>
  <c r="Z552" i="1" s="1"/>
  <c r="Z553" i="1" s="1"/>
  <c r="Z554" i="1" s="1"/>
  <c r="Z555" i="1" s="1"/>
  <c r="Z556" i="1" s="1"/>
  <c r="Z557" i="1" s="1"/>
  <c r="Z558" i="1" s="1"/>
  <c r="Z559" i="1" s="1"/>
  <c r="Z560" i="1" s="1"/>
  <c r="Z561" i="1" s="1"/>
  <c r="Z562" i="1" s="1"/>
  <c r="Z563" i="1" s="1"/>
  <c r="Z564" i="1" s="1"/>
  <c r="Z565" i="1" s="1"/>
  <c r="Z566" i="1" s="1"/>
  <c r="Z567" i="1" s="1"/>
  <c r="Z568" i="1" s="1"/>
  <c r="Z569" i="1" s="1"/>
  <c r="Z570" i="1" s="1"/>
  <c r="Z571" i="1" s="1"/>
  <c r="Z572" i="1" s="1"/>
  <c r="Z573" i="1" s="1"/>
  <c r="Z574" i="1" s="1"/>
  <c r="Z575" i="1" s="1"/>
  <c r="Z576" i="1" s="1"/>
  <c r="Z577" i="1" s="1"/>
  <c r="Z578" i="1" s="1"/>
  <c r="Z579" i="1" s="1"/>
  <c r="Z580" i="1" s="1"/>
  <c r="Z581" i="1" s="1"/>
  <c r="Z582" i="1" s="1"/>
  <c r="Z583" i="1" s="1"/>
  <c r="Z584" i="1" s="1"/>
  <c r="Z585" i="1" s="1"/>
  <c r="Z586" i="1" s="1"/>
  <c r="Z587" i="1" s="1"/>
  <c r="Z588" i="1" s="1"/>
  <c r="Z589" i="1" s="1"/>
  <c r="Z590" i="1" s="1"/>
  <c r="Z591" i="1" s="1"/>
  <c r="Z592" i="1" s="1"/>
  <c r="Z593" i="1" s="1"/>
  <c r="Z594" i="1" s="1"/>
  <c r="Z595" i="1" s="1"/>
  <c r="Z596" i="1" s="1"/>
  <c r="Z597" i="1" s="1"/>
  <c r="Z598" i="1" s="1"/>
  <c r="Z599" i="1" s="1"/>
  <c r="Z600" i="1" s="1"/>
  <c r="Z601" i="1" s="1"/>
  <c r="Z602" i="1" s="1"/>
  <c r="Z603" i="1" s="1"/>
  <c r="Z604" i="1" s="1"/>
  <c r="Z605" i="1" s="1"/>
  <c r="Z606" i="1" s="1"/>
  <c r="Z607" i="1" s="1"/>
  <c r="Z608" i="1" s="1"/>
  <c r="Z609" i="1" s="1"/>
  <c r="Z610" i="1" s="1"/>
  <c r="Z611" i="1" s="1"/>
  <c r="Z612" i="1" s="1"/>
  <c r="Z613" i="1" s="1"/>
  <c r="Z614" i="1" s="1"/>
  <c r="Z615" i="1" s="1"/>
  <c r="Z616" i="1" s="1"/>
  <c r="Z617" i="1" s="1"/>
  <c r="Z618" i="1" s="1"/>
  <c r="Z619" i="1" s="1"/>
  <c r="Z620" i="1" s="1"/>
  <c r="Z621" i="1" s="1"/>
  <c r="Z622" i="1" s="1"/>
  <c r="Z623" i="1" s="1"/>
  <c r="Z624" i="1" s="1"/>
  <c r="Z625" i="1" s="1"/>
  <c r="Z626" i="1" s="1"/>
  <c r="Z627" i="1" s="1"/>
  <c r="Z628" i="1" s="1"/>
  <c r="Z629" i="1" s="1"/>
  <c r="Z630" i="1" s="1"/>
  <c r="Z631" i="1" s="1"/>
  <c r="Z632" i="1" s="1"/>
  <c r="Z633" i="1" s="1"/>
  <c r="Z634" i="1" s="1"/>
  <c r="Z635" i="1" s="1"/>
  <c r="Z636" i="1" s="1"/>
  <c r="Z637" i="1" s="1"/>
  <c r="Z638" i="1" s="1"/>
  <c r="Z639" i="1" s="1"/>
  <c r="Z640" i="1" s="1"/>
  <c r="Z641" i="1" s="1"/>
  <c r="Z642" i="1" s="1"/>
  <c r="Z643" i="1" s="1"/>
  <c r="Z644" i="1" s="1"/>
  <c r="Z645" i="1" s="1"/>
  <c r="Z646" i="1" s="1"/>
  <c r="Z647" i="1" s="1"/>
  <c r="Z648" i="1" s="1"/>
  <c r="Z649" i="1" s="1"/>
  <c r="Z650" i="1" s="1"/>
  <c r="Z651" i="1" s="1"/>
  <c r="Z652" i="1" s="1"/>
  <c r="Z653" i="1" s="1"/>
  <c r="Z654" i="1" s="1"/>
  <c r="Z655" i="1" s="1"/>
  <c r="Z656" i="1" s="1"/>
  <c r="Z657" i="1" s="1"/>
  <c r="Z658" i="1" s="1"/>
  <c r="Z659" i="1" s="1"/>
  <c r="Z660" i="1" s="1"/>
  <c r="Z661" i="1" s="1"/>
  <c r="Z662" i="1" s="1"/>
  <c r="Z663" i="1" s="1"/>
  <c r="Z664" i="1" s="1"/>
  <c r="Z665" i="1" s="1"/>
  <c r="Z666" i="1" s="1"/>
  <c r="Z667" i="1" s="1"/>
  <c r="Z668" i="1" s="1"/>
  <c r="Z669" i="1" s="1"/>
  <c r="Z670" i="1" s="1"/>
  <c r="Z671" i="1" s="1"/>
  <c r="Z672" i="1" s="1"/>
  <c r="Z673" i="1" s="1"/>
  <c r="Z674" i="1" s="1"/>
  <c r="Z675" i="1" s="1"/>
  <c r="Z676" i="1" s="1"/>
  <c r="Z677" i="1" s="1"/>
  <c r="Z678" i="1" s="1"/>
  <c r="Z679" i="1" s="1"/>
  <c r="Z680" i="1" s="1"/>
  <c r="Z681" i="1" s="1"/>
  <c r="Z682" i="1" s="1"/>
  <c r="Z683" i="1" s="1"/>
  <c r="Z684" i="1" s="1"/>
  <c r="Z685" i="1" s="1"/>
  <c r="Z686" i="1" s="1"/>
  <c r="Z687" i="1" s="1"/>
  <c r="Z688" i="1" s="1"/>
  <c r="Z689" i="1" s="1"/>
  <c r="Z690" i="1" s="1"/>
  <c r="Z691" i="1" s="1"/>
  <c r="Z692" i="1" s="1"/>
  <c r="Z693" i="1" s="1"/>
  <c r="Z694" i="1" s="1"/>
  <c r="Z695" i="1" s="1"/>
  <c r="Z696" i="1" s="1"/>
  <c r="Z697" i="1" s="1"/>
  <c r="Z698" i="1" s="1"/>
  <c r="Z699" i="1" s="1"/>
  <c r="Z700" i="1" s="1"/>
  <c r="Z701" i="1" s="1"/>
  <c r="Z702" i="1" s="1"/>
  <c r="Z703" i="1" s="1"/>
  <c r="Z704" i="1" s="1"/>
  <c r="Z705" i="1" s="1"/>
  <c r="Z706" i="1" s="1"/>
  <c r="Z707" i="1" s="1"/>
  <c r="Z708" i="1" s="1"/>
  <c r="Z709" i="1" s="1"/>
  <c r="Z710" i="1" s="1"/>
  <c r="Z711" i="1" s="1"/>
  <c r="Z712" i="1" s="1"/>
  <c r="Z713" i="1" s="1"/>
  <c r="Z714" i="1" s="1"/>
  <c r="Z715" i="1" s="1"/>
  <c r="Z716" i="1" s="1"/>
  <c r="Z717" i="1" s="1"/>
  <c r="Z718" i="1" s="1"/>
  <c r="Z719" i="1" s="1"/>
  <c r="Z720" i="1" s="1"/>
  <c r="Z721" i="1" s="1"/>
  <c r="Z722" i="1" s="1"/>
  <c r="Z723" i="1" s="1"/>
  <c r="Z724" i="1" s="1"/>
  <c r="Z725" i="1" s="1"/>
  <c r="Z726" i="1" s="1"/>
  <c r="Z727" i="1" s="1"/>
  <c r="Z728" i="1" s="1"/>
  <c r="Z729" i="1" s="1"/>
  <c r="Z730" i="1" s="1"/>
  <c r="Z731" i="1" s="1"/>
  <c r="Z732" i="1" s="1"/>
  <c r="Z733" i="1" s="1"/>
  <c r="Z734" i="1" s="1"/>
  <c r="Z735" i="1" s="1"/>
  <c r="Z736" i="1" s="1"/>
  <c r="Z737" i="1" s="1"/>
  <c r="Z738" i="1" s="1"/>
  <c r="Z739" i="1" s="1"/>
  <c r="Z740" i="1" s="1"/>
  <c r="Z741" i="1" s="1"/>
  <c r="Z742" i="1" s="1"/>
  <c r="Z743" i="1" s="1"/>
  <c r="Z744" i="1" s="1"/>
  <c r="Z745" i="1" s="1"/>
  <c r="Z746" i="1" s="1"/>
  <c r="Z747" i="1" s="1"/>
  <c r="Z748" i="1" s="1"/>
  <c r="Z749" i="1" s="1"/>
  <c r="Z750" i="1" s="1"/>
  <c r="Z751" i="1" s="1"/>
  <c r="Z752" i="1" s="1"/>
  <c r="AI7" i="1"/>
  <c r="AI8" i="1" s="1"/>
  <c r="AI9" i="1" s="1"/>
  <c r="AI10" i="1" s="1"/>
  <c r="AI11" i="1" s="1"/>
  <c r="AI12" i="1" s="1"/>
  <c r="AI13" i="1" s="1"/>
  <c r="AI14" i="1" s="1"/>
  <c r="AI15" i="1" s="1"/>
  <c r="AI16" i="1" s="1"/>
  <c r="AI17" i="1" s="1"/>
  <c r="AI18" i="1" s="1"/>
  <c r="AI19" i="1" s="1"/>
  <c r="AI20" i="1" s="1"/>
  <c r="AI21" i="1" s="1"/>
  <c r="AI22" i="1" s="1"/>
  <c r="AI23" i="1" s="1"/>
  <c r="AI24" i="1" s="1"/>
  <c r="AH8" i="1"/>
  <c r="AH9" i="1" s="1"/>
  <c r="AH10" i="1" s="1"/>
  <c r="AH11" i="1" s="1"/>
  <c r="AH12" i="1" s="1"/>
  <c r="AH13" i="1" s="1"/>
  <c r="AH14" i="1" s="1"/>
  <c r="AH15" i="1" s="1"/>
  <c r="AH16" i="1" s="1"/>
  <c r="AH17" i="1" s="1"/>
  <c r="AH18" i="1" s="1"/>
  <c r="AH19" i="1" s="1"/>
  <c r="AH20" i="1" s="1"/>
  <c r="AH21" i="1" s="1"/>
  <c r="AH22" i="1" s="1"/>
  <c r="AH23" i="1" s="1"/>
  <c r="AH24" i="1" s="1"/>
  <c r="AH25" i="1" s="1"/>
  <c r="AH26" i="1" s="1"/>
  <c r="AH27" i="1" s="1"/>
  <c r="AH28" i="1" s="1"/>
  <c r="AH29" i="1" s="1"/>
  <c r="AH30" i="1" s="1"/>
  <c r="AH31" i="1" s="1"/>
  <c r="AH32" i="1" s="1"/>
  <c r="AH33" i="1" s="1"/>
  <c r="AH34" i="1" s="1"/>
  <c r="AH35" i="1" s="1"/>
  <c r="AH36" i="1" s="1"/>
  <c r="AH37" i="1" s="1"/>
  <c r="AH38" i="1" s="1"/>
  <c r="AH39" i="1" s="1"/>
  <c r="AH40" i="1" s="1"/>
  <c r="R4" i="1"/>
  <c r="U4" i="1"/>
  <c r="AB2" i="1"/>
  <c r="N39" i="1"/>
  <c r="AG40" i="1" s="1"/>
  <c r="O3" i="1"/>
  <c r="AA6" i="1"/>
  <c r="AI25" i="1" l="1"/>
  <c r="AI26" i="1" s="1"/>
  <c r="AI27" i="1" s="1"/>
  <c r="AI28" i="1" s="1"/>
  <c r="AI29" i="1" s="1"/>
  <c r="AI30" i="1" s="1"/>
  <c r="AI31" i="1" s="1"/>
  <c r="AI32" i="1" s="1"/>
  <c r="AI33" i="1" s="1"/>
  <c r="AI34" i="1" s="1"/>
  <c r="AI35" i="1" s="1"/>
  <c r="AI36" i="1" s="1"/>
  <c r="AI37" i="1" s="1"/>
  <c r="AI38" i="1" s="1"/>
  <c r="AI39" i="1" s="1"/>
  <c r="AI40" i="1" s="1"/>
  <c r="AI41" i="1" s="1"/>
  <c r="S4" i="1"/>
  <c r="T4" i="1" s="1"/>
  <c r="V4" i="1"/>
  <c r="W4" i="1" s="1"/>
  <c r="N40" i="1"/>
  <c r="P3" i="1"/>
  <c r="Q3" i="1" s="1"/>
  <c r="AA7" i="1"/>
  <c r="AH41" i="1" l="1"/>
  <c r="AH42" i="1" s="1"/>
  <c r="AG41" i="1"/>
  <c r="R5" i="1"/>
  <c r="U5" i="1"/>
  <c r="V5" i="1" s="1"/>
  <c r="W5" i="1" s="1"/>
  <c r="AB3" i="1"/>
  <c r="N41" i="1"/>
  <c r="AI42" i="1" s="1"/>
  <c r="O4" i="1"/>
  <c r="AA8" i="1"/>
  <c r="AG42" i="1" l="1"/>
  <c r="AG43" i="1" s="1"/>
  <c r="P4" i="1"/>
  <c r="Q4" i="1" s="1"/>
  <c r="AB4" i="1" s="1"/>
  <c r="U6" i="1"/>
  <c r="V6" i="1" s="1"/>
  <c r="W6" i="1" s="1"/>
  <c r="S5" i="1"/>
  <c r="T5" i="1" s="1"/>
  <c r="N42" i="1"/>
  <c r="AA9" i="1"/>
  <c r="AH43" i="1" l="1"/>
  <c r="AH44" i="1" s="1"/>
  <c r="AI43" i="1"/>
  <c r="AI44" i="1" s="1"/>
  <c r="R6" i="1"/>
  <c r="N43" i="1"/>
  <c r="AG44" i="1" s="1"/>
  <c r="U7" i="1"/>
  <c r="V7" i="1" s="1"/>
  <c r="W7" i="1" s="1"/>
  <c r="O5" i="1"/>
  <c r="AA10" i="1"/>
  <c r="S6" i="1" l="1"/>
  <c r="T6" i="1" s="1"/>
  <c r="N44" i="1"/>
  <c r="U8" i="1"/>
  <c r="P5" i="1"/>
  <c r="Q5" i="1" s="1"/>
  <c r="AA11" i="1"/>
  <c r="AH45" i="1" l="1"/>
  <c r="AH46" i="1" s="1"/>
  <c r="AI45" i="1"/>
  <c r="AI46" i="1" s="1"/>
  <c r="AG45" i="1"/>
  <c r="R7" i="1"/>
  <c r="AB5" i="1"/>
  <c r="N45" i="1"/>
  <c r="V8" i="1"/>
  <c r="W8" i="1" s="1"/>
  <c r="O6" i="1"/>
  <c r="AA12" i="1"/>
  <c r="AG46" i="1" l="1"/>
  <c r="AG47" i="1" s="1"/>
  <c r="S7" i="1"/>
  <c r="T7" i="1" s="1"/>
  <c r="N46" i="1"/>
  <c r="P6" i="1"/>
  <c r="Q6" i="1" s="1"/>
  <c r="AB6" i="1" s="1"/>
  <c r="U9" i="1"/>
  <c r="V9" i="1" s="1"/>
  <c r="W9" i="1" s="1"/>
  <c r="AA13" i="1"/>
  <c r="AH47" i="1" l="1"/>
  <c r="AI47" i="1"/>
  <c r="R8" i="1"/>
  <c r="N47" i="1"/>
  <c r="AG48" i="1" s="1"/>
  <c r="O7" i="1"/>
  <c r="U10" i="1"/>
  <c r="AA14" i="1"/>
  <c r="AH48" i="1" l="1"/>
  <c r="AH49" i="1" s="1"/>
  <c r="AI48" i="1"/>
  <c r="AI49" i="1" s="1"/>
  <c r="S8" i="1"/>
  <c r="T8" i="1" s="1"/>
  <c r="N48" i="1"/>
  <c r="AG49" i="1" s="1"/>
  <c r="P7" i="1"/>
  <c r="Q7" i="1" s="1"/>
  <c r="AB7" i="1" s="1"/>
  <c r="V10" i="1"/>
  <c r="W10" i="1" s="1"/>
  <c r="AA15" i="1"/>
  <c r="R9" i="1" l="1"/>
  <c r="N49" i="1"/>
  <c r="O8" i="1"/>
  <c r="U11" i="1"/>
  <c r="AA16" i="1"/>
  <c r="AH50" i="1" l="1"/>
  <c r="AH51" i="1" s="1"/>
  <c r="AI50" i="1"/>
  <c r="AI51" i="1" s="1"/>
  <c r="AG50" i="1"/>
  <c r="S9" i="1"/>
  <c r="T9" i="1" s="1"/>
  <c r="N50" i="1"/>
  <c r="P8" i="1"/>
  <c r="Q8" i="1" s="1"/>
  <c r="AB8" i="1" s="1"/>
  <c r="V11" i="1"/>
  <c r="W11" i="1" s="1"/>
  <c r="U12" i="1" s="1"/>
  <c r="AA17" i="1"/>
  <c r="AG51" i="1" l="1"/>
  <c r="AG52" i="1" s="1"/>
  <c r="R10" i="1"/>
  <c r="N51" i="1"/>
  <c r="O9" i="1"/>
  <c r="V12" i="1"/>
  <c r="W12" i="1" s="1"/>
  <c r="AA18" i="1"/>
  <c r="AI52" i="1" l="1"/>
  <c r="AI53" i="1" s="1"/>
  <c r="AH52" i="1"/>
  <c r="AH53" i="1" s="1"/>
  <c r="S10" i="1"/>
  <c r="T10" i="1" s="1"/>
  <c r="P9" i="1"/>
  <c r="Q9" i="1" s="1"/>
  <c r="AB9" i="1" s="1"/>
  <c r="N52" i="1"/>
  <c r="AG53" i="1" s="1"/>
  <c r="AA19" i="1"/>
  <c r="R11" i="1" l="1"/>
  <c r="O10" i="1"/>
  <c r="N53" i="1"/>
  <c r="U13" i="1"/>
  <c r="AA20" i="1"/>
  <c r="AI54" i="1" l="1"/>
  <c r="AH54" i="1"/>
  <c r="AG54" i="1"/>
  <c r="S11" i="1"/>
  <c r="T11" i="1" s="1"/>
  <c r="P10" i="1"/>
  <c r="Q10" i="1" s="1"/>
  <c r="AB10" i="1" s="1"/>
  <c r="N54" i="1"/>
  <c r="V13" i="1"/>
  <c r="W13" i="1" s="1"/>
  <c r="AA21" i="1"/>
  <c r="AI55" i="1" l="1"/>
  <c r="AI56" i="1" s="1"/>
  <c r="AH55" i="1"/>
  <c r="AG55" i="1"/>
  <c r="AG56" i="1" s="1"/>
  <c r="R12" i="1"/>
  <c r="O11" i="1"/>
  <c r="N55" i="1"/>
  <c r="U14" i="1"/>
  <c r="AA22" i="1"/>
  <c r="AH56" i="1" l="1"/>
  <c r="S12" i="1"/>
  <c r="T12" i="1" s="1"/>
  <c r="P11" i="1"/>
  <c r="Q11" i="1" s="1"/>
  <c r="AB11" i="1" s="1"/>
  <c r="N56" i="1"/>
  <c r="V14" i="1"/>
  <c r="W14" i="1" s="1"/>
  <c r="AA23" i="1"/>
  <c r="AH57" i="1" l="1"/>
  <c r="AH58" i="1" s="1"/>
  <c r="AI57" i="1"/>
  <c r="AI58" i="1" s="1"/>
  <c r="AG57" i="1"/>
  <c r="R13" i="1"/>
  <c r="O12" i="1"/>
  <c r="N57" i="1"/>
  <c r="U15" i="1"/>
  <c r="AA24" i="1"/>
  <c r="AG58" i="1" l="1"/>
  <c r="AG59" i="1" s="1"/>
  <c r="S13" i="1"/>
  <c r="T13" i="1" s="1"/>
  <c r="P12" i="1"/>
  <c r="Q12" i="1" s="1"/>
  <c r="AB12" i="1" s="1"/>
  <c r="N58" i="1"/>
  <c r="V15" i="1"/>
  <c r="W15" i="1" s="1"/>
  <c r="AA25" i="1"/>
  <c r="AH59" i="1" l="1"/>
  <c r="AH60" i="1" s="1"/>
  <c r="AI59" i="1"/>
  <c r="AI60" i="1" s="1"/>
  <c r="R14" i="1"/>
  <c r="O13" i="1"/>
  <c r="N59" i="1"/>
  <c r="AG60" i="1" s="1"/>
  <c r="U16" i="1"/>
  <c r="AA26" i="1"/>
  <c r="S14" i="1" l="1"/>
  <c r="T14" i="1" s="1"/>
  <c r="P13" i="1"/>
  <c r="Q13" i="1" s="1"/>
  <c r="AB13" i="1" s="1"/>
  <c r="V16" i="1"/>
  <c r="W16" i="1" s="1"/>
  <c r="N60" i="1"/>
  <c r="AA27" i="1"/>
  <c r="AI61" i="1" l="1"/>
  <c r="AI62" i="1" s="1"/>
  <c r="AH61" i="1"/>
  <c r="AG61" i="1"/>
  <c r="R15" i="1"/>
  <c r="O14" i="1"/>
  <c r="U17" i="1"/>
  <c r="N61" i="1"/>
  <c r="AA28" i="1"/>
  <c r="AH62" i="1" l="1"/>
  <c r="AG62" i="1"/>
  <c r="S15" i="1"/>
  <c r="T15" i="1" s="1"/>
  <c r="P14" i="1"/>
  <c r="Q14" i="1" s="1"/>
  <c r="AB14" i="1" s="1"/>
  <c r="V17" i="1"/>
  <c r="W17" i="1" s="1"/>
  <c r="N62" i="1"/>
  <c r="AI63" i="1" s="1"/>
  <c r="AA29" i="1"/>
  <c r="AH63" i="1" l="1"/>
  <c r="AH64" i="1" s="1"/>
  <c r="AG63" i="1"/>
  <c r="R16" i="1"/>
  <c r="S16" i="1" s="1"/>
  <c r="T16" i="1" s="1"/>
  <c r="U18" i="1"/>
  <c r="N63" i="1"/>
  <c r="AI64" i="1" s="1"/>
  <c r="O15" i="1"/>
  <c r="AA30" i="1"/>
  <c r="AG64" i="1" l="1"/>
  <c r="AG65" i="1" s="1"/>
  <c r="R17" i="1"/>
  <c r="V18" i="1"/>
  <c r="W18" i="1" s="1"/>
  <c r="N64" i="1"/>
  <c r="P15" i="1"/>
  <c r="Q15" i="1" s="1"/>
  <c r="AB15" i="1" s="1"/>
  <c r="AA31" i="1"/>
  <c r="AH65" i="1" l="1"/>
  <c r="AH66" i="1" s="1"/>
  <c r="AI65" i="1"/>
  <c r="AI66" i="1" s="1"/>
  <c r="S17" i="1"/>
  <c r="T17" i="1" s="1"/>
  <c r="N65" i="1"/>
  <c r="AG66" i="1" s="1"/>
  <c r="U19" i="1"/>
  <c r="O16" i="1"/>
  <c r="AA32" i="1"/>
  <c r="R18" i="1" l="1"/>
  <c r="N66" i="1"/>
  <c r="V19" i="1"/>
  <c r="W19" i="1" s="1"/>
  <c r="P16" i="1"/>
  <c r="Q16" i="1" s="1"/>
  <c r="AB16" i="1" s="1"/>
  <c r="AA33" i="1"/>
  <c r="AI67" i="1" l="1"/>
  <c r="AI68" i="1" s="1"/>
  <c r="AH67" i="1"/>
  <c r="AH68" i="1" s="1"/>
  <c r="AG67" i="1"/>
  <c r="S18" i="1"/>
  <c r="T18" i="1" s="1"/>
  <c r="N67" i="1"/>
  <c r="U20" i="1"/>
  <c r="O17" i="1"/>
  <c r="AA34" i="1"/>
  <c r="AG68" i="1" l="1"/>
  <c r="AG69" i="1" s="1"/>
  <c r="R19" i="1"/>
  <c r="N68" i="1"/>
  <c r="V20" i="1"/>
  <c r="W20" i="1" s="1"/>
  <c r="P17" i="1"/>
  <c r="Q17" i="1" s="1"/>
  <c r="AB17" i="1" s="1"/>
  <c r="AA35" i="1"/>
  <c r="AI69" i="1" l="1"/>
  <c r="AI70" i="1" s="1"/>
  <c r="AH69" i="1"/>
  <c r="S19" i="1"/>
  <c r="T19" i="1" s="1"/>
  <c r="N69" i="1"/>
  <c r="AG70" i="1" s="1"/>
  <c r="U21" i="1"/>
  <c r="O18" i="1"/>
  <c r="AA36" i="1"/>
  <c r="AH70" i="1" l="1"/>
  <c r="AH71" i="1" s="1"/>
  <c r="R20" i="1"/>
  <c r="V21" i="1"/>
  <c r="W21" i="1" s="1"/>
  <c r="N70" i="1"/>
  <c r="P18" i="1"/>
  <c r="Q18" i="1" s="1"/>
  <c r="AB18" i="1" s="1"/>
  <c r="AA37" i="1"/>
  <c r="AI71" i="1" l="1"/>
  <c r="AG71" i="1"/>
  <c r="S20" i="1"/>
  <c r="T20" i="1" s="1"/>
  <c r="U22" i="1"/>
  <c r="N71" i="1"/>
  <c r="AH72" i="1" s="1"/>
  <c r="O19" i="1"/>
  <c r="AA38" i="1"/>
  <c r="AI72" i="1" l="1"/>
  <c r="AI73" i="1" s="1"/>
  <c r="AG72" i="1"/>
  <c r="R21" i="1"/>
  <c r="V22" i="1"/>
  <c r="W22" i="1" s="1"/>
  <c r="P19" i="1"/>
  <c r="Q19" i="1" s="1"/>
  <c r="AB19" i="1" s="1"/>
  <c r="N72" i="1"/>
  <c r="AH73" i="1" s="1"/>
  <c r="AA39" i="1"/>
  <c r="AG73" i="1" l="1"/>
  <c r="AG74" i="1" s="1"/>
  <c r="S21" i="1"/>
  <c r="T21" i="1" s="1"/>
  <c r="U23" i="1"/>
  <c r="O20" i="1"/>
  <c r="N73" i="1"/>
  <c r="AA40" i="1"/>
  <c r="R22" i="1" l="1"/>
  <c r="AI74" i="1"/>
  <c r="AH74" i="1"/>
  <c r="V23" i="1"/>
  <c r="W23" i="1" s="1"/>
  <c r="P20" i="1"/>
  <c r="Q20" i="1" s="1"/>
  <c r="AB20" i="1" s="1"/>
  <c r="N74" i="1"/>
  <c r="AG75" i="1" s="1"/>
  <c r="AA41" i="1"/>
  <c r="S22" i="1" l="1"/>
  <c r="T22" i="1" s="1"/>
  <c r="AI75" i="1"/>
  <c r="AI76" i="1" s="1"/>
  <c r="AH75" i="1"/>
  <c r="AH76" i="1" s="1"/>
  <c r="U24" i="1"/>
  <c r="O21" i="1"/>
  <c r="N75" i="1"/>
  <c r="AG76" i="1" s="1"/>
  <c r="AA42" i="1"/>
  <c r="R23" i="1" l="1"/>
  <c r="V24" i="1"/>
  <c r="W24" i="1" s="1"/>
  <c r="P21" i="1"/>
  <c r="Q21" i="1" s="1"/>
  <c r="AB21" i="1" s="1"/>
  <c r="N76" i="1"/>
  <c r="AA43" i="1"/>
  <c r="S23" i="1" l="1"/>
  <c r="T23" i="1" s="1"/>
  <c r="AH77" i="1"/>
  <c r="AH78" i="1" s="1"/>
  <c r="AI77" i="1"/>
  <c r="AG77" i="1"/>
  <c r="U25" i="1"/>
  <c r="O22" i="1"/>
  <c r="N77" i="1"/>
  <c r="AA44" i="1"/>
  <c r="R24" i="1" l="1"/>
  <c r="AI78" i="1"/>
  <c r="AG78" i="1"/>
  <c r="V25" i="1"/>
  <c r="W25" i="1" s="1"/>
  <c r="P22" i="1"/>
  <c r="Q22" i="1" s="1"/>
  <c r="AB22" i="1" s="1"/>
  <c r="N78" i="1"/>
  <c r="AH79" i="1" s="1"/>
  <c r="AA45" i="1"/>
  <c r="S24" i="1" l="1"/>
  <c r="T24" i="1" s="1"/>
  <c r="AI79" i="1"/>
  <c r="AI80" i="1" s="1"/>
  <c r="AG79" i="1"/>
  <c r="U26" i="1"/>
  <c r="O23" i="1"/>
  <c r="N79" i="1"/>
  <c r="AH80" i="1" s="1"/>
  <c r="AA46" i="1"/>
  <c r="R25" i="1" l="1"/>
  <c r="S25" i="1" s="1"/>
  <c r="T25" i="1" s="1"/>
  <c r="AG80" i="1"/>
  <c r="AG81" i="1" s="1"/>
  <c r="V26" i="1"/>
  <c r="W26" i="1" s="1"/>
  <c r="P23" i="1"/>
  <c r="Q23" i="1" s="1"/>
  <c r="AB23" i="1" s="1"/>
  <c r="N80" i="1"/>
  <c r="AA47" i="1"/>
  <c r="AI81" i="1" l="1"/>
  <c r="AI82" i="1" s="1"/>
  <c r="AH81" i="1"/>
  <c r="AH82" i="1" s="1"/>
  <c r="U27" i="1"/>
  <c r="O24" i="1"/>
  <c r="R26" i="1"/>
  <c r="N81" i="1"/>
  <c r="AG82" i="1" s="1"/>
  <c r="AA48" i="1"/>
  <c r="V27" i="1" l="1"/>
  <c r="W27" i="1" s="1"/>
  <c r="S26" i="1"/>
  <c r="T26" i="1" s="1"/>
  <c r="P24" i="1"/>
  <c r="Q24" i="1" s="1"/>
  <c r="AB24" i="1" s="1"/>
  <c r="N82" i="1"/>
  <c r="AA49" i="1"/>
  <c r="AI83" i="1" l="1"/>
  <c r="AI84" i="1" s="1"/>
  <c r="AH83" i="1"/>
  <c r="AH84" i="1" s="1"/>
  <c r="AG83" i="1"/>
  <c r="U28" i="1"/>
  <c r="R27" i="1"/>
  <c r="O25" i="1"/>
  <c r="N83" i="1"/>
  <c r="AA50" i="1"/>
  <c r="AG84" i="1" l="1"/>
  <c r="AG85" i="1" s="1"/>
  <c r="V28" i="1"/>
  <c r="W28" i="1" s="1"/>
  <c r="S27" i="1"/>
  <c r="T27" i="1" s="1"/>
  <c r="P25" i="1"/>
  <c r="Q25" i="1" s="1"/>
  <c r="AB25" i="1" s="1"/>
  <c r="N84" i="1"/>
  <c r="AA51" i="1"/>
  <c r="AI85" i="1" l="1"/>
  <c r="AI86" i="1" s="1"/>
  <c r="AH85" i="1"/>
  <c r="U29" i="1"/>
  <c r="R28" i="1"/>
  <c r="S28" i="1" s="1"/>
  <c r="T28" i="1" s="1"/>
  <c r="O26" i="1"/>
  <c r="N85" i="1"/>
  <c r="AG86" i="1" s="1"/>
  <c r="AA52" i="1"/>
  <c r="AH86" i="1" l="1"/>
  <c r="AH87" i="1" s="1"/>
  <c r="V29" i="1"/>
  <c r="W29" i="1" s="1"/>
  <c r="R29" i="1"/>
  <c r="S29" i="1" s="1"/>
  <c r="T29" i="1" s="1"/>
  <c r="P26" i="1"/>
  <c r="Q26" i="1" s="1"/>
  <c r="AB26" i="1" s="1"/>
  <c r="N86" i="1"/>
  <c r="AA53" i="1"/>
  <c r="AI87" i="1" l="1"/>
  <c r="AI88" i="1" s="1"/>
  <c r="AG87" i="1"/>
  <c r="U30" i="1"/>
  <c r="R30" i="1"/>
  <c r="O27" i="1"/>
  <c r="N87" i="1"/>
  <c r="AH88" i="1" s="1"/>
  <c r="AA54" i="1"/>
  <c r="AG88" i="1" l="1"/>
  <c r="AG89" i="1" s="1"/>
  <c r="V30" i="1"/>
  <c r="W30" i="1" s="1"/>
  <c r="S30" i="1"/>
  <c r="T30" i="1" s="1"/>
  <c r="P27" i="1"/>
  <c r="Q27" i="1" s="1"/>
  <c r="AB27" i="1" s="1"/>
  <c r="N88" i="1"/>
  <c r="AA55" i="1"/>
  <c r="AI89" i="1" l="1"/>
  <c r="AI90" i="1" s="1"/>
  <c r="AH89" i="1"/>
  <c r="AH90" i="1" s="1"/>
  <c r="U31" i="1"/>
  <c r="R31" i="1"/>
  <c r="O28" i="1"/>
  <c r="N89" i="1"/>
  <c r="AG90" i="1" s="1"/>
  <c r="AA56" i="1"/>
  <c r="V31" i="1" l="1"/>
  <c r="W31" i="1" s="1"/>
  <c r="S31" i="1"/>
  <c r="T31" i="1" s="1"/>
  <c r="P28" i="1"/>
  <c r="Q28" i="1" s="1"/>
  <c r="AB28" i="1" s="1"/>
  <c r="N90" i="1"/>
  <c r="AA57" i="1"/>
  <c r="AI91" i="1" l="1"/>
  <c r="AI92" i="1" s="1"/>
  <c r="AH91" i="1"/>
  <c r="AH92" i="1" s="1"/>
  <c r="AG91" i="1"/>
  <c r="U32" i="1"/>
  <c r="R32" i="1"/>
  <c r="O29" i="1"/>
  <c r="N91" i="1"/>
  <c r="AA58" i="1"/>
  <c r="AG92" i="1" l="1"/>
  <c r="AG93" i="1" s="1"/>
  <c r="V32" i="1"/>
  <c r="W32" i="1" s="1"/>
  <c r="S32" i="1"/>
  <c r="T32" i="1" s="1"/>
  <c r="P29" i="1"/>
  <c r="Q29" i="1" s="1"/>
  <c r="AB29" i="1" s="1"/>
  <c r="N92" i="1"/>
  <c r="AA59" i="1"/>
  <c r="AI93" i="1" l="1"/>
  <c r="AI94" i="1" s="1"/>
  <c r="AH93" i="1"/>
  <c r="AH94" i="1" s="1"/>
  <c r="U33" i="1"/>
  <c r="R33" i="1"/>
  <c r="O30" i="1"/>
  <c r="N93" i="1"/>
  <c r="AG94" i="1" s="1"/>
  <c r="AA60" i="1"/>
  <c r="S33" i="1" l="1"/>
  <c r="T33" i="1" s="1"/>
  <c r="V33" i="1"/>
  <c r="W33" i="1" s="1"/>
  <c r="P30" i="1"/>
  <c r="Q30" i="1" s="1"/>
  <c r="AB30" i="1" s="1"/>
  <c r="N94" i="1"/>
  <c r="AA61" i="1"/>
  <c r="AH95" i="1" l="1"/>
  <c r="AH96" i="1" s="1"/>
  <c r="AI95" i="1"/>
  <c r="AI96" i="1" s="1"/>
  <c r="AG95" i="1"/>
  <c r="R34" i="1"/>
  <c r="U34" i="1"/>
  <c r="O31" i="1"/>
  <c r="N95" i="1"/>
  <c r="AA62" i="1"/>
  <c r="AG96" i="1" l="1"/>
  <c r="AG97" i="1" s="1"/>
  <c r="S34" i="1"/>
  <c r="T34" i="1" s="1"/>
  <c r="V34" i="1"/>
  <c r="W34" i="1" s="1"/>
  <c r="P31" i="1"/>
  <c r="Q31" i="1" s="1"/>
  <c r="AB31" i="1" s="1"/>
  <c r="N96" i="1"/>
  <c r="AA63" i="1"/>
  <c r="AH97" i="1" l="1"/>
  <c r="AH98" i="1" s="1"/>
  <c r="AI97" i="1"/>
  <c r="AI98" i="1" s="1"/>
  <c r="R35" i="1"/>
  <c r="U35" i="1"/>
  <c r="O32" i="1"/>
  <c r="N97" i="1"/>
  <c r="AG98" i="1" s="1"/>
  <c r="AA64" i="1"/>
  <c r="S35" i="1" l="1"/>
  <c r="T35" i="1" s="1"/>
  <c r="V35" i="1"/>
  <c r="W35" i="1" s="1"/>
  <c r="P32" i="1"/>
  <c r="Q32" i="1" s="1"/>
  <c r="AB32" i="1" s="1"/>
  <c r="N98" i="1"/>
  <c r="AA65" i="1"/>
  <c r="AH99" i="1" l="1"/>
  <c r="AH100" i="1" s="1"/>
  <c r="AI99" i="1"/>
  <c r="AI100" i="1" s="1"/>
  <c r="AG99" i="1"/>
  <c r="R36" i="1"/>
  <c r="U36" i="1"/>
  <c r="O33" i="1"/>
  <c r="N99" i="1"/>
  <c r="AA66" i="1"/>
  <c r="S36" i="1" l="1"/>
  <c r="T36" i="1" s="1"/>
  <c r="AG100" i="1"/>
  <c r="V36" i="1"/>
  <c r="W36" i="1" s="1"/>
  <c r="P33" i="1"/>
  <c r="Q33" i="1" s="1"/>
  <c r="AB33" i="1" s="1"/>
  <c r="N100" i="1"/>
  <c r="AA67" i="1"/>
  <c r="R37" i="1" l="1"/>
  <c r="AG101" i="1"/>
  <c r="AG102" i="1" s="1"/>
  <c r="AH101" i="1"/>
  <c r="AH102" i="1" s="1"/>
  <c r="AI101" i="1"/>
  <c r="AI102" i="1" s="1"/>
  <c r="U37" i="1"/>
  <c r="O34" i="1"/>
  <c r="N101" i="1"/>
  <c r="AA68" i="1"/>
  <c r="S37" i="1" l="1"/>
  <c r="V37" i="1"/>
  <c r="W37" i="1" s="1"/>
  <c r="P34" i="1"/>
  <c r="Q34" i="1" s="1"/>
  <c r="AB34" i="1" s="1"/>
  <c r="N102" i="1"/>
  <c r="AA69" i="1"/>
  <c r="T37" i="1" l="1"/>
  <c r="R38" i="1" s="1"/>
  <c r="S38" i="1" s="1"/>
  <c r="T38" i="1" s="1"/>
  <c r="AI103" i="1"/>
  <c r="AI104" i="1" s="1"/>
  <c r="AG103" i="1"/>
  <c r="AG104" i="1" s="1"/>
  <c r="AH103" i="1"/>
  <c r="U38" i="1"/>
  <c r="O35" i="1"/>
  <c r="N103" i="1"/>
  <c r="AA70" i="1"/>
  <c r="AH104" i="1" l="1"/>
  <c r="AH105" i="1" s="1"/>
  <c r="V38" i="1"/>
  <c r="W38" i="1" s="1"/>
  <c r="P35" i="1"/>
  <c r="Q35" i="1" s="1"/>
  <c r="R39" i="1"/>
  <c r="N104" i="1"/>
  <c r="AA71" i="1"/>
  <c r="AI105" i="1" l="1"/>
  <c r="AI106" i="1" s="1"/>
  <c r="AG105" i="1"/>
  <c r="U39" i="1"/>
  <c r="O36" i="1"/>
  <c r="AB35" i="1"/>
  <c r="S39" i="1"/>
  <c r="T39" i="1" s="1"/>
  <c r="N105" i="1"/>
  <c r="AH106" i="1" s="1"/>
  <c r="AA72" i="1"/>
  <c r="V39" i="1" l="1"/>
  <c r="W39" i="1" s="1"/>
  <c r="AG106" i="1"/>
  <c r="AG107" i="1" s="1"/>
  <c r="P36" i="1"/>
  <c r="Q36" i="1" s="1"/>
  <c r="AB36" i="1" s="1"/>
  <c r="R40" i="1"/>
  <c r="N106" i="1"/>
  <c r="AA73" i="1"/>
  <c r="U40" i="1" l="1"/>
  <c r="AI107" i="1"/>
  <c r="AI108" i="1" s="1"/>
  <c r="AH107" i="1"/>
  <c r="O37" i="1"/>
  <c r="S40" i="1"/>
  <c r="T40" i="1" s="1"/>
  <c r="N107" i="1"/>
  <c r="AG108" i="1" s="1"/>
  <c r="AA74" i="1"/>
  <c r="V40" i="1" l="1"/>
  <c r="W40" i="1" s="1"/>
  <c r="AH108" i="1"/>
  <c r="AH109" i="1" s="1"/>
  <c r="P37" i="1"/>
  <c r="Q37" i="1" s="1"/>
  <c r="AB37" i="1" s="1"/>
  <c r="R41" i="1"/>
  <c r="N108" i="1"/>
  <c r="AA75" i="1"/>
  <c r="U41" i="1" l="1"/>
  <c r="AI109" i="1"/>
  <c r="AI110" i="1" s="1"/>
  <c r="AG109" i="1"/>
  <c r="AG110" i="1" s="1"/>
  <c r="O38" i="1"/>
  <c r="S41" i="1"/>
  <c r="T41" i="1" s="1"/>
  <c r="N109" i="1"/>
  <c r="AH110" i="1" s="1"/>
  <c r="AA76" i="1"/>
  <c r="V41" i="1" l="1"/>
  <c r="R42" i="1"/>
  <c r="P38" i="1"/>
  <c r="Q38" i="1" s="1"/>
  <c r="AB38" i="1" s="1"/>
  <c r="N110" i="1"/>
  <c r="AA77" i="1"/>
  <c r="W41" i="1" l="1"/>
  <c r="U42" i="1" s="1"/>
  <c r="V42" i="1" s="1"/>
  <c r="W42" i="1" s="1"/>
  <c r="AI111" i="1"/>
  <c r="AI112" i="1" s="1"/>
  <c r="AG111" i="1"/>
  <c r="AG112" i="1" s="1"/>
  <c r="AH111" i="1"/>
  <c r="AH112" i="1" s="1"/>
  <c r="S42" i="1"/>
  <c r="T42" i="1" s="1"/>
  <c r="O39" i="1"/>
  <c r="N111" i="1"/>
  <c r="AA78" i="1"/>
  <c r="U43" i="1" l="1"/>
  <c r="R43" i="1"/>
  <c r="P39" i="1"/>
  <c r="Q39" i="1" s="1"/>
  <c r="AB39" i="1" s="1"/>
  <c r="N112" i="1"/>
  <c r="AA79" i="1"/>
  <c r="V43" i="1" l="1"/>
  <c r="W43" i="1" s="1"/>
  <c r="AH113" i="1"/>
  <c r="AH114" i="1" s="1"/>
  <c r="AI113" i="1"/>
  <c r="AI114" i="1" s="1"/>
  <c r="AG113" i="1"/>
  <c r="AG114" i="1" s="1"/>
  <c r="S43" i="1"/>
  <c r="T43" i="1" s="1"/>
  <c r="O40" i="1"/>
  <c r="N113" i="1"/>
  <c r="AA80" i="1"/>
  <c r="U44" i="1" l="1"/>
  <c r="P40" i="1"/>
  <c r="Q40" i="1" s="1"/>
  <c r="AB40" i="1" s="1"/>
  <c r="R44" i="1"/>
  <c r="N114" i="1"/>
  <c r="AA81" i="1"/>
  <c r="V44" i="1" l="1"/>
  <c r="W44" i="1" s="1"/>
  <c r="AG115" i="1"/>
  <c r="AG116" i="1" s="1"/>
  <c r="AH115" i="1"/>
  <c r="AH116" i="1" s="1"/>
  <c r="AI115" i="1"/>
  <c r="AI116" i="1" s="1"/>
  <c r="O41" i="1"/>
  <c r="S44" i="1"/>
  <c r="T44" i="1" s="1"/>
  <c r="N115" i="1"/>
  <c r="AA82" i="1"/>
  <c r="U45" i="1" l="1"/>
  <c r="V45" i="1" s="1"/>
  <c r="W45" i="1" s="1"/>
  <c r="P41" i="1"/>
  <c r="Q41" i="1" s="1"/>
  <c r="AB41" i="1" s="1"/>
  <c r="R45" i="1"/>
  <c r="N116" i="1"/>
  <c r="AA83" i="1"/>
  <c r="S45" i="1" l="1"/>
  <c r="T45" i="1" s="1"/>
  <c r="N117" i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N226" i="1" s="1"/>
  <c r="N227" i="1" s="1"/>
  <c r="N228" i="1" s="1"/>
  <c r="N229" i="1" s="1"/>
  <c r="N230" i="1" s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N259" i="1" s="1"/>
  <c r="N260" i="1" s="1"/>
  <c r="N261" i="1" s="1"/>
  <c r="N262" i="1" s="1"/>
  <c r="AI117" i="1"/>
  <c r="AI118" i="1" s="1"/>
  <c r="AI119" i="1" s="1"/>
  <c r="AI120" i="1" s="1"/>
  <c r="AI121" i="1" s="1"/>
  <c r="AI122" i="1" s="1"/>
  <c r="AI123" i="1" s="1"/>
  <c r="AI124" i="1" s="1"/>
  <c r="AI125" i="1" s="1"/>
  <c r="AI126" i="1" s="1"/>
  <c r="AI127" i="1" s="1"/>
  <c r="AI128" i="1" s="1"/>
  <c r="AI129" i="1" s="1"/>
  <c r="AI130" i="1" s="1"/>
  <c r="AI131" i="1" s="1"/>
  <c r="AI132" i="1" s="1"/>
  <c r="AI133" i="1" s="1"/>
  <c r="AI134" i="1" s="1"/>
  <c r="AI135" i="1" s="1"/>
  <c r="AI136" i="1" s="1"/>
  <c r="AI137" i="1" s="1"/>
  <c r="AI138" i="1" s="1"/>
  <c r="AI139" i="1" s="1"/>
  <c r="AI140" i="1" s="1"/>
  <c r="AI141" i="1" s="1"/>
  <c r="AI142" i="1" s="1"/>
  <c r="AI143" i="1" s="1"/>
  <c r="AI144" i="1" s="1"/>
  <c r="AI145" i="1" s="1"/>
  <c r="AI146" i="1" s="1"/>
  <c r="AI147" i="1" s="1"/>
  <c r="AI148" i="1" s="1"/>
  <c r="AI149" i="1" s="1"/>
  <c r="AI150" i="1" s="1"/>
  <c r="AI151" i="1" s="1"/>
  <c r="AI152" i="1" s="1"/>
  <c r="AI153" i="1" s="1"/>
  <c r="AI154" i="1" s="1"/>
  <c r="AI155" i="1" s="1"/>
  <c r="AI156" i="1" s="1"/>
  <c r="AI157" i="1" s="1"/>
  <c r="AI158" i="1" s="1"/>
  <c r="AI159" i="1" s="1"/>
  <c r="AI160" i="1" s="1"/>
  <c r="AI161" i="1" s="1"/>
  <c r="AI162" i="1" s="1"/>
  <c r="AI163" i="1" s="1"/>
  <c r="AI164" i="1" s="1"/>
  <c r="AI165" i="1" s="1"/>
  <c r="AI166" i="1" s="1"/>
  <c r="AI167" i="1" s="1"/>
  <c r="AI168" i="1" s="1"/>
  <c r="AI169" i="1" s="1"/>
  <c r="AI170" i="1" s="1"/>
  <c r="AI171" i="1" s="1"/>
  <c r="AI172" i="1" s="1"/>
  <c r="AI173" i="1" s="1"/>
  <c r="AI174" i="1" s="1"/>
  <c r="AI175" i="1" s="1"/>
  <c r="AI176" i="1" s="1"/>
  <c r="AI177" i="1" s="1"/>
  <c r="AI178" i="1" s="1"/>
  <c r="AI179" i="1" s="1"/>
  <c r="AI180" i="1" s="1"/>
  <c r="AI181" i="1" s="1"/>
  <c r="AI182" i="1" s="1"/>
  <c r="AI183" i="1" s="1"/>
  <c r="AI184" i="1" s="1"/>
  <c r="AI185" i="1" s="1"/>
  <c r="AI186" i="1" s="1"/>
  <c r="AI187" i="1" s="1"/>
  <c r="AI188" i="1" s="1"/>
  <c r="AI189" i="1" s="1"/>
  <c r="AI190" i="1" s="1"/>
  <c r="AI191" i="1" s="1"/>
  <c r="AI192" i="1" s="1"/>
  <c r="AI193" i="1" s="1"/>
  <c r="AI194" i="1" s="1"/>
  <c r="AI195" i="1" s="1"/>
  <c r="AI196" i="1" s="1"/>
  <c r="AI197" i="1" s="1"/>
  <c r="AI198" i="1" s="1"/>
  <c r="AI199" i="1" s="1"/>
  <c r="AI200" i="1" s="1"/>
  <c r="AI201" i="1" s="1"/>
  <c r="AI202" i="1" s="1"/>
  <c r="AI203" i="1" s="1"/>
  <c r="AI204" i="1" s="1"/>
  <c r="AI205" i="1" s="1"/>
  <c r="AI206" i="1" s="1"/>
  <c r="AI207" i="1" s="1"/>
  <c r="AI208" i="1" s="1"/>
  <c r="AI209" i="1" s="1"/>
  <c r="AI210" i="1" s="1"/>
  <c r="AI211" i="1" s="1"/>
  <c r="AI212" i="1" s="1"/>
  <c r="AI213" i="1" s="1"/>
  <c r="AI214" i="1" s="1"/>
  <c r="AI215" i="1" s="1"/>
  <c r="AI216" i="1" s="1"/>
  <c r="AI217" i="1" s="1"/>
  <c r="AI218" i="1" s="1"/>
  <c r="AI219" i="1" s="1"/>
  <c r="AI220" i="1" s="1"/>
  <c r="AI221" i="1" s="1"/>
  <c r="AI222" i="1" s="1"/>
  <c r="AI223" i="1" s="1"/>
  <c r="AI224" i="1" s="1"/>
  <c r="AI225" i="1" s="1"/>
  <c r="AI226" i="1" s="1"/>
  <c r="AI227" i="1" s="1"/>
  <c r="AI228" i="1" s="1"/>
  <c r="AI229" i="1" s="1"/>
  <c r="AI230" i="1" s="1"/>
  <c r="AI231" i="1" s="1"/>
  <c r="AI232" i="1" s="1"/>
  <c r="AI233" i="1" s="1"/>
  <c r="AI234" i="1" s="1"/>
  <c r="AI235" i="1" s="1"/>
  <c r="AI236" i="1" s="1"/>
  <c r="AI237" i="1" s="1"/>
  <c r="AI238" i="1" s="1"/>
  <c r="AI239" i="1" s="1"/>
  <c r="AI240" i="1" s="1"/>
  <c r="AI241" i="1" s="1"/>
  <c r="AI242" i="1" s="1"/>
  <c r="AI243" i="1" s="1"/>
  <c r="AI244" i="1" s="1"/>
  <c r="AI245" i="1" s="1"/>
  <c r="AI246" i="1" s="1"/>
  <c r="AI247" i="1" s="1"/>
  <c r="AI248" i="1" s="1"/>
  <c r="AI249" i="1" s="1"/>
  <c r="AI250" i="1" s="1"/>
  <c r="AI251" i="1" s="1"/>
  <c r="AI252" i="1" s="1"/>
  <c r="AI253" i="1" s="1"/>
  <c r="AI254" i="1" s="1"/>
  <c r="AI255" i="1" s="1"/>
  <c r="AI256" i="1" s="1"/>
  <c r="AI257" i="1" s="1"/>
  <c r="AI258" i="1" s="1"/>
  <c r="AI259" i="1" s="1"/>
  <c r="AI260" i="1" s="1"/>
  <c r="AI261" i="1" s="1"/>
  <c r="AI262" i="1" s="1"/>
  <c r="AI263" i="1" s="1"/>
  <c r="AI264" i="1" s="1"/>
  <c r="AH117" i="1"/>
  <c r="AH118" i="1" s="1"/>
  <c r="AH119" i="1" s="1"/>
  <c r="AH120" i="1" s="1"/>
  <c r="AH121" i="1" s="1"/>
  <c r="AH122" i="1" s="1"/>
  <c r="AH123" i="1" s="1"/>
  <c r="AH124" i="1" s="1"/>
  <c r="AH125" i="1" s="1"/>
  <c r="AH126" i="1" s="1"/>
  <c r="AH127" i="1" s="1"/>
  <c r="AH128" i="1" s="1"/>
  <c r="AH129" i="1" s="1"/>
  <c r="AH130" i="1" s="1"/>
  <c r="AH131" i="1" s="1"/>
  <c r="AH132" i="1" s="1"/>
  <c r="AH133" i="1" s="1"/>
  <c r="AH134" i="1" s="1"/>
  <c r="AH135" i="1" s="1"/>
  <c r="AH136" i="1" s="1"/>
  <c r="AH137" i="1" s="1"/>
  <c r="AH138" i="1" s="1"/>
  <c r="AH139" i="1" s="1"/>
  <c r="AH140" i="1" s="1"/>
  <c r="AH141" i="1" s="1"/>
  <c r="AH142" i="1" s="1"/>
  <c r="AH143" i="1" s="1"/>
  <c r="AH144" i="1" s="1"/>
  <c r="AH145" i="1" s="1"/>
  <c r="AH146" i="1" s="1"/>
  <c r="AH147" i="1" s="1"/>
  <c r="AH148" i="1" s="1"/>
  <c r="AH149" i="1" s="1"/>
  <c r="AH150" i="1" s="1"/>
  <c r="AH151" i="1" s="1"/>
  <c r="AH152" i="1" s="1"/>
  <c r="AH153" i="1" s="1"/>
  <c r="AH154" i="1" s="1"/>
  <c r="AH155" i="1" s="1"/>
  <c r="AH156" i="1" s="1"/>
  <c r="AH157" i="1" s="1"/>
  <c r="AH158" i="1" s="1"/>
  <c r="AH159" i="1" s="1"/>
  <c r="AH160" i="1" s="1"/>
  <c r="AH161" i="1" s="1"/>
  <c r="AH162" i="1" s="1"/>
  <c r="AH163" i="1" s="1"/>
  <c r="AH164" i="1" s="1"/>
  <c r="AH165" i="1" s="1"/>
  <c r="AH166" i="1" s="1"/>
  <c r="AH167" i="1" s="1"/>
  <c r="AH168" i="1" s="1"/>
  <c r="AH169" i="1" s="1"/>
  <c r="AH170" i="1" s="1"/>
  <c r="AH171" i="1" s="1"/>
  <c r="AH172" i="1" s="1"/>
  <c r="AH173" i="1" s="1"/>
  <c r="AH174" i="1" s="1"/>
  <c r="AH175" i="1" s="1"/>
  <c r="AH176" i="1" s="1"/>
  <c r="AH177" i="1" s="1"/>
  <c r="AH178" i="1" s="1"/>
  <c r="AH179" i="1" s="1"/>
  <c r="AH180" i="1" s="1"/>
  <c r="AH181" i="1" s="1"/>
  <c r="AH182" i="1" s="1"/>
  <c r="AH183" i="1" s="1"/>
  <c r="AH184" i="1" s="1"/>
  <c r="AH185" i="1" s="1"/>
  <c r="AH186" i="1" s="1"/>
  <c r="AH187" i="1" s="1"/>
  <c r="AH188" i="1" s="1"/>
  <c r="AH189" i="1" s="1"/>
  <c r="AH190" i="1" s="1"/>
  <c r="AH191" i="1" s="1"/>
  <c r="AH192" i="1" s="1"/>
  <c r="AH193" i="1" s="1"/>
  <c r="AH194" i="1" s="1"/>
  <c r="AH195" i="1" s="1"/>
  <c r="AH196" i="1" s="1"/>
  <c r="AH197" i="1" s="1"/>
  <c r="AH198" i="1" s="1"/>
  <c r="AH199" i="1" s="1"/>
  <c r="AH200" i="1" s="1"/>
  <c r="AH201" i="1" s="1"/>
  <c r="AH202" i="1" s="1"/>
  <c r="AH203" i="1" s="1"/>
  <c r="AH204" i="1" s="1"/>
  <c r="AH205" i="1" s="1"/>
  <c r="AH206" i="1" s="1"/>
  <c r="AH207" i="1" s="1"/>
  <c r="AH208" i="1" s="1"/>
  <c r="AH209" i="1" s="1"/>
  <c r="AH210" i="1" s="1"/>
  <c r="AH211" i="1" s="1"/>
  <c r="AH212" i="1" s="1"/>
  <c r="AH213" i="1" s="1"/>
  <c r="AH214" i="1" s="1"/>
  <c r="AH215" i="1" s="1"/>
  <c r="AH216" i="1" s="1"/>
  <c r="AH217" i="1" s="1"/>
  <c r="AH218" i="1" s="1"/>
  <c r="AH219" i="1" s="1"/>
  <c r="AH220" i="1" s="1"/>
  <c r="AH221" i="1" s="1"/>
  <c r="AH222" i="1" s="1"/>
  <c r="AH223" i="1" s="1"/>
  <c r="AH224" i="1" s="1"/>
  <c r="AH225" i="1" s="1"/>
  <c r="AH226" i="1" s="1"/>
  <c r="AH227" i="1" s="1"/>
  <c r="AH228" i="1" s="1"/>
  <c r="AH229" i="1" s="1"/>
  <c r="AH230" i="1" s="1"/>
  <c r="AH231" i="1" s="1"/>
  <c r="AH232" i="1" s="1"/>
  <c r="AH233" i="1" s="1"/>
  <c r="AH234" i="1" s="1"/>
  <c r="AH235" i="1" s="1"/>
  <c r="AH236" i="1" s="1"/>
  <c r="AH237" i="1" s="1"/>
  <c r="AH238" i="1" s="1"/>
  <c r="AH239" i="1" s="1"/>
  <c r="AH240" i="1" s="1"/>
  <c r="AH241" i="1" s="1"/>
  <c r="AH242" i="1" s="1"/>
  <c r="AH243" i="1" s="1"/>
  <c r="AH244" i="1" s="1"/>
  <c r="AH245" i="1" s="1"/>
  <c r="AH246" i="1" s="1"/>
  <c r="AH247" i="1" s="1"/>
  <c r="AH248" i="1" s="1"/>
  <c r="AH249" i="1" s="1"/>
  <c r="AH250" i="1" s="1"/>
  <c r="AH251" i="1" s="1"/>
  <c r="AH252" i="1" s="1"/>
  <c r="AH253" i="1" s="1"/>
  <c r="AH254" i="1" s="1"/>
  <c r="AH255" i="1" s="1"/>
  <c r="AH256" i="1" s="1"/>
  <c r="AH257" i="1" s="1"/>
  <c r="AH258" i="1" s="1"/>
  <c r="AH259" i="1" s="1"/>
  <c r="AH260" i="1" s="1"/>
  <c r="AH261" i="1" s="1"/>
  <c r="AH262" i="1" s="1"/>
  <c r="AH263" i="1" s="1"/>
  <c r="AH264" i="1" s="1"/>
  <c r="AG117" i="1"/>
  <c r="AG118" i="1" s="1"/>
  <c r="AG119" i="1" s="1"/>
  <c r="AG120" i="1" s="1"/>
  <c r="AG121" i="1" s="1"/>
  <c r="AG122" i="1" s="1"/>
  <c r="AG123" i="1" s="1"/>
  <c r="AG124" i="1" s="1"/>
  <c r="AG125" i="1" s="1"/>
  <c r="AG126" i="1" s="1"/>
  <c r="AG127" i="1" s="1"/>
  <c r="AG128" i="1" s="1"/>
  <c r="AG129" i="1" s="1"/>
  <c r="AG130" i="1" s="1"/>
  <c r="AG131" i="1" s="1"/>
  <c r="AG132" i="1" s="1"/>
  <c r="AG133" i="1" s="1"/>
  <c r="AG134" i="1" s="1"/>
  <c r="AG135" i="1" s="1"/>
  <c r="AG136" i="1" s="1"/>
  <c r="AG137" i="1" s="1"/>
  <c r="AG138" i="1" s="1"/>
  <c r="AG139" i="1" s="1"/>
  <c r="AG140" i="1" s="1"/>
  <c r="AG141" i="1" s="1"/>
  <c r="AG142" i="1" s="1"/>
  <c r="AG143" i="1" s="1"/>
  <c r="AG144" i="1" s="1"/>
  <c r="AG145" i="1" s="1"/>
  <c r="AG146" i="1" s="1"/>
  <c r="AG147" i="1" s="1"/>
  <c r="AG148" i="1" s="1"/>
  <c r="AG149" i="1" s="1"/>
  <c r="AG150" i="1" s="1"/>
  <c r="AG151" i="1" s="1"/>
  <c r="AG152" i="1" s="1"/>
  <c r="AG153" i="1" s="1"/>
  <c r="AG154" i="1" s="1"/>
  <c r="AG155" i="1" s="1"/>
  <c r="AG156" i="1" s="1"/>
  <c r="AG157" i="1" s="1"/>
  <c r="AG158" i="1" s="1"/>
  <c r="AG159" i="1" s="1"/>
  <c r="AG160" i="1" s="1"/>
  <c r="AG161" i="1" s="1"/>
  <c r="AG162" i="1" s="1"/>
  <c r="AG163" i="1" s="1"/>
  <c r="AG164" i="1" s="1"/>
  <c r="AG165" i="1" s="1"/>
  <c r="AG166" i="1" s="1"/>
  <c r="AG167" i="1" s="1"/>
  <c r="AG168" i="1" s="1"/>
  <c r="AG169" i="1" s="1"/>
  <c r="AG170" i="1" s="1"/>
  <c r="AG171" i="1" s="1"/>
  <c r="AG172" i="1" s="1"/>
  <c r="AG173" i="1" s="1"/>
  <c r="AG174" i="1" s="1"/>
  <c r="AG175" i="1" s="1"/>
  <c r="AG176" i="1" s="1"/>
  <c r="AG177" i="1" s="1"/>
  <c r="AG178" i="1" s="1"/>
  <c r="AG179" i="1" s="1"/>
  <c r="AG180" i="1" s="1"/>
  <c r="AG181" i="1" s="1"/>
  <c r="AG182" i="1" s="1"/>
  <c r="AG183" i="1" s="1"/>
  <c r="AG184" i="1" s="1"/>
  <c r="AG185" i="1" s="1"/>
  <c r="AG186" i="1" s="1"/>
  <c r="AG187" i="1" s="1"/>
  <c r="AG188" i="1" s="1"/>
  <c r="AG189" i="1" s="1"/>
  <c r="AG190" i="1" s="1"/>
  <c r="AG191" i="1" s="1"/>
  <c r="AG192" i="1" s="1"/>
  <c r="AG193" i="1" s="1"/>
  <c r="AG194" i="1" s="1"/>
  <c r="AG195" i="1" s="1"/>
  <c r="AG196" i="1" s="1"/>
  <c r="AG197" i="1" s="1"/>
  <c r="AG198" i="1" s="1"/>
  <c r="AG199" i="1" s="1"/>
  <c r="AG200" i="1" s="1"/>
  <c r="AG201" i="1" s="1"/>
  <c r="AG202" i="1" s="1"/>
  <c r="AG203" i="1" s="1"/>
  <c r="AG204" i="1" s="1"/>
  <c r="AG205" i="1" s="1"/>
  <c r="AG206" i="1" s="1"/>
  <c r="AG207" i="1" s="1"/>
  <c r="AG208" i="1" s="1"/>
  <c r="AG209" i="1" s="1"/>
  <c r="AG210" i="1" s="1"/>
  <c r="AG211" i="1" s="1"/>
  <c r="AG212" i="1" s="1"/>
  <c r="AG213" i="1" s="1"/>
  <c r="AG214" i="1" s="1"/>
  <c r="AG215" i="1" s="1"/>
  <c r="AG216" i="1" s="1"/>
  <c r="AG217" i="1" s="1"/>
  <c r="AG218" i="1" s="1"/>
  <c r="AG219" i="1" s="1"/>
  <c r="AG220" i="1" s="1"/>
  <c r="AG221" i="1" s="1"/>
  <c r="AG222" i="1" s="1"/>
  <c r="AG223" i="1" s="1"/>
  <c r="AG224" i="1" s="1"/>
  <c r="AG225" i="1" s="1"/>
  <c r="AG226" i="1" s="1"/>
  <c r="AG227" i="1" s="1"/>
  <c r="AG228" i="1" s="1"/>
  <c r="AG229" i="1" s="1"/>
  <c r="AG230" i="1" s="1"/>
  <c r="AG231" i="1" s="1"/>
  <c r="AG232" i="1" s="1"/>
  <c r="AG233" i="1" s="1"/>
  <c r="AG234" i="1" s="1"/>
  <c r="AG235" i="1" s="1"/>
  <c r="AG236" i="1" s="1"/>
  <c r="AG237" i="1" s="1"/>
  <c r="AG238" i="1" s="1"/>
  <c r="AG239" i="1" s="1"/>
  <c r="AG240" i="1" s="1"/>
  <c r="AG241" i="1" s="1"/>
  <c r="AG242" i="1" s="1"/>
  <c r="AG243" i="1" s="1"/>
  <c r="AG244" i="1" s="1"/>
  <c r="AG245" i="1" s="1"/>
  <c r="AG246" i="1" s="1"/>
  <c r="AG247" i="1" s="1"/>
  <c r="AG248" i="1" s="1"/>
  <c r="AG249" i="1" s="1"/>
  <c r="AG250" i="1" s="1"/>
  <c r="AG251" i="1" s="1"/>
  <c r="AG252" i="1" s="1"/>
  <c r="AG253" i="1" s="1"/>
  <c r="AG254" i="1" s="1"/>
  <c r="AG255" i="1" s="1"/>
  <c r="AG256" i="1" s="1"/>
  <c r="AG257" i="1" s="1"/>
  <c r="AG258" i="1" s="1"/>
  <c r="AG259" i="1" s="1"/>
  <c r="AG260" i="1" s="1"/>
  <c r="AG261" i="1" s="1"/>
  <c r="AG262" i="1" s="1"/>
  <c r="AG263" i="1" s="1"/>
  <c r="AG264" i="1" s="1"/>
  <c r="O42" i="1"/>
  <c r="U46" i="1"/>
  <c r="N263" i="1"/>
  <c r="AA84" i="1"/>
  <c r="R46" i="1" l="1"/>
  <c r="P42" i="1"/>
  <c r="Q42" i="1" s="1"/>
  <c r="AB42" i="1" s="1"/>
  <c r="V46" i="1"/>
  <c r="W46" i="1" s="1"/>
  <c r="N264" i="1"/>
  <c r="AA85" i="1"/>
  <c r="S46" i="1" l="1"/>
  <c r="T46" i="1" s="1"/>
  <c r="AH265" i="1"/>
  <c r="AH266" i="1" s="1"/>
  <c r="AG265" i="1"/>
  <c r="AG266" i="1" s="1"/>
  <c r="AI265" i="1"/>
  <c r="AI266" i="1" s="1"/>
  <c r="O43" i="1"/>
  <c r="U47" i="1"/>
  <c r="V47" i="1" s="1"/>
  <c r="W47" i="1" s="1"/>
  <c r="N265" i="1"/>
  <c r="AA86" i="1"/>
  <c r="R47" i="1" l="1"/>
  <c r="P43" i="1"/>
  <c r="Q43" i="1" s="1"/>
  <c r="AB43" i="1" s="1"/>
  <c r="U48" i="1"/>
  <c r="N266" i="1"/>
  <c r="AA87" i="1"/>
  <c r="S47" i="1" l="1"/>
  <c r="T47" i="1" s="1"/>
  <c r="AI267" i="1"/>
  <c r="AI268" i="1" s="1"/>
  <c r="AG267" i="1"/>
  <c r="AG268" i="1" s="1"/>
  <c r="AH267" i="1"/>
  <c r="O44" i="1"/>
  <c r="V48" i="1"/>
  <c r="W48" i="1" s="1"/>
  <c r="N267" i="1"/>
  <c r="AA88" i="1"/>
  <c r="R48" i="1" l="1"/>
  <c r="AH268" i="1"/>
  <c r="AH269" i="1" s="1"/>
  <c r="P44" i="1"/>
  <c r="Q44" i="1" s="1"/>
  <c r="AB44" i="1" s="1"/>
  <c r="U49" i="1"/>
  <c r="N268" i="1"/>
  <c r="AA89" i="1"/>
  <c r="S48" i="1" l="1"/>
  <c r="T48" i="1" s="1"/>
  <c r="AG269" i="1"/>
  <c r="AG270" i="1" s="1"/>
  <c r="AI269" i="1"/>
  <c r="O45" i="1"/>
  <c r="V49" i="1"/>
  <c r="W49" i="1" s="1"/>
  <c r="N269" i="1"/>
  <c r="AH270" i="1" s="1"/>
  <c r="AA90" i="1"/>
  <c r="R49" i="1" l="1"/>
  <c r="AI270" i="1"/>
  <c r="AI271" i="1" s="1"/>
  <c r="P45" i="1"/>
  <c r="Q45" i="1" s="1"/>
  <c r="AB45" i="1" s="1"/>
  <c r="U50" i="1"/>
  <c r="V50" i="1" s="1"/>
  <c r="W50" i="1" s="1"/>
  <c r="N270" i="1"/>
  <c r="AA91" i="1"/>
  <c r="S49" i="1" l="1"/>
  <c r="T49" i="1" s="1"/>
  <c r="AG271" i="1"/>
  <c r="AG272" i="1" s="1"/>
  <c r="AH271" i="1"/>
  <c r="O46" i="1"/>
  <c r="U51" i="1"/>
  <c r="N271" i="1"/>
  <c r="AI272" i="1" s="1"/>
  <c r="AA92" i="1"/>
  <c r="R50" i="1" l="1"/>
  <c r="S50" i="1" s="1"/>
  <c r="T50" i="1" s="1"/>
  <c r="AH272" i="1"/>
  <c r="AH273" i="1" s="1"/>
  <c r="P46" i="1"/>
  <c r="Q46" i="1" s="1"/>
  <c r="AB46" i="1" s="1"/>
  <c r="V51" i="1"/>
  <c r="W51" i="1" s="1"/>
  <c r="N272" i="1"/>
  <c r="AA93" i="1"/>
  <c r="AG273" i="1" l="1"/>
  <c r="AG274" i="1" s="1"/>
  <c r="AI273" i="1"/>
  <c r="O47" i="1"/>
  <c r="U52" i="1"/>
  <c r="V52" i="1" s="1"/>
  <c r="W52" i="1" s="1"/>
  <c r="R51" i="1"/>
  <c r="N273" i="1"/>
  <c r="AH274" i="1" s="1"/>
  <c r="AA94" i="1"/>
  <c r="AI274" i="1" l="1"/>
  <c r="AI275" i="1" s="1"/>
  <c r="P47" i="1"/>
  <c r="Q47" i="1" s="1"/>
  <c r="AB47" i="1" s="1"/>
  <c r="U53" i="1"/>
  <c r="S51" i="1"/>
  <c r="T51" i="1" s="1"/>
  <c r="N274" i="1"/>
  <c r="AA95" i="1"/>
  <c r="AG275" i="1" l="1"/>
  <c r="AG276" i="1" s="1"/>
  <c r="AH275" i="1"/>
  <c r="AH276" i="1" s="1"/>
  <c r="O48" i="1"/>
  <c r="V53" i="1"/>
  <c r="W53" i="1" s="1"/>
  <c r="R52" i="1"/>
  <c r="N275" i="1"/>
  <c r="AI276" i="1" s="1"/>
  <c r="AA96" i="1"/>
  <c r="P48" i="1" l="1"/>
  <c r="Q48" i="1" s="1"/>
  <c r="AB48" i="1" s="1"/>
  <c r="U54" i="1"/>
  <c r="V54" i="1" s="1"/>
  <c r="W54" i="1" s="1"/>
  <c r="S52" i="1"/>
  <c r="T52" i="1" s="1"/>
  <c r="N276" i="1"/>
  <c r="AA97" i="1"/>
  <c r="AH277" i="1" l="1"/>
  <c r="AH278" i="1" s="1"/>
  <c r="AG277" i="1"/>
  <c r="AG278" i="1" s="1"/>
  <c r="AI277" i="1"/>
  <c r="AI278" i="1" s="1"/>
  <c r="O49" i="1"/>
  <c r="U55" i="1"/>
  <c r="R53" i="1"/>
  <c r="N277" i="1"/>
  <c r="AA98" i="1"/>
  <c r="P49" i="1" l="1"/>
  <c r="Q49" i="1" s="1"/>
  <c r="AB49" i="1" s="1"/>
  <c r="V55" i="1"/>
  <c r="W55" i="1" s="1"/>
  <c r="S53" i="1"/>
  <c r="T53" i="1" s="1"/>
  <c r="N278" i="1"/>
  <c r="AA99" i="1"/>
  <c r="AH279" i="1" l="1"/>
  <c r="AH280" i="1" s="1"/>
  <c r="AG279" i="1"/>
  <c r="AI279" i="1"/>
  <c r="O50" i="1"/>
  <c r="U56" i="1"/>
  <c r="R54" i="1"/>
  <c r="N279" i="1"/>
  <c r="AA100" i="1"/>
  <c r="AG280" i="1" l="1"/>
  <c r="AG281" i="1" s="1"/>
  <c r="AI280" i="1"/>
  <c r="AI281" i="1" s="1"/>
  <c r="P50" i="1"/>
  <c r="Q50" i="1" s="1"/>
  <c r="AB50" i="1" s="1"/>
  <c r="V56" i="1"/>
  <c r="W56" i="1" s="1"/>
  <c r="S54" i="1"/>
  <c r="T54" i="1" s="1"/>
  <c r="N280" i="1"/>
  <c r="AH281" i="1" s="1"/>
  <c r="AA101" i="1"/>
  <c r="O51" i="1" l="1"/>
  <c r="U57" i="1"/>
  <c r="R55" i="1"/>
  <c r="N281" i="1"/>
  <c r="AA102" i="1"/>
  <c r="P51" i="1" l="1"/>
  <c r="Q51" i="1" s="1"/>
  <c r="AB51" i="1" s="1"/>
  <c r="AI282" i="1"/>
  <c r="AI283" i="1" s="1"/>
  <c r="AG282" i="1"/>
  <c r="AH282" i="1"/>
  <c r="V57" i="1"/>
  <c r="W57" i="1" s="1"/>
  <c r="S55" i="1"/>
  <c r="T55" i="1" s="1"/>
  <c r="N282" i="1"/>
  <c r="AA103" i="1"/>
  <c r="AG283" i="1" l="1"/>
  <c r="AG284" i="1" s="1"/>
  <c r="AH283" i="1"/>
  <c r="AH284" i="1" s="1"/>
  <c r="O52" i="1"/>
  <c r="U58" i="1"/>
  <c r="R56" i="1"/>
  <c r="N283" i="1"/>
  <c r="AI284" i="1" s="1"/>
  <c r="AA104" i="1"/>
  <c r="P52" i="1" l="1"/>
  <c r="Q52" i="1" s="1"/>
  <c r="AB52" i="1" s="1"/>
  <c r="V58" i="1"/>
  <c r="W58" i="1" s="1"/>
  <c r="S56" i="1"/>
  <c r="T56" i="1" s="1"/>
  <c r="N284" i="1"/>
  <c r="AA105" i="1"/>
  <c r="O53" i="1" l="1"/>
  <c r="AG285" i="1"/>
  <c r="AH285" i="1"/>
  <c r="AI285" i="1"/>
  <c r="U59" i="1"/>
  <c r="V59" i="1" s="1"/>
  <c r="W59" i="1" s="1"/>
  <c r="R57" i="1"/>
  <c r="N285" i="1"/>
  <c r="AA106" i="1"/>
  <c r="P53" i="1" l="1"/>
  <c r="Q53" i="1" s="1"/>
  <c r="AB53" i="1" s="1"/>
  <c r="AG286" i="1"/>
  <c r="AG287" i="1" s="1"/>
  <c r="AH286" i="1"/>
  <c r="AH287" i="1" s="1"/>
  <c r="AI286" i="1"/>
  <c r="U60" i="1"/>
  <c r="S57" i="1"/>
  <c r="T57" i="1" s="1"/>
  <c r="N286" i="1"/>
  <c r="AA107" i="1"/>
  <c r="O54" i="1" l="1"/>
  <c r="AI287" i="1"/>
  <c r="AI288" i="1" s="1"/>
  <c r="V60" i="1"/>
  <c r="W60" i="1" s="1"/>
  <c r="R58" i="1"/>
  <c r="N287" i="1"/>
  <c r="AA108" i="1"/>
  <c r="P54" i="1" l="1"/>
  <c r="Q54" i="1" s="1"/>
  <c r="AB54" i="1" s="1"/>
  <c r="AH288" i="1"/>
  <c r="AG288" i="1"/>
  <c r="U61" i="1"/>
  <c r="S58" i="1"/>
  <c r="T58" i="1" s="1"/>
  <c r="N288" i="1"/>
  <c r="AI289" i="1" s="1"/>
  <c r="AA109" i="1"/>
  <c r="O55" i="1" l="1"/>
  <c r="AH289" i="1"/>
  <c r="AH290" i="1" s="1"/>
  <c r="AG289" i="1"/>
  <c r="V61" i="1"/>
  <c r="W61" i="1" s="1"/>
  <c r="R59" i="1"/>
  <c r="N289" i="1"/>
  <c r="AI290" i="1" s="1"/>
  <c r="AA110" i="1"/>
  <c r="P55" i="1" l="1"/>
  <c r="Q55" i="1" s="1"/>
  <c r="AB55" i="1" s="1"/>
  <c r="AG290" i="1"/>
  <c r="AG291" i="1" s="1"/>
  <c r="U62" i="1"/>
  <c r="S59" i="1"/>
  <c r="T59" i="1" s="1"/>
  <c r="N290" i="1"/>
  <c r="AA111" i="1"/>
  <c r="O56" i="1" l="1"/>
  <c r="P56" i="1" s="1"/>
  <c r="Q56" i="1" s="1"/>
  <c r="AB56" i="1" s="1"/>
  <c r="AH291" i="1"/>
  <c r="AH292" i="1" s="1"/>
  <c r="AI291" i="1"/>
  <c r="V62" i="1"/>
  <c r="W62" i="1" s="1"/>
  <c r="R60" i="1"/>
  <c r="N291" i="1"/>
  <c r="AG292" i="1" s="1"/>
  <c r="AA112" i="1"/>
  <c r="AI292" i="1" l="1"/>
  <c r="AI293" i="1" s="1"/>
  <c r="U63" i="1"/>
  <c r="O57" i="1"/>
  <c r="S60" i="1"/>
  <c r="T60" i="1" s="1"/>
  <c r="N292" i="1"/>
  <c r="AA113" i="1"/>
  <c r="AH293" i="1" l="1"/>
  <c r="AH294" i="1" s="1"/>
  <c r="AG293" i="1"/>
  <c r="AG294" i="1" s="1"/>
  <c r="V63" i="1"/>
  <c r="W63" i="1" s="1"/>
  <c r="P57" i="1"/>
  <c r="Q57" i="1" s="1"/>
  <c r="AB57" i="1" s="1"/>
  <c r="R61" i="1"/>
  <c r="N293" i="1"/>
  <c r="AI294" i="1" s="1"/>
  <c r="AA114" i="1"/>
  <c r="U64" i="1" l="1"/>
  <c r="V64" i="1" s="1"/>
  <c r="W64" i="1" s="1"/>
  <c r="O58" i="1"/>
  <c r="S61" i="1"/>
  <c r="T61" i="1" s="1"/>
  <c r="N294" i="1"/>
  <c r="AA115" i="1"/>
  <c r="AA116" i="1" s="1"/>
  <c r="AA117" i="1" s="1"/>
  <c r="AA118" i="1" s="1"/>
  <c r="AA119" i="1" s="1"/>
  <c r="AA120" i="1" s="1"/>
  <c r="AA121" i="1" s="1"/>
  <c r="AA122" i="1" s="1"/>
  <c r="AA123" i="1" s="1"/>
  <c r="AA124" i="1" s="1"/>
  <c r="AA125" i="1" s="1"/>
  <c r="AA126" i="1" s="1"/>
  <c r="AA127" i="1" s="1"/>
  <c r="AA128" i="1" s="1"/>
  <c r="AA129" i="1" s="1"/>
  <c r="AA130" i="1" s="1"/>
  <c r="AA131" i="1" s="1"/>
  <c r="AA132" i="1" s="1"/>
  <c r="AA133" i="1" s="1"/>
  <c r="AA134" i="1" s="1"/>
  <c r="AA135" i="1" s="1"/>
  <c r="AA136" i="1" s="1"/>
  <c r="AA137" i="1" s="1"/>
  <c r="AA138" i="1" s="1"/>
  <c r="AA139" i="1" s="1"/>
  <c r="AA140" i="1" s="1"/>
  <c r="AA141" i="1" s="1"/>
  <c r="AA142" i="1" s="1"/>
  <c r="AA143" i="1" s="1"/>
  <c r="AA144" i="1" s="1"/>
  <c r="AA145" i="1" s="1"/>
  <c r="AA146" i="1" s="1"/>
  <c r="AA147" i="1" s="1"/>
  <c r="AA148" i="1" s="1"/>
  <c r="AA149" i="1" s="1"/>
  <c r="AA150" i="1" s="1"/>
  <c r="AA151" i="1" s="1"/>
  <c r="AA152" i="1" s="1"/>
  <c r="AA153" i="1" s="1"/>
  <c r="AA154" i="1" s="1"/>
  <c r="AA155" i="1" s="1"/>
  <c r="AA156" i="1" s="1"/>
  <c r="AA157" i="1" s="1"/>
  <c r="AA158" i="1" s="1"/>
  <c r="AA159" i="1" s="1"/>
  <c r="AA160" i="1" s="1"/>
  <c r="AA161" i="1" s="1"/>
  <c r="AA162" i="1" s="1"/>
  <c r="AA163" i="1" s="1"/>
  <c r="AA164" i="1" s="1"/>
  <c r="AA165" i="1" s="1"/>
  <c r="AA166" i="1" s="1"/>
  <c r="AA167" i="1" s="1"/>
  <c r="AA168" i="1" s="1"/>
  <c r="AA169" i="1" s="1"/>
  <c r="AA170" i="1" s="1"/>
  <c r="AA171" i="1" s="1"/>
  <c r="AA172" i="1" s="1"/>
  <c r="AA173" i="1" s="1"/>
  <c r="AA174" i="1" s="1"/>
  <c r="AA175" i="1" s="1"/>
  <c r="AA176" i="1" s="1"/>
  <c r="AA177" i="1" s="1"/>
  <c r="AA178" i="1" s="1"/>
  <c r="AA179" i="1" s="1"/>
  <c r="AA180" i="1" s="1"/>
  <c r="AA181" i="1" s="1"/>
  <c r="AA182" i="1" s="1"/>
  <c r="AA183" i="1" s="1"/>
  <c r="AA184" i="1" s="1"/>
  <c r="AA185" i="1" s="1"/>
  <c r="AA186" i="1" s="1"/>
  <c r="AA187" i="1" s="1"/>
  <c r="AA188" i="1" s="1"/>
  <c r="AA189" i="1" s="1"/>
  <c r="AA190" i="1" s="1"/>
  <c r="AA191" i="1" s="1"/>
  <c r="AA192" i="1" s="1"/>
  <c r="AA193" i="1" s="1"/>
  <c r="AA194" i="1" s="1"/>
  <c r="AA195" i="1" s="1"/>
  <c r="AA196" i="1" s="1"/>
  <c r="AA197" i="1" s="1"/>
  <c r="AA198" i="1" s="1"/>
  <c r="AA199" i="1" s="1"/>
  <c r="AA200" i="1" s="1"/>
  <c r="AA201" i="1" s="1"/>
  <c r="AA202" i="1" s="1"/>
  <c r="AA203" i="1" s="1"/>
  <c r="AA204" i="1" s="1"/>
  <c r="AA205" i="1" s="1"/>
  <c r="AA206" i="1" s="1"/>
  <c r="AA207" i="1" s="1"/>
  <c r="AA208" i="1" s="1"/>
  <c r="AA209" i="1" s="1"/>
  <c r="AA210" i="1" s="1"/>
  <c r="AA211" i="1" s="1"/>
  <c r="AA212" i="1" s="1"/>
  <c r="AA213" i="1" s="1"/>
  <c r="AA214" i="1" s="1"/>
  <c r="AA215" i="1" s="1"/>
  <c r="AA216" i="1" s="1"/>
  <c r="AA217" i="1" s="1"/>
  <c r="AA218" i="1" s="1"/>
  <c r="AA219" i="1" s="1"/>
  <c r="AA220" i="1" s="1"/>
  <c r="AA221" i="1" s="1"/>
  <c r="AA222" i="1" s="1"/>
  <c r="AA223" i="1" s="1"/>
  <c r="AA224" i="1" s="1"/>
  <c r="AA225" i="1" s="1"/>
  <c r="AA226" i="1" s="1"/>
  <c r="AA227" i="1" s="1"/>
  <c r="AA228" i="1" s="1"/>
  <c r="AA229" i="1" s="1"/>
  <c r="AA230" i="1" s="1"/>
  <c r="AA231" i="1" s="1"/>
  <c r="AA232" i="1" s="1"/>
  <c r="AA233" i="1" s="1"/>
  <c r="AA234" i="1" s="1"/>
  <c r="AA235" i="1" s="1"/>
  <c r="AA236" i="1" s="1"/>
  <c r="AA237" i="1" s="1"/>
  <c r="AA238" i="1" s="1"/>
  <c r="AA239" i="1" s="1"/>
  <c r="AA240" i="1" s="1"/>
  <c r="AA241" i="1" s="1"/>
  <c r="AA242" i="1" s="1"/>
  <c r="AA243" i="1" s="1"/>
  <c r="AA244" i="1" s="1"/>
  <c r="AA245" i="1" s="1"/>
  <c r="AA246" i="1" s="1"/>
  <c r="AA247" i="1" s="1"/>
  <c r="AA248" i="1" s="1"/>
  <c r="AA249" i="1" s="1"/>
  <c r="AA250" i="1" s="1"/>
  <c r="AA251" i="1" s="1"/>
  <c r="AA252" i="1" s="1"/>
  <c r="AA253" i="1" s="1"/>
  <c r="AA254" i="1" s="1"/>
  <c r="AA255" i="1" s="1"/>
  <c r="AA256" i="1" s="1"/>
  <c r="AA257" i="1" s="1"/>
  <c r="AA258" i="1" s="1"/>
  <c r="AA259" i="1" s="1"/>
  <c r="AA260" i="1" s="1"/>
  <c r="AA261" i="1" s="1"/>
  <c r="AA262" i="1" s="1"/>
  <c r="AA263" i="1" s="1"/>
  <c r="AA264" i="1" s="1"/>
  <c r="AA265" i="1" s="1"/>
  <c r="AA266" i="1" s="1"/>
  <c r="AA267" i="1" s="1"/>
  <c r="AA268" i="1" s="1"/>
  <c r="AA269" i="1" s="1"/>
  <c r="AA270" i="1" s="1"/>
  <c r="AA271" i="1" s="1"/>
  <c r="AA272" i="1" s="1"/>
  <c r="AA273" i="1" s="1"/>
  <c r="AA274" i="1" s="1"/>
  <c r="AA275" i="1" s="1"/>
  <c r="AA276" i="1" s="1"/>
  <c r="AA277" i="1" s="1"/>
  <c r="AA278" i="1" s="1"/>
  <c r="AA279" i="1" s="1"/>
  <c r="AA280" i="1" s="1"/>
  <c r="AA281" i="1" s="1"/>
  <c r="AA282" i="1" s="1"/>
  <c r="AA283" i="1" s="1"/>
  <c r="AA284" i="1" s="1"/>
  <c r="AA285" i="1" s="1"/>
  <c r="AA286" i="1" s="1"/>
  <c r="AA287" i="1" s="1"/>
  <c r="AA288" i="1" s="1"/>
  <c r="AA289" i="1" s="1"/>
  <c r="AA290" i="1" s="1"/>
  <c r="AA291" i="1" s="1"/>
  <c r="AA292" i="1" s="1"/>
  <c r="AA293" i="1" s="1"/>
  <c r="AA294" i="1" s="1"/>
  <c r="AA295" i="1" s="1"/>
  <c r="AA296" i="1" s="1"/>
  <c r="AA297" i="1" s="1"/>
  <c r="AA298" i="1" s="1"/>
  <c r="AA299" i="1" s="1"/>
  <c r="AA300" i="1" s="1"/>
  <c r="AA301" i="1" s="1"/>
  <c r="AA302" i="1" s="1"/>
  <c r="AA303" i="1" s="1"/>
  <c r="AA304" i="1" s="1"/>
  <c r="AA305" i="1" s="1"/>
  <c r="AA306" i="1" s="1"/>
  <c r="AA307" i="1" s="1"/>
  <c r="AA308" i="1" s="1"/>
  <c r="AA309" i="1" s="1"/>
  <c r="AA310" i="1" s="1"/>
  <c r="AA311" i="1" s="1"/>
  <c r="AA312" i="1" s="1"/>
  <c r="AA313" i="1" s="1"/>
  <c r="AA314" i="1" s="1"/>
  <c r="AA315" i="1" s="1"/>
  <c r="AA316" i="1" s="1"/>
  <c r="AA317" i="1" s="1"/>
  <c r="AA318" i="1" s="1"/>
  <c r="AA319" i="1" s="1"/>
  <c r="AA320" i="1" s="1"/>
  <c r="AA321" i="1" s="1"/>
  <c r="AA322" i="1" s="1"/>
  <c r="AA323" i="1" s="1"/>
  <c r="AA324" i="1" s="1"/>
  <c r="AA325" i="1" s="1"/>
  <c r="AA326" i="1" s="1"/>
  <c r="AA327" i="1" s="1"/>
  <c r="AA328" i="1" s="1"/>
  <c r="AA329" i="1" s="1"/>
  <c r="AA330" i="1" s="1"/>
  <c r="AA331" i="1" s="1"/>
  <c r="AA332" i="1" s="1"/>
  <c r="AA333" i="1" s="1"/>
  <c r="AA334" i="1" s="1"/>
  <c r="AA335" i="1" s="1"/>
  <c r="AA336" i="1" s="1"/>
  <c r="AA337" i="1" s="1"/>
  <c r="AA338" i="1" s="1"/>
  <c r="AA339" i="1" s="1"/>
  <c r="AA340" i="1" s="1"/>
  <c r="AA341" i="1" s="1"/>
  <c r="AA342" i="1" s="1"/>
  <c r="AA343" i="1" s="1"/>
  <c r="AA344" i="1" s="1"/>
  <c r="AA345" i="1" s="1"/>
  <c r="AA346" i="1" s="1"/>
  <c r="AA347" i="1" s="1"/>
  <c r="AA348" i="1" s="1"/>
  <c r="AA349" i="1" s="1"/>
  <c r="AA350" i="1" s="1"/>
  <c r="AA351" i="1" s="1"/>
  <c r="AA352" i="1" s="1"/>
  <c r="AA353" i="1" s="1"/>
  <c r="AA354" i="1" s="1"/>
  <c r="AA355" i="1" s="1"/>
  <c r="AA356" i="1" s="1"/>
  <c r="AA357" i="1" s="1"/>
  <c r="AA358" i="1" s="1"/>
  <c r="AA359" i="1" s="1"/>
  <c r="AA360" i="1" s="1"/>
  <c r="AA361" i="1" s="1"/>
  <c r="AA362" i="1" s="1"/>
  <c r="AA363" i="1" s="1"/>
  <c r="AA364" i="1" s="1"/>
  <c r="AA365" i="1" s="1"/>
  <c r="AA366" i="1" s="1"/>
  <c r="AA367" i="1" s="1"/>
  <c r="AA368" i="1" s="1"/>
  <c r="AA369" i="1" s="1"/>
  <c r="AA370" i="1" s="1"/>
  <c r="AA371" i="1" s="1"/>
  <c r="AA372" i="1" s="1"/>
  <c r="AA373" i="1" s="1"/>
  <c r="AA374" i="1" s="1"/>
  <c r="AA375" i="1" s="1"/>
  <c r="AA376" i="1" s="1"/>
  <c r="AA377" i="1" s="1"/>
  <c r="AA378" i="1" s="1"/>
  <c r="AA379" i="1" s="1"/>
  <c r="AA380" i="1" s="1"/>
  <c r="AA381" i="1" s="1"/>
  <c r="AA382" i="1" s="1"/>
  <c r="AA383" i="1" s="1"/>
  <c r="AA384" i="1" s="1"/>
  <c r="AA385" i="1" s="1"/>
  <c r="AA386" i="1" s="1"/>
  <c r="AA387" i="1" s="1"/>
  <c r="AA388" i="1" s="1"/>
  <c r="AA389" i="1" s="1"/>
  <c r="AA390" i="1" s="1"/>
  <c r="AA391" i="1" s="1"/>
  <c r="AA392" i="1" s="1"/>
  <c r="AA393" i="1" s="1"/>
  <c r="AA394" i="1" s="1"/>
  <c r="AA395" i="1" s="1"/>
  <c r="AA396" i="1" s="1"/>
  <c r="AA397" i="1" s="1"/>
  <c r="AA398" i="1" s="1"/>
  <c r="AA399" i="1" s="1"/>
  <c r="AA400" i="1" s="1"/>
  <c r="AA401" i="1" s="1"/>
  <c r="AA402" i="1" s="1"/>
  <c r="AA403" i="1" s="1"/>
  <c r="AA404" i="1" s="1"/>
  <c r="AA405" i="1" s="1"/>
  <c r="AA406" i="1" s="1"/>
  <c r="AA407" i="1" s="1"/>
  <c r="AA408" i="1" s="1"/>
  <c r="AA409" i="1" s="1"/>
  <c r="AA410" i="1" s="1"/>
  <c r="AA411" i="1" s="1"/>
  <c r="AA412" i="1" s="1"/>
  <c r="AA413" i="1" s="1"/>
  <c r="AA414" i="1" s="1"/>
  <c r="AA415" i="1" s="1"/>
  <c r="AA416" i="1" s="1"/>
  <c r="AA417" i="1" s="1"/>
  <c r="AA418" i="1" s="1"/>
  <c r="AA419" i="1" s="1"/>
  <c r="AA420" i="1" s="1"/>
  <c r="AA421" i="1" s="1"/>
  <c r="AA422" i="1" s="1"/>
  <c r="AA423" i="1" s="1"/>
  <c r="AA424" i="1" s="1"/>
  <c r="AA425" i="1" s="1"/>
  <c r="AA426" i="1" s="1"/>
  <c r="AA427" i="1" s="1"/>
  <c r="AA428" i="1" s="1"/>
  <c r="AA429" i="1" s="1"/>
  <c r="AA430" i="1" s="1"/>
  <c r="AA431" i="1" s="1"/>
  <c r="AA432" i="1" s="1"/>
  <c r="AA433" i="1" s="1"/>
  <c r="AA434" i="1" s="1"/>
  <c r="AA435" i="1" s="1"/>
  <c r="AA436" i="1" s="1"/>
  <c r="AA437" i="1" s="1"/>
  <c r="AA438" i="1" s="1"/>
  <c r="AA439" i="1" s="1"/>
  <c r="AA440" i="1" s="1"/>
  <c r="AA441" i="1" s="1"/>
  <c r="AA442" i="1" s="1"/>
  <c r="AA443" i="1" s="1"/>
  <c r="AA444" i="1" s="1"/>
  <c r="AA445" i="1" s="1"/>
  <c r="AA446" i="1" s="1"/>
  <c r="AA447" i="1" s="1"/>
  <c r="AA448" i="1" s="1"/>
  <c r="AA449" i="1" s="1"/>
  <c r="AA450" i="1" s="1"/>
  <c r="AA451" i="1" s="1"/>
  <c r="AA452" i="1" s="1"/>
  <c r="AA453" i="1" s="1"/>
  <c r="AA454" i="1" s="1"/>
  <c r="AA455" i="1" s="1"/>
  <c r="AA456" i="1" s="1"/>
  <c r="AA457" i="1" s="1"/>
  <c r="AA458" i="1" s="1"/>
  <c r="AA459" i="1" s="1"/>
  <c r="AA460" i="1" s="1"/>
  <c r="AA461" i="1" s="1"/>
  <c r="AA462" i="1" s="1"/>
  <c r="AA463" i="1" s="1"/>
  <c r="AA464" i="1" s="1"/>
  <c r="AA465" i="1" s="1"/>
  <c r="AA466" i="1" s="1"/>
  <c r="AA467" i="1" s="1"/>
  <c r="AA468" i="1" s="1"/>
  <c r="AA469" i="1" s="1"/>
  <c r="AA470" i="1" s="1"/>
  <c r="AA471" i="1" s="1"/>
  <c r="AA472" i="1" s="1"/>
  <c r="AA473" i="1" s="1"/>
  <c r="AA474" i="1" s="1"/>
  <c r="AA475" i="1" s="1"/>
  <c r="AA476" i="1" s="1"/>
  <c r="AA477" i="1" s="1"/>
  <c r="AA478" i="1" s="1"/>
  <c r="AA479" i="1" s="1"/>
  <c r="AA480" i="1" s="1"/>
  <c r="AA481" i="1" s="1"/>
  <c r="AA482" i="1" s="1"/>
  <c r="AA483" i="1" s="1"/>
  <c r="AA484" i="1" s="1"/>
  <c r="AA485" i="1" s="1"/>
  <c r="AA486" i="1" s="1"/>
  <c r="AA487" i="1" s="1"/>
  <c r="AA488" i="1" s="1"/>
  <c r="AA489" i="1" s="1"/>
  <c r="AA490" i="1" s="1"/>
  <c r="AA491" i="1" s="1"/>
  <c r="AA492" i="1" s="1"/>
  <c r="AA493" i="1" s="1"/>
  <c r="AA494" i="1" s="1"/>
  <c r="AA495" i="1" s="1"/>
  <c r="AA496" i="1" s="1"/>
  <c r="AA497" i="1" s="1"/>
  <c r="AA498" i="1" s="1"/>
  <c r="AA499" i="1" s="1"/>
  <c r="AA500" i="1" s="1"/>
  <c r="AA501" i="1" s="1"/>
  <c r="AA502" i="1" s="1"/>
  <c r="AA503" i="1" s="1"/>
  <c r="AA504" i="1" s="1"/>
  <c r="AA505" i="1" s="1"/>
  <c r="AA506" i="1" s="1"/>
  <c r="AA507" i="1" s="1"/>
  <c r="AA508" i="1" s="1"/>
  <c r="AA509" i="1" s="1"/>
  <c r="AA510" i="1" s="1"/>
  <c r="AA511" i="1" s="1"/>
  <c r="AA512" i="1" s="1"/>
  <c r="AA513" i="1" s="1"/>
  <c r="AA514" i="1" s="1"/>
  <c r="AA515" i="1" s="1"/>
  <c r="AA516" i="1" s="1"/>
  <c r="AA517" i="1" s="1"/>
  <c r="AA518" i="1" s="1"/>
  <c r="AA519" i="1" s="1"/>
  <c r="AA520" i="1" s="1"/>
  <c r="AA521" i="1" s="1"/>
  <c r="AA522" i="1" s="1"/>
  <c r="AA523" i="1" s="1"/>
  <c r="AA524" i="1" s="1"/>
  <c r="AA525" i="1" s="1"/>
  <c r="AA526" i="1" s="1"/>
  <c r="AA527" i="1" s="1"/>
  <c r="AA528" i="1" s="1"/>
  <c r="AA529" i="1" s="1"/>
  <c r="AA530" i="1" s="1"/>
  <c r="AA531" i="1" s="1"/>
  <c r="AA532" i="1" s="1"/>
  <c r="AA533" i="1" s="1"/>
  <c r="AA534" i="1" s="1"/>
  <c r="AA535" i="1" s="1"/>
  <c r="AA536" i="1" s="1"/>
  <c r="AA537" i="1" s="1"/>
  <c r="AA538" i="1" s="1"/>
  <c r="AA539" i="1" s="1"/>
  <c r="AA540" i="1" s="1"/>
  <c r="AA541" i="1" s="1"/>
  <c r="AA542" i="1" s="1"/>
  <c r="AA543" i="1" s="1"/>
  <c r="AA544" i="1" s="1"/>
  <c r="AA545" i="1" s="1"/>
  <c r="AA546" i="1" s="1"/>
  <c r="AA547" i="1" s="1"/>
  <c r="AA548" i="1" s="1"/>
  <c r="AA549" i="1" s="1"/>
  <c r="AA550" i="1" s="1"/>
  <c r="AA551" i="1" s="1"/>
  <c r="AA552" i="1" s="1"/>
  <c r="AA553" i="1" s="1"/>
  <c r="AA554" i="1" s="1"/>
  <c r="AA555" i="1" s="1"/>
  <c r="AA556" i="1" s="1"/>
  <c r="AA557" i="1" s="1"/>
  <c r="AA558" i="1" s="1"/>
  <c r="AA559" i="1" s="1"/>
  <c r="AA560" i="1" s="1"/>
  <c r="AA561" i="1" s="1"/>
  <c r="AA562" i="1" s="1"/>
  <c r="AA563" i="1" s="1"/>
  <c r="AA564" i="1" s="1"/>
  <c r="AA565" i="1" s="1"/>
  <c r="AA566" i="1" s="1"/>
  <c r="AA567" i="1" s="1"/>
  <c r="AA568" i="1" s="1"/>
  <c r="AA569" i="1" s="1"/>
  <c r="AA570" i="1" s="1"/>
  <c r="AA571" i="1" s="1"/>
  <c r="AA572" i="1" s="1"/>
  <c r="AA573" i="1" s="1"/>
  <c r="AA574" i="1" s="1"/>
  <c r="AA575" i="1" s="1"/>
  <c r="AA576" i="1" s="1"/>
  <c r="AA577" i="1" s="1"/>
  <c r="AA578" i="1" s="1"/>
  <c r="AA579" i="1" s="1"/>
  <c r="AA580" i="1" s="1"/>
  <c r="AA581" i="1" s="1"/>
  <c r="AA582" i="1" s="1"/>
  <c r="AA583" i="1" s="1"/>
  <c r="AA584" i="1" s="1"/>
  <c r="AA585" i="1" s="1"/>
  <c r="AA586" i="1" s="1"/>
  <c r="AA587" i="1" s="1"/>
  <c r="AA588" i="1" s="1"/>
  <c r="AA589" i="1" s="1"/>
  <c r="AA590" i="1" s="1"/>
  <c r="AA591" i="1" s="1"/>
  <c r="AA592" i="1" s="1"/>
  <c r="AA593" i="1" s="1"/>
  <c r="AA594" i="1" s="1"/>
  <c r="AA595" i="1" s="1"/>
  <c r="AA596" i="1" s="1"/>
  <c r="AA597" i="1" s="1"/>
  <c r="AA598" i="1" s="1"/>
  <c r="AA599" i="1" s="1"/>
  <c r="AA600" i="1" s="1"/>
  <c r="AA601" i="1" s="1"/>
  <c r="AA602" i="1" s="1"/>
  <c r="AA603" i="1" s="1"/>
  <c r="AA604" i="1" s="1"/>
  <c r="AA605" i="1" s="1"/>
  <c r="AA606" i="1" s="1"/>
  <c r="AA607" i="1" s="1"/>
  <c r="AA608" i="1" s="1"/>
  <c r="AA609" i="1" s="1"/>
  <c r="AA610" i="1" s="1"/>
  <c r="AA611" i="1" s="1"/>
  <c r="AA612" i="1" s="1"/>
  <c r="AA613" i="1" s="1"/>
  <c r="AA614" i="1" s="1"/>
  <c r="AA615" i="1" s="1"/>
  <c r="AA616" i="1" s="1"/>
  <c r="AA617" i="1" s="1"/>
  <c r="AA618" i="1" s="1"/>
  <c r="AA619" i="1" s="1"/>
  <c r="AA620" i="1" s="1"/>
  <c r="AA621" i="1" s="1"/>
  <c r="AA622" i="1" s="1"/>
  <c r="AA623" i="1" s="1"/>
  <c r="AA624" i="1" s="1"/>
  <c r="AA625" i="1" s="1"/>
  <c r="AA626" i="1" s="1"/>
  <c r="AA627" i="1" s="1"/>
  <c r="AA628" i="1" s="1"/>
  <c r="AA629" i="1" s="1"/>
  <c r="AA630" i="1" s="1"/>
  <c r="AA631" i="1" s="1"/>
  <c r="AA632" i="1" s="1"/>
  <c r="AA633" i="1" s="1"/>
  <c r="AA634" i="1" s="1"/>
  <c r="AA635" i="1" s="1"/>
  <c r="AA636" i="1" s="1"/>
  <c r="AA637" i="1" s="1"/>
  <c r="AA638" i="1" s="1"/>
  <c r="AA639" i="1" s="1"/>
  <c r="AA640" i="1" s="1"/>
  <c r="AA641" i="1" s="1"/>
  <c r="AA642" i="1" s="1"/>
  <c r="AA643" i="1" s="1"/>
  <c r="AA644" i="1" s="1"/>
  <c r="AA645" i="1" s="1"/>
  <c r="AA646" i="1" s="1"/>
  <c r="AA647" i="1" s="1"/>
  <c r="AA648" i="1" s="1"/>
  <c r="AA649" i="1" s="1"/>
  <c r="AA650" i="1" s="1"/>
  <c r="AA651" i="1" s="1"/>
  <c r="AA652" i="1" s="1"/>
  <c r="AA653" i="1" s="1"/>
  <c r="AA654" i="1" s="1"/>
  <c r="AA655" i="1" s="1"/>
  <c r="AA656" i="1" s="1"/>
  <c r="AA657" i="1" s="1"/>
  <c r="AA658" i="1" s="1"/>
  <c r="AA659" i="1" s="1"/>
  <c r="AA660" i="1" s="1"/>
  <c r="AA661" i="1" s="1"/>
  <c r="AA662" i="1" s="1"/>
  <c r="AA663" i="1" s="1"/>
  <c r="AA664" i="1" s="1"/>
  <c r="AA665" i="1" s="1"/>
  <c r="AA666" i="1" s="1"/>
  <c r="AA667" i="1" s="1"/>
  <c r="AA668" i="1" s="1"/>
  <c r="AA669" i="1" s="1"/>
  <c r="AA670" i="1" s="1"/>
  <c r="AA671" i="1" s="1"/>
  <c r="AA672" i="1" s="1"/>
  <c r="AA673" i="1" s="1"/>
  <c r="AA674" i="1" s="1"/>
  <c r="AA675" i="1" s="1"/>
  <c r="AA676" i="1" s="1"/>
  <c r="AA677" i="1" s="1"/>
  <c r="AA678" i="1" s="1"/>
  <c r="AA679" i="1" s="1"/>
  <c r="AA680" i="1" s="1"/>
  <c r="AA681" i="1" s="1"/>
  <c r="AA682" i="1" s="1"/>
  <c r="AA683" i="1" s="1"/>
  <c r="AA684" i="1" s="1"/>
  <c r="AA685" i="1" s="1"/>
  <c r="AA686" i="1" s="1"/>
  <c r="AA687" i="1" s="1"/>
  <c r="AA688" i="1" s="1"/>
  <c r="AA689" i="1" s="1"/>
  <c r="AA690" i="1" s="1"/>
  <c r="AA691" i="1" s="1"/>
  <c r="AA692" i="1" s="1"/>
  <c r="AA693" i="1" s="1"/>
  <c r="AA694" i="1" s="1"/>
  <c r="AA695" i="1" s="1"/>
  <c r="AA696" i="1" s="1"/>
  <c r="AA697" i="1" s="1"/>
  <c r="AA698" i="1" s="1"/>
  <c r="AA699" i="1" s="1"/>
  <c r="AA700" i="1" s="1"/>
  <c r="AA701" i="1" s="1"/>
  <c r="AA702" i="1" s="1"/>
  <c r="AA703" i="1" s="1"/>
  <c r="AA704" i="1" s="1"/>
  <c r="AA705" i="1" s="1"/>
  <c r="AA706" i="1" s="1"/>
  <c r="AA707" i="1" s="1"/>
  <c r="AA708" i="1" s="1"/>
  <c r="AA709" i="1" s="1"/>
  <c r="AA710" i="1" s="1"/>
  <c r="AA711" i="1" s="1"/>
  <c r="AA712" i="1" s="1"/>
  <c r="AA713" i="1" s="1"/>
  <c r="AA714" i="1" s="1"/>
  <c r="AA715" i="1" s="1"/>
  <c r="AA716" i="1" s="1"/>
  <c r="AA717" i="1" s="1"/>
  <c r="AA718" i="1" s="1"/>
  <c r="AA719" i="1" s="1"/>
  <c r="AA720" i="1" s="1"/>
  <c r="AA721" i="1" s="1"/>
  <c r="AA722" i="1" s="1"/>
  <c r="AA723" i="1" s="1"/>
  <c r="AA724" i="1" s="1"/>
  <c r="AA725" i="1" s="1"/>
  <c r="AA726" i="1" s="1"/>
  <c r="AA727" i="1" s="1"/>
  <c r="AA728" i="1" s="1"/>
  <c r="AA729" i="1" s="1"/>
  <c r="AA730" i="1" s="1"/>
  <c r="AA731" i="1" s="1"/>
  <c r="AA732" i="1" s="1"/>
  <c r="AA733" i="1" s="1"/>
  <c r="AA734" i="1" s="1"/>
  <c r="AA735" i="1" s="1"/>
  <c r="AA736" i="1" s="1"/>
  <c r="AA737" i="1" s="1"/>
  <c r="AA738" i="1" s="1"/>
  <c r="AA739" i="1" s="1"/>
  <c r="AA740" i="1" s="1"/>
  <c r="AA741" i="1" s="1"/>
  <c r="AA742" i="1" s="1"/>
  <c r="AA743" i="1" s="1"/>
  <c r="AA744" i="1" s="1"/>
  <c r="AA745" i="1" s="1"/>
  <c r="AA746" i="1" s="1"/>
  <c r="AA747" i="1" s="1"/>
  <c r="AA748" i="1" s="1"/>
  <c r="AA749" i="1" s="1"/>
  <c r="AA750" i="1" s="1"/>
  <c r="AA751" i="1" s="1"/>
  <c r="AA752" i="1" s="1"/>
  <c r="AH295" i="1" l="1"/>
  <c r="AG295" i="1"/>
  <c r="AI295" i="1"/>
  <c r="P58" i="1"/>
  <c r="Q58" i="1" s="1"/>
  <c r="AB58" i="1" s="1"/>
  <c r="R62" i="1"/>
  <c r="U65" i="1"/>
  <c r="N295" i="1"/>
  <c r="AH296" i="1" l="1"/>
  <c r="AG296" i="1"/>
  <c r="AI296" i="1"/>
  <c r="O59" i="1"/>
  <c r="S62" i="1"/>
  <c r="T62" i="1" s="1"/>
  <c r="V65" i="1"/>
  <c r="W65" i="1" s="1"/>
  <c r="N296" i="1"/>
  <c r="AH297" i="1" l="1"/>
  <c r="AG297" i="1"/>
  <c r="AI297" i="1"/>
  <c r="P59" i="1"/>
  <c r="Q59" i="1" s="1"/>
  <c r="AB59" i="1" s="1"/>
  <c r="R63" i="1"/>
  <c r="S63" i="1" s="1"/>
  <c r="T63" i="1" s="1"/>
  <c r="U66" i="1"/>
  <c r="N297" i="1"/>
  <c r="AH298" i="1" l="1"/>
  <c r="AH299" i="1" s="1"/>
  <c r="AG298" i="1"/>
  <c r="AG299" i="1" s="1"/>
  <c r="AI298" i="1"/>
  <c r="O60" i="1"/>
  <c r="R64" i="1"/>
  <c r="S64" i="1" s="1"/>
  <c r="T64" i="1" s="1"/>
  <c r="V66" i="1"/>
  <c r="W66" i="1" s="1"/>
  <c r="N298" i="1"/>
  <c r="AI299" i="1" l="1"/>
  <c r="P60" i="1"/>
  <c r="Q60" i="1" s="1"/>
  <c r="AB60" i="1" s="1"/>
  <c r="R65" i="1"/>
  <c r="U67" i="1"/>
  <c r="N299" i="1"/>
  <c r="AI300" i="1" l="1"/>
  <c r="AI301" i="1" s="1"/>
  <c r="AH300" i="1"/>
  <c r="AH301" i="1" s="1"/>
  <c r="AG300" i="1"/>
  <c r="AG301" i="1" s="1"/>
  <c r="O61" i="1"/>
  <c r="S65" i="1"/>
  <c r="T65" i="1" s="1"/>
  <c r="V67" i="1"/>
  <c r="W67" i="1" s="1"/>
  <c r="N300" i="1"/>
  <c r="P61" i="1" l="1"/>
  <c r="Q61" i="1" s="1"/>
  <c r="AB61" i="1" s="1"/>
  <c r="R66" i="1"/>
  <c r="S66" i="1" s="1"/>
  <c r="T66" i="1" s="1"/>
  <c r="U68" i="1"/>
  <c r="N301" i="1"/>
  <c r="AG302" i="1" l="1"/>
  <c r="AG303" i="1" s="1"/>
  <c r="AH302" i="1"/>
  <c r="AI302" i="1"/>
  <c r="O62" i="1"/>
  <c r="R67" i="1"/>
  <c r="V68" i="1"/>
  <c r="W68" i="1" s="1"/>
  <c r="N302" i="1"/>
  <c r="AH303" i="1" l="1"/>
  <c r="AH304" i="1" s="1"/>
  <c r="AI303" i="1"/>
  <c r="P62" i="1"/>
  <c r="Q62" i="1" s="1"/>
  <c r="AB62" i="1" s="1"/>
  <c r="S67" i="1"/>
  <c r="T67" i="1" s="1"/>
  <c r="U69" i="1"/>
  <c r="N303" i="1"/>
  <c r="AG304" i="1" s="1"/>
  <c r="AI304" i="1" l="1"/>
  <c r="AI305" i="1" s="1"/>
  <c r="O63" i="1"/>
  <c r="R68" i="1"/>
  <c r="V69" i="1"/>
  <c r="W69" i="1" s="1"/>
  <c r="N304" i="1"/>
  <c r="AH305" i="1" l="1"/>
  <c r="AG305" i="1"/>
  <c r="P63" i="1"/>
  <c r="Q63" i="1" s="1"/>
  <c r="AB63" i="1" s="1"/>
  <c r="S68" i="1"/>
  <c r="T68" i="1" s="1"/>
  <c r="U70" i="1"/>
  <c r="N305" i="1"/>
  <c r="AI306" i="1" s="1"/>
  <c r="O64" i="1" l="1"/>
  <c r="AH306" i="1"/>
  <c r="AG306" i="1"/>
  <c r="R69" i="1"/>
  <c r="V70" i="1"/>
  <c r="W70" i="1" s="1"/>
  <c r="N306" i="1"/>
  <c r="AI307" i="1" s="1"/>
  <c r="P64" i="1" l="1"/>
  <c r="Q64" i="1" s="1"/>
  <c r="AB64" i="1" s="1"/>
  <c r="AH307" i="1"/>
  <c r="AG307" i="1"/>
  <c r="S69" i="1"/>
  <c r="T69" i="1" s="1"/>
  <c r="U71" i="1"/>
  <c r="N307" i="1"/>
  <c r="AI308" i="1" s="1"/>
  <c r="O65" i="1" l="1"/>
  <c r="AH308" i="1"/>
  <c r="AH309" i="1" s="1"/>
  <c r="AG308" i="1"/>
  <c r="R70" i="1"/>
  <c r="V71" i="1"/>
  <c r="W71" i="1" s="1"/>
  <c r="N308" i="1"/>
  <c r="AI309" i="1" s="1"/>
  <c r="P65" i="1" l="1"/>
  <c r="Q65" i="1" s="1"/>
  <c r="AB65" i="1" s="1"/>
  <c r="AG309" i="1"/>
  <c r="AG310" i="1" s="1"/>
  <c r="S70" i="1"/>
  <c r="T70" i="1" s="1"/>
  <c r="U72" i="1"/>
  <c r="N309" i="1"/>
  <c r="O66" i="1" l="1"/>
  <c r="AH310" i="1"/>
  <c r="AH311" i="1" s="1"/>
  <c r="AI310" i="1"/>
  <c r="AI311" i="1" s="1"/>
  <c r="R71" i="1"/>
  <c r="V72" i="1"/>
  <c r="W72" i="1" s="1"/>
  <c r="N310" i="1"/>
  <c r="AG311" i="1" s="1"/>
  <c r="P66" i="1" l="1"/>
  <c r="Q66" i="1" s="1"/>
  <c r="AB66" i="1" s="1"/>
  <c r="S71" i="1"/>
  <c r="T71" i="1" s="1"/>
  <c r="U73" i="1"/>
  <c r="N311" i="1"/>
  <c r="O67" i="1" l="1"/>
  <c r="AI312" i="1"/>
  <c r="AI313" i="1" s="1"/>
  <c r="AH312" i="1"/>
  <c r="AH313" i="1" s="1"/>
  <c r="AG312" i="1"/>
  <c r="R72" i="1"/>
  <c r="V73" i="1"/>
  <c r="W73" i="1" s="1"/>
  <c r="N312" i="1"/>
  <c r="P67" i="1" l="1"/>
  <c r="Q67" i="1" s="1"/>
  <c r="AB67" i="1" s="1"/>
  <c r="AG313" i="1"/>
  <c r="AG314" i="1" s="1"/>
  <c r="S72" i="1"/>
  <c r="T72" i="1" s="1"/>
  <c r="U74" i="1"/>
  <c r="N313" i="1"/>
  <c r="O68" i="1" l="1"/>
  <c r="AH314" i="1"/>
  <c r="AH315" i="1" s="1"/>
  <c r="AI314" i="1"/>
  <c r="R73" i="1"/>
  <c r="V74" i="1"/>
  <c r="W74" i="1" s="1"/>
  <c r="N314" i="1"/>
  <c r="AG315" i="1" s="1"/>
  <c r="P68" i="1" l="1"/>
  <c r="Q68" i="1" s="1"/>
  <c r="AB68" i="1" s="1"/>
  <c r="AI315" i="1"/>
  <c r="AI316" i="1" s="1"/>
  <c r="S73" i="1"/>
  <c r="T73" i="1" s="1"/>
  <c r="U75" i="1"/>
  <c r="N315" i="1"/>
  <c r="O69" i="1" l="1"/>
  <c r="AH316" i="1"/>
  <c r="AH317" i="1" s="1"/>
  <c r="AG316" i="1"/>
  <c r="R74" i="1"/>
  <c r="V75" i="1"/>
  <c r="W75" i="1" s="1"/>
  <c r="N316" i="1"/>
  <c r="AI317" i="1" s="1"/>
  <c r="S74" i="1" l="1"/>
  <c r="T74" i="1" s="1"/>
  <c r="P69" i="1"/>
  <c r="Q69" i="1" s="1"/>
  <c r="AB69" i="1" s="1"/>
  <c r="AG317" i="1"/>
  <c r="AG318" i="1" s="1"/>
  <c r="U76" i="1"/>
  <c r="N317" i="1"/>
  <c r="R75" i="1" l="1"/>
  <c r="O70" i="1"/>
  <c r="AH318" i="1"/>
  <c r="AH319" i="1" s="1"/>
  <c r="AI318" i="1"/>
  <c r="V76" i="1"/>
  <c r="W76" i="1" s="1"/>
  <c r="N318" i="1"/>
  <c r="AG319" i="1" s="1"/>
  <c r="S75" i="1" l="1"/>
  <c r="T75" i="1" s="1"/>
  <c r="P70" i="1"/>
  <c r="Q70" i="1" s="1"/>
  <c r="AB70" i="1" s="1"/>
  <c r="AI319" i="1"/>
  <c r="AI320" i="1" s="1"/>
  <c r="U77" i="1"/>
  <c r="N319" i="1"/>
  <c r="R76" i="1" l="1"/>
  <c r="S76" i="1" s="1"/>
  <c r="T76" i="1" s="1"/>
  <c r="O71" i="1"/>
  <c r="AH320" i="1"/>
  <c r="AH321" i="1" s="1"/>
  <c r="AG320" i="1"/>
  <c r="V77" i="1"/>
  <c r="W77" i="1" s="1"/>
  <c r="N320" i="1"/>
  <c r="AI321" i="1" s="1"/>
  <c r="P71" i="1" l="1"/>
  <c r="Q71" i="1" s="1"/>
  <c r="AB71" i="1" s="1"/>
  <c r="R77" i="1"/>
  <c r="AG321" i="1"/>
  <c r="AG322" i="1" s="1"/>
  <c r="U78" i="1"/>
  <c r="N321" i="1"/>
  <c r="O72" i="1" l="1"/>
  <c r="S77" i="1"/>
  <c r="T77" i="1" s="1"/>
  <c r="AH322" i="1"/>
  <c r="AH323" i="1" s="1"/>
  <c r="AI322" i="1"/>
  <c r="V78" i="1"/>
  <c r="W78" i="1" s="1"/>
  <c r="N322" i="1"/>
  <c r="AG323" i="1" s="1"/>
  <c r="P72" i="1" l="1"/>
  <c r="Q72" i="1" s="1"/>
  <c r="AB72" i="1" s="1"/>
  <c r="R78" i="1"/>
  <c r="AI323" i="1"/>
  <c r="AI324" i="1" s="1"/>
  <c r="U79" i="1"/>
  <c r="N323" i="1"/>
  <c r="O73" i="1" l="1"/>
  <c r="S78" i="1"/>
  <c r="T78" i="1" s="1"/>
  <c r="AH324" i="1"/>
  <c r="AH325" i="1" s="1"/>
  <c r="AG324" i="1"/>
  <c r="V79" i="1"/>
  <c r="W79" i="1" s="1"/>
  <c r="N324" i="1"/>
  <c r="AI325" i="1" s="1"/>
  <c r="P73" i="1" l="1"/>
  <c r="Q73" i="1" s="1"/>
  <c r="AB73" i="1" s="1"/>
  <c r="R79" i="1"/>
  <c r="AG325" i="1"/>
  <c r="AG326" i="1" s="1"/>
  <c r="U80" i="1"/>
  <c r="N325" i="1"/>
  <c r="O74" i="1" l="1"/>
  <c r="S79" i="1"/>
  <c r="T79" i="1" s="1"/>
  <c r="AH326" i="1"/>
  <c r="AH327" i="1" s="1"/>
  <c r="AI326" i="1"/>
  <c r="V80" i="1"/>
  <c r="W80" i="1" s="1"/>
  <c r="N326" i="1"/>
  <c r="AG327" i="1" s="1"/>
  <c r="P74" i="1" l="1"/>
  <c r="Q74" i="1" s="1"/>
  <c r="AB74" i="1" s="1"/>
  <c r="R80" i="1"/>
  <c r="S80" i="1" s="1"/>
  <c r="T80" i="1" s="1"/>
  <c r="AI327" i="1"/>
  <c r="AI328" i="1" s="1"/>
  <c r="U81" i="1"/>
  <c r="N327" i="1"/>
  <c r="O75" i="1" l="1"/>
  <c r="P75" i="1" s="1"/>
  <c r="Q75" i="1" s="1"/>
  <c r="AB75" i="1" s="1"/>
  <c r="R81" i="1"/>
  <c r="S81" i="1" s="1"/>
  <c r="T81" i="1" s="1"/>
  <c r="AH328" i="1"/>
  <c r="AH329" i="1" s="1"/>
  <c r="AG328" i="1"/>
  <c r="V81" i="1"/>
  <c r="W81" i="1" s="1"/>
  <c r="N328" i="1"/>
  <c r="AI329" i="1" s="1"/>
  <c r="R82" i="1" l="1"/>
  <c r="AG329" i="1"/>
  <c r="AG330" i="1" s="1"/>
  <c r="O76" i="1"/>
  <c r="U82" i="1"/>
  <c r="N329" i="1"/>
  <c r="S82" i="1" l="1"/>
  <c r="T82" i="1" s="1"/>
  <c r="AH330" i="1"/>
  <c r="AH331" i="1" s="1"/>
  <c r="AI330" i="1"/>
  <c r="P76" i="1"/>
  <c r="Q76" i="1" s="1"/>
  <c r="AB76" i="1" s="1"/>
  <c r="V82" i="1"/>
  <c r="W82" i="1" s="1"/>
  <c r="N330" i="1"/>
  <c r="AG331" i="1" s="1"/>
  <c r="R83" i="1" l="1"/>
  <c r="AI331" i="1"/>
  <c r="AI332" i="1" s="1"/>
  <c r="U83" i="1"/>
  <c r="O77" i="1"/>
  <c r="N331" i="1"/>
  <c r="S83" i="1" l="1"/>
  <c r="T83" i="1" s="1"/>
  <c r="AH332" i="1"/>
  <c r="AH333" i="1" s="1"/>
  <c r="AG332" i="1"/>
  <c r="V83" i="1"/>
  <c r="W83" i="1" s="1"/>
  <c r="P77" i="1"/>
  <c r="Q77" i="1" s="1"/>
  <c r="AB77" i="1" s="1"/>
  <c r="N332" i="1"/>
  <c r="AI333" i="1" s="1"/>
  <c r="R84" i="1" l="1"/>
  <c r="S84" i="1" s="1"/>
  <c r="T84" i="1" s="1"/>
  <c r="AG333" i="1"/>
  <c r="AG334" i="1" s="1"/>
  <c r="U84" i="1"/>
  <c r="O78" i="1"/>
  <c r="N333" i="1"/>
  <c r="R85" i="1" l="1"/>
  <c r="AH334" i="1"/>
  <c r="AI334" i="1"/>
  <c r="V84" i="1"/>
  <c r="W84" i="1" s="1"/>
  <c r="U85" i="1" s="1"/>
  <c r="P78" i="1"/>
  <c r="Q78" i="1" s="1"/>
  <c r="N334" i="1"/>
  <c r="AG335" i="1" s="1"/>
  <c r="S85" i="1" l="1"/>
  <c r="T85" i="1" s="1"/>
  <c r="AI335" i="1"/>
  <c r="AI336" i="1" s="1"/>
  <c r="AH335" i="1"/>
  <c r="V85" i="1"/>
  <c r="W85" i="1" s="1"/>
  <c r="O79" i="1"/>
  <c r="AB78" i="1"/>
  <c r="N335" i="1"/>
  <c r="AG336" i="1" s="1"/>
  <c r="R86" i="1" l="1"/>
  <c r="AH336" i="1"/>
  <c r="AH337" i="1" s="1"/>
  <c r="P79" i="1"/>
  <c r="Q79" i="1" s="1"/>
  <c r="AB79" i="1" s="1"/>
  <c r="U86" i="1"/>
  <c r="N336" i="1"/>
  <c r="S86" i="1" l="1"/>
  <c r="T86" i="1" s="1"/>
  <c r="AI337" i="1"/>
  <c r="AI338" i="1" s="1"/>
  <c r="AG337" i="1"/>
  <c r="V86" i="1"/>
  <c r="W86" i="1" s="1"/>
  <c r="O80" i="1"/>
  <c r="P80" i="1" s="1"/>
  <c r="Q80" i="1" s="1"/>
  <c r="AB80" i="1" s="1"/>
  <c r="N337" i="1"/>
  <c r="AH338" i="1" s="1"/>
  <c r="R87" i="1" l="1"/>
  <c r="S87" i="1" s="1"/>
  <c r="T87" i="1" s="1"/>
  <c r="AG338" i="1"/>
  <c r="AG339" i="1" s="1"/>
  <c r="U87" i="1"/>
  <c r="O81" i="1"/>
  <c r="N338" i="1"/>
  <c r="R88" i="1" l="1"/>
  <c r="AI339" i="1"/>
  <c r="AI340" i="1" s="1"/>
  <c r="AH339" i="1"/>
  <c r="V87" i="1"/>
  <c r="W87" i="1" s="1"/>
  <c r="P81" i="1"/>
  <c r="Q81" i="1" s="1"/>
  <c r="AB81" i="1" s="1"/>
  <c r="N339" i="1"/>
  <c r="AG340" i="1" s="1"/>
  <c r="S88" i="1" l="1"/>
  <c r="T88" i="1" s="1"/>
  <c r="AH340" i="1"/>
  <c r="AH341" i="1" s="1"/>
  <c r="U88" i="1"/>
  <c r="O82" i="1"/>
  <c r="N340" i="1"/>
  <c r="R89" i="1" l="1"/>
  <c r="AI341" i="1"/>
  <c r="AI342" i="1" s="1"/>
  <c r="AG341" i="1"/>
  <c r="P82" i="1"/>
  <c r="Q82" i="1" s="1"/>
  <c r="AB82" i="1" s="1"/>
  <c r="V88" i="1"/>
  <c r="W88" i="1" s="1"/>
  <c r="N341" i="1"/>
  <c r="AH342" i="1" s="1"/>
  <c r="S89" i="1" l="1"/>
  <c r="T89" i="1" s="1"/>
  <c r="R90" i="1" s="1"/>
  <c r="AG342" i="1"/>
  <c r="AG343" i="1" s="1"/>
  <c r="U89" i="1"/>
  <c r="O83" i="1"/>
  <c r="N342" i="1"/>
  <c r="S90" i="1" l="1"/>
  <c r="T90" i="1" s="1"/>
  <c r="AI343" i="1"/>
  <c r="AI344" i="1" s="1"/>
  <c r="AH343" i="1"/>
  <c r="V89" i="1"/>
  <c r="W89" i="1" s="1"/>
  <c r="P83" i="1"/>
  <c r="Q83" i="1" s="1"/>
  <c r="AB83" i="1" s="1"/>
  <c r="N343" i="1"/>
  <c r="AG344" i="1" s="1"/>
  <c r="R91" i="1" l="1"/>
  <c r="U90" i="1"/>
  <c r="AH344" i="1"/>
  <c r="AH345" i="1" s="1"/>
  <c r="O84" i="1"/>
  <c r="P84" i="1" s="1"/>
  <c r="Q84" i="1" s="1"/>
  <c r="AB84" i="1" s="1"/>
  <c r="N344" i="1"/>
  <c r="S91" i="1" l="1"/>
  <c r="T91" i="1" s="1"/>
  <c r="V90" i="1"/>
  <c r="W90" i="1" s="1"/>
  <c r="O85" i="1"/>
  <c r="AI345" i="1"/>
  <c r="AI346" i="1" s="1"/>
  <c r="AG345" i="1"/>
  <c r="AG346" i="1" s="1"/>
  <c r="N345" i="1"/>
  <c r="AH346" i="1" s="1"/>
  <c r="R92" i="1" l="1"/>
  <c r="U91" i="1"/>
  <c r="P85" i="1"/>
  <c r="Q85" i="1" s="1"/>
  <c r="AB85" i="1" s="1"/>
  <c r="N346" i="1"/>
  <c r="V91" i="1" l="1"/>
  <c r="W91" i="1" s="1"/>
  <c r="S92" i="1"/>
  <c r="T92" i="1" s="1"/>
  <c r="O86" i="1"/>
  <c r="AG347" i="1"/>
  <c r="AG348" i="1" s="1"/>
  <c r="AI347" i="1"/>
  <c r="AH347" i="1"/>
  <c r="N347" i="1"/>
  <c r="U92" i="1" l="1"/>
  <c r="R93" i="1"/>
  <c r="P86" i="1"/>
  <c r="Q86" i="1" s="1"/>
  <c r="AB86" i="1" s="1"/>
  <c r="AI348" i="1"/>
  <c r="AI349" i="1" s="1"/>
  <c r="AH348" i="1"/>
  <c r="AH349" i="1" s="1"/>
  <c r="N348" i="1"/>
  <c r="AG349" i="1" s="1"/>
  <c r="V92" i="1" l="1"/>
  <c r="W92" i="1" s="1"/>
  <c r="S93" i="1"/>
  <c r="T93" i="1" s="1"/>
  <c r="O87" i="1"/>
  <c r="N349" i="1"/>
  <c r="U93" i="1" l="1"/>
  <c r="R94" i="1"/>
  <c r="P87" i="1"/>
  <c r="Q87" i="1" s="1"/>
  <c r="AB87" i="1" s="1"/>
  <c r="AH350" i="1"/>
  <c r="AH351" i="1" s="1"/>
  <c r="AI350" i="1"/>
  <c r="AI351" i="1" s="1"/>
  <c r="AG350" i="1"/>
  <c r="AG351" i="1" s="1"/>
  <c r="N350" i="1"/>
  <c r="V93" i="1" l="1"/>
  <c r="W93" i="1" s="1"/>
  <c r="S94" i="1"/>
  <c r="T94" i="1" s="1"/>
  <c r="O88" i="1"/>
  <c r="N351" i="1"/>
  <c r="U94" i="1" l="1"/>
  <c r="R95" i="1"/>
  <c r="P88" i="1"/>
  <c r="Q88" i="1" s="1"/>
  <c r="AB88" i="1" s="1"/>
  <c r="AI352" i="1"/>
  <c r="AI353" i="1" s="1"/>
  <c r="AH352" i="1"/>
  <c r="AG352" i="1"/>
  <c r="N352" i="1"/>
  <c r="V94" i="1" l="1"/>
  <c r="W94" i="1" s="1"/>
  <c r="S95" i="1"/>
  <c r="T95" i="1" s="1"/>
  <c r="O89" i="1"/>
  <c r="AH353" i="1"/>
  <c r="AH354" i="1" s="1"/>
  <c r="AG353" i="1"/>
  <c r="AG354" i="1" s="1"/>
  <c r="N353" i="1"/>
  <c r="AI354" i="1" s="1"/>
  <c r="U95" i="1" l="1"/>
  <c r="V95" i="1" s="1"/>
  <c r="W95" i="1" s="1"/>
  <c r="R96" i="1"/>
  <c r="P89" i="1"/>
  <c r="Q89" i="1" s="1"/>
  <c r="AB89" i="1" s="1"/>
  <c r="N354" i="1"/>
  <c r="S96" i="1" l="1"/>
  <c r="T96" i="1" s="1"/>
  <c r="O90" i="1"/>
  <c r="AG355" i="1"/>
  <c r="AG356" i="1" s="1"/>
  <c r="AH355" i="1"/>
  <c r="AH356" i="1" s="1"/>
  <c r="AI355" i="1"/>
  <c r="U96" i="1"/>
  <c r="N355" i="1"/>
  <c r="R97" i="1" l="1"/>
  <c r="P90" i="1"/>
  <c r="Q90" i="1" s="1"/>
  <c r="AB90" i="1" s="1"/>
  <c r="AI356" i="1"/>
  <c r="AI357" i="1" s="1"/>
  <c r="V96" i="1"/>
  <c r="W96" i="1" s="1"/>
  <c r="N356" i="1"/>
  <c r="S97" i="1" l="1"/>
  <c r="T97" i="1" s="1"/>
  <c r="O91" i="1"/>
  <c r="AH357" i="1"/>
  <c r="AH358" i="1" s="1"/>
  <c r="AG357" i="1"/>
  <c r="U97" i="1"/>
  <c r="N357" i="1"/>
  <c r="AI358" i="1" s="1"/>
  <c r="R98" i="1" l="1"/>
  <c r="P91" i="1"/>
  <c r="Q91" i="1" s="1"/>
  <c r="AB91" i="1" s="1"/>
  <c r="AG358" i="1"/>
  <c r="AG359" i="1" s="1"/>
  <c r="V97" i="1"/>
  <c r="W97" i="1" s="1"/>
  <c r="N358" i="1"/>
  <c r="S98" i="1" l="1"/>
  <c r="T98" i="1" s="1"/>
  <c r="O92" i="1"/>
  <c r="AH359" i="1"/>
  <c r="AH360" i="1" s="1"/>
  <c r="AI359" i="1"/>
  <c r="AI360" i="1" s="1"/>
  <c r="U98" i="1"/>
  <c r="N359" i="1"/>
  <c r="AG360" i="1" s="1"/>
  <c r="P92" i="1" l="1"/>
  <c r="Q92" i="1" s="1"/>
  <c r="AB92" i="1" s="1"/>
  <c r="R99" i="1"/>
  <c r="S99" i="1" s="1"/>
  <c r="T99" i="1" s="1"/>
  <c r="R100" i="1" s="1"/>
  <c r="S100" i="1" s="1"/>
  <c r="T100" i="1" s="1"/>
  <c r="V98" i="1"/>
  <c r="W98" i="1" s="1"/>
  <c r="N360" i="1"/>
  <c r="O93" i="1" l="1"/>
  <c r="AI361" i="1"/>
  <c r="AI362" i="1" s="1"/>
  <c r="AH361" i="1"/>
  <c r="AH362" i="1" s="1"/>
  <c r="AG361" i="1"/>
  <c r="U99" i="1"/>
  <c r="R101" i="1"/>
  <c r="N361" i="1"/>
  <c r="P93" i="1" l="1"/>
  <c r="Q93" i="1" s="1"/>
  <c r="AG362" i="1"/>
  <c r="V99" i="1"/>
  <c r="W99" i="1" s="1"/>
  <c r="S101" i="1"/>
  <c r="T101" i="1" s="1"/>
  <c r="N362" i="1"/>
  <c r="O94" i="1" l="1"/>
  <c r="P94" i="1" s="1"/>
  <c r="Q94" i="1" s="1"/>
  <c r="AB94" i="1" s="1"/>
  <c r="AB93" i="1"/>
  <c r="AG363" i="1"/>
  <c r="AG364" i="1" s="1"/>
  <c r="AH363" i="1"/>
  <c r="AH364" i="1" s="1"/>
  <c r="AI363" i="1"/>
  <c r="U100" i="1"/>
  <c r="R102" i="1"/>
  <c r="N363" i="1"/>
  <c r="O95" i="1" l="1"/>
  <c r="P95" i="1" s="1"/>
  <c r="Q95" i="1" s="1"/>
  <c r="AB95" i="1" s="1"/>
  <c r="AI364" i="1"/>
  <c r="V100" i="1"/>
  <c r="W100" i="1" s="1"/>
  <c r="S102" i="1"/>
  <c r="T102" i="1" s="1"/>
  <c r="N364" i="1"/>
  <c r="AI365" i="1" l="1"/>
  <c r="AI366" i="1" s="1"/>
  <c r="AH365" i="1"/>
  <c r="AH366" i="1" s="1"/>
  <c r="AG365" i="1"/>
  <c r="U101" i="1"/>
  <c r="O96" i="1"/>
  <c r="R103" i="1"/>
  <c r="N365" i="1"/>
  <c r="AG366" i="1" l="1"/>
  <c r="V101" i="1"/>
  <c r="W101" i="1" s="1"/>
  <c r="P96" i="1"/>
  <c r="Q96" i="1" s="1"/>
  <c r="AB96" i="1" s="1"/>
  <c r="S103" i="1"/>
  <c r="T103" i="1" s="1"/>
  <c r="N366" i="1"/>
  <c r="AG367" i="1" l="1"/>
  <c r="AG368" i="1" s="1"/>
  <c r="AH367" i="1"/>
  <c r="AH368" i="1" s="1"/>
  <c r="AI367" i="1"/>
  <c r="U102" i="1"/>
  <c r="O97" i="1"/>
  <c r="R104" i="1"/>
  <c r="N367" i="1"/>
  <c r="AI368" i="1" l="1"/>
  <c r="V102" i="1"/>
  <c r="W102" i="1" s="1"/>
  <c r="P97" i="1"/>
  <c r="Q97" i="1" s="1"/>
  <c r="AB97" i="1" s="1"/>
  <c r="S104" i="1"/>
  <c r="T104" i="1" s="1"/>
  <c r="N368" i="1"/>
  <c r="AI369" i="1" l="1"/>
  <c r="AI370" i="1" s="1"/>
  <c r="AG369" i="1"/>
  <c r="AG370" i="1" s="1"/>
  <c r="AH369" i="1"/>
  <c r="AH370" i="1" s="1"/>
  <c r="U103" i="1"/>
  <c r="O98" i="1"/>
  <c r="R105" i="1"/>
  <c r="N369" i="1"/>
  <c r="V103" i="1" l="1"/>
  <c r="W103" i="1" s="1"/>
  <c r="P98" i="1"/>
  <c r="Q98" i="1" s="1"/>
  <c r="AB98" i="1" s="1"/>
  <c r="S105" i="1"/>
  <c r="T105" i="1" s="1"/>
  <c r="N370" i="1"/>
  <c r="AH371" i="1" l="1"/>
  <c r="AI371" i="1"/>
  <c r="AG371" i="1"/>
  <c r="U104" i="1"/>
  <c r="O99" i="1"/>
  <c r="P99" i="1" s="1"/>
  <c r="Q99" i="1"/>
  <c r="AB99" i="1" s="1"/>
  <c r="R106" i="1"/>
  <c r="N371" i="1"/>
  <c r="AH372" i="1" l="1"/>
  <c r="AH373" i="1" s="1"/>
  <c r="AI372" i="1"/>
  <c r="AI373" i="1" s="1"/>
  <c r="AG372" i="1"/>
  <c r="V104" i="1"/>
  <c r="W104" i="1" s="1"/>
  <c r="O100" i="1"/>
  <c r="S106" i="1"/>
  <c r="T106" i="1" s="1"/>
  <c r="N372" i="1"/>
  <c r="AG373" i="1" l="1"/>
  <c r="AG374" i="1" s="1"/>
  <c r="U105" i="1"/>
  <c r="P100" i="1"/>
  <c r="Q100" i="1" s="1"/>
  <c r="AB100" i="1" s="1"/>
  <c r="R107" i="1"/>
  <c r="N373" i="1"/>
  <c r="AI374" i="1" l="1"/>
  <c r="AI375" i="1" s="1"/>
  <c r="AH374" i="1"/>
  <c r="V105" i="1"/>
  <c r="W105" i="1" s="1"/>
  <c r="S107" i="1"/>
  <c r="T107" i="1" s="1"/>
  <c r="R108" i="1" s="1"/>
  <c r="O101" i="1"/>
  <c r="P101" i="1" s="1"/>
  <c r="Q101" i="1" s="1"/>
  <c r="AB101" i="1" s="1"/>
  <c r="N374" i="1"/>
  <c r="AG375" i="1" s="1"/>
  <c r="AH375" i="1" l="1"/>
  <c r="U106" i="1"/>
  <c r="S108" i="1"/>
  <c r="T108" i="1" s="1"/>
  <c r="O102" i="1"/>
  <c r="N375" i="1"/>
  <c r="AH376" i="1" l="1"/>
  <c r="AI376" i="1"/>
  <c r="AG376" i="1"/>
  <c r="V106" i="1"/>
  <c r="W106" i="1" s="1"/>
  <c r="P102" i="1"/>
  <c r="Q102" i="1" s="1"/>
  <c r="AB102" i="1" s="1"/>
  <c r="R109" i="1"/>
  <c r="N376" i="1"/>
  <c r="AH377" i="1" l="1"/>
  <c r="AI377" i="1"/>
  <c r="AG377" i="1"/>
  <c r="U107" i="1"/>
  <c r="O103" i="1"/>
  <c r="P103" i="1" s="1"/>
  <c r="Q103" i="1" s="1"/>
  <c r="AB103" i="1" s="1"/>
  <c r="S109" i="1"/>
  <c r="T109" i="1" s="1"/>
  <c r="N377" i="1"/>
  <c r="AH378" i="1" l="1"/>
  <c r="AI378" i="1"/>
  <c r="AG378" i="1"/>
  <c r="V107" i="1"/>
  <c r="W107" i="1" s="1"/>
  <c r="O104" i="1"/>
  <c r="R110" i="1"/>
  <c r="S110" i="1" s="1"/>
  <c r="T110" i="1" s="1"/>
  <c r="N378" i="1"/>
  <c r="AH379" i="1" l="1"/>
  <c r="AI379" i="1"/>
  <c r="AG379" i="1"/>
  <c r="U108" i="1"/>
  <c r="P104" i="1"/>
  <c r="Q104" i="1" s="1"/>
  <c r="R111" i="1"/>
  <c r="N379" i="1"/>
  <c r="AH380" i="1" l="1"/>
  <c r="AI380" i="1"/>
  <c r="AG380" i="1"/>
  <c r="V108" i="1"/>
  <c r="W108" i="1" s="1"/>
  <c r="O105" i="1"/>
  <c r="AB104" i="1"/>
  <c r="S111" i="1"/>
  <c r="T111" i="1" s="1"/>
  <c r="N380" i="1"/>
  <c r="AH381" i="1" l="1"/>
  <c r="AH382" i="1" s="1"/>
  <c r="AI381" i="1"/>
  <c r="AI382" i="1" s="1"/>
  <c r="AG381" i="1"/>
  <c r="U109" i="1"/>
  <c r="P105" i="1"/>
  <c r="Q105" i="1" s="1"/>
  <c r="AB105" i="1" s="1"/>
  <c r="R112" i="1"/>
  <c r="N381" i="1"/>
  <c r="AG382" i="1" l="1"/>
  <c r="V109" i="1"/>
  <c r="W109" i="1" s="1"/>
  <c r="O106" i="1"/>
  <c r="P106" i="1" s="1"/>
  <c r="Q106" i="1" s="1"/>
  <c r="AB106" i="1" s="1"/>
  <c r="S112" i="1"/>
  <c r="T112" i="1" s="1"/>
  <c r="N382" i="1"/>
  <c r="AG383" i="1" l="1"/>
  <c r="AG384" i="1" s="1"/>
  <c r="AH383" i="1"/>
  <c r="AH384" i="1" s="1"/>
  <c r="AI383" i="1"/>
  <c r="U110" i="1"/>
  <c r="O107" i="1"/>
  <c r="R113" i="1"/>
  <c r="N383" i="1"/>
  <c r="AI384" i="1" l="1"/>
  <c r="AI385" i="1" s="1"/>
  <c r="P107" i="1"/>
  <c r="Q107" i="1" s="1"/>
  <c r="AB107" i="1" s="1"/>
  <c r="V110" i="1"/>
  <c r="W110" i="1" s="1"/>
  <c r="S113" i="1"/>
  <c r="T113" i="1" s="1"/>
  <c r="N384" i="1"/>
  <c r="AG385" i="1" l="1"/>
  <c r="AG386" i="1" s="1"/>
  <c r="AH385" i="1"/>
  <c r="AH386" i="1" s="1"/>
  <c r="O108" i="1"/>
  <c r="U111" i="1"/>
  <c r="R114" i="1"/>
  <c r="N385" i="1"/>
  <c r="AI386" i="1" s="1"/>
  <c r="P108" i="1" l="1"/>
  <c r="Q108" i="1" s="1"/>
  <c r="AB108" i="1" s="1"/>
  <c r="V111" i="1"/>
  <c r="W111" i="1" s="1"/>
  <c r="S114" i="1"/>
  <c r="T114" i="1" s="1"/>
  <c r="N386" i="1"/>
  <c r="AG387" i="1" l="1"/>
  <c r="AG388" i="1" s="1"/>
  <c r="AH387" i="1"/>
  <c r="AH388" i="1" s="1"/>
  <c r="AI387" i="1"/>
  <c r="AI388" i="1" s="1"/>
  <c r="O109" i="1"/>
  <c r="R115" i="1"/>
  <c r="S115" i="1" s="1"/>
  <c r="T115" i="1" s="1"/>
  <c r="U112" i="1"/>
  <c r="N387" i="1"/>
  <c r="P109" i="1" l="1"/>
  <c r="Q109" i="1" s="1"/>
  <c r="AB109" i="1" s="1"/>
  <c r="R116" i="1"/>
  <c r="S116" i="1" s="1"/>
  <c r="T116" i="1" s="1"/>
  <c r="V112" i="1"/>
  <c r="W112" i="1" s="1"/>
  <c r="N388" i="1"/>
  <c r="AH389" i="1" l="1"/>
  <c r="AH390" i="1" s="1"/>
  <c r="AI389" i="1"/>
  <c r="AI390" i="1" s="1"/>
  <c r="AG389" i="1"/>
  <c r="O110" i="1"/>
  <c r="R117" i="1"/>
  <c r="S117" i="1" s="1"/>
  <c r="U113" i="1"/>
  <c r="T117" i="1"/>
  <c r="N389" i="1"/>
  <c r="AG390" i="1" l="1"/>
  <c r="P110" i="1"/>
  <c r="Q110" i="1" s="1"/>
  <c r="AB110" i="1" s="1"/>
  <c r="V113" i="1"/>
  <c r="W113" i="1" s="1"/>
  <c r="R118" i="1"/>
  <c r="N390" i="1"/>
  <c r="AG391" i="1" l="1"/>
  <c r="AG392" i="1" s="1"/>
  <c r="AH391" i="1"/>
  <c r="AH392" i="1" s="1"/>
  <c r="AI391" i="1"/>
  <c r="O111" i="1"/>
  <c r="U114" i="1"/>
  <c r="S118" i="1"/>
  <c r="T118" i="1" s="1"/>
  <c r="N391" i="1"/>
  <c r="AI392" i="1" l="1"/>
  <c r="AI393" i="1" s="1"/>
  <c r="P111" i="1"/>
  <c r="Q111" i="1" s="1"/>
  <c r="AB111" i="1" s="1"/>
  <c r="V114" i="1"/>
  <c r="W114" i="1" s="1"/>
  <c r="R119" i="1"/>
  <c r="N392" i="1"/>
  <c r="Y3" i="1"/>
  <c r="AG393" i="1" l="1"/>
  <c r="AG394" i="1" s="1"/>
  <c r="AH393" i="1"/>
  <c r="AH394" i="1" s="1"/>
  <c r="O112" i="1"/>
  <c r="S119" i="1"/>
  <c r="T119" i="1" s="1"/>
  <c r="U115" i="1"/>
  <c r="N393" i="1"/>
  <c r="AI394" i="1" s="1"/>
  <c r="Y4" i="1"/>
  <c r="P112" i="1" l="1"/>
  <c r="Q112" i="1" s="1"/>
  <c r="AB112" i="1" s="1"/>
  <c r="R120" i="1"/>
  <c r="V115" i="1"/>
  <c r="W115" i="1" s="1"/>
  <c r="N394" i="1"/>
  <c r="Y5" i="1"/>
  <c r="AG395" i="1" l="1"/>
  <c r="AG396" i="1" s="1"/>
  <c r="AH395" i="1"/>
  <c r="AH396" i="1" s="1"/>
  <c r="AI395" i="1"/>
  <c r="O113" i="1"/>
  <c r="S120" i="1"/>
  <c r="T120" i="1" s="1"/>
  <c r="U116" i="1"/>
  <c r="N395" i="1"/>
  <c r="Y6" i="1"/>
  <c r="AI396" i="1" l="1"/>
  <c r="P113" i="1"/>
  <c r="Q113" i="1" s="1"/>
  <c r="AB113" i="1" s="1"/>
  <c r="R121" i="1"/>
  <c r="S121" i="1" s="1"/>
  <c r="T121" i="1" s="1"/>
  <c r="V116" i="1"/>
  <c r="W116" i="1" s="1"/>
  <c r="N396" i="1"/>
  <c r="Y7" i="1"/>
  <c r="AI397" i="1" l="1"/>
  <c r="AI398" i="1" s="1"/>
  <c r="AH397" i="1"/>
  <c r="AG397" i="1"/>
  <c r="O114" i="1"/>
  <c r="R122" i="1"/>
  <c r="U117" i="1"/>
  <c r="N397" i="1"/>
  <c r="Y8" i="1"/>
  <c r="P114" i="1" l="1"/>
  <c r="Q114" i="1" s="1"/>
  <c r="AB114" i="1" s="1"/>
  <c r="AH398" i="1"/>
  <c r="AG398" i="1"/>
  <c r="S122" i="1"/>
  <c r="T122" i="1" s="1"/>
  <c r="V117" i="1"/>
  <c r="W117" i="1" s="1"/>
  <c r="N398" i="1"/>
  <c r="AI399" i="1" s="1"/>
  <c r="Y9" i="1"/>
  <c r="O115" i="1" l="1"/>
  <c r="AH399" i="1"/>
  <c r="AH400" i="1" s="1"/>
  <c r="AG399" i="1"/>
  <c r="R123" i="1"/>
  <c r="U118" i="1"/>
  <c r="N399" i="1"/>
  <c r="AI400" i="1" s="1"/>
  <c r="Y10" i="1"/>
  <c r="P115" i="1" l="1"/>
  <c r="Q115" i="1" s="1"/>
  <c r="AB115" i="1" s="1"/>
  <c r="AG400" i="1"/>
  <c r="AG401" i="1" s="1"/>
  <c r="S123" i="1"/>
  <c r="T123" i="1" s="1"/>
  <c r="V118" i="1"/>
  <c r="W118" i="1" s="1"/>
  <c r="N400" i="1"/>
  <c r="Y11" i="1"/>
  <c r="O116" i="1" l="1"/>
  <c r="AH401" i="1"/>
  <c r="AI401" i="1"/>
  <c r="R124" i="1"/>
  <c r="U119" i="1"/>
  <c r="N401" i="1"/>
  <c r="AG402" i="1" s="1"/>
  <c r="Y12" i="1"/>
  <c r="P116" i="1" l="1"/>
  <c r="Q116" i="1" s="1"/>
  <c r="AB116" i="1" s="1"/>
  <c r="AH402" i="1"/>
  <c r="AH403" i="1" s="1"/>
  <c r="AI402" i="1"/>
  <c r="S124" i="1"/>
  <c r="T124" i="1" s="1"/>
  <c r="V119" i="1"/>
  <c r="W119" i="1" s="1"/>
  <c r="N402" i="1"/>
  <c r="AG403" i="1" s="1"/>
  <c r="Y13" i="1"/>
  <c r="O117" i="1" l="1"/>
  <c r="AI403" i="1"/>
  <c r="AI404" i="1" s="1"/>
  <c r="R125" i="1"/>
  <c r="S125" i="1" s="1"/>
  <c r="T125" i="1" s="1"/>
  <c r="U120" i="1"/>
  <c r="N403" i="1"/>
  <c r="Y14" i="1"/>
  <c r="P117" i="1" l="1"/>
  <c r="Q117" i="1" s="1"/>
  <c r="AB117" i="1" s="1"/>
  <c r="AH404" i="1"/>
  <c r="AG404" i="1"/>
  <c r="R126" i="1"/>
  <c r="V120" i="1"/>
  <c r="W120" i="1" s="1"/>
  <c r="Y15" i="1"/>
  <c r="N404" i="1"/>
  <c r="AI405" i="1" s="1"/>
  <c r="O118" i="1" l="1"/>
  <c r="AH405" i="1"/>
  <c r="AH406" i="1" s="1"/>
  <c r="AG405" i="1"/>
  <c r="S126" i="1"/>
  <c r="T126" i="1" s="1"/>
  <c r="U121" i="1"/>
  <c r="Y16" i="1"/>
  <c r="N405" i="1"/>
  <c r="AI406" i="1" s="1"/>
  <c r="P118" i="1" l="1"/>
  <c r="Q118" i="1" s="1"/>
  <c r="AB118" i="1" s="1"/>
  <c r="R127" i="1"/>
  <c r="AG406" i="1"/>
  <c r="AG407" i="1" s="1"/>
  <c r="V121" i="1"/>
  <c r="W121" i="1" s="1"/>
  <c r="Y17" i="1"/>
  <c r="N406" i="1"/>
  <c r="O119" i="1" l="1"/>
  <c r="S127" i="1"/>
  <c r="T127" i="1" s="1"/>
  <c r="AH407" i="1"/>
  <c r="AH408" i="1" s="1"/>
  <c r="AI407" i="1"/>
  <c r="U122" i="1"/>
  <c r="V122" i="1" s="1"/>
  <c r="W122" i="1" s="1"/>
  <c r="Y18" i="1"/>
  <c r="N407" i="1"/>
  <c r="AG408" i="1" s="1"/>
  <c r="P119" i="1" l="1"/>
  <c r="Q119" i="1" s="1"/>
  <c r="AB119" i="1" s="1"/>
  <c r="R128" i="1"/>
  <c r="S128" i="1" s="1"/>
  <c r="T128" i="1" s="1"/>
  <c r="AI408" i="1"/>
  <c r="AI409" i="1" s="1"/>
  <c r="U123" i="1"/>
  <c r="Y19" i="1"/>
  <c r="N408" i="1"/>
  <c r="O120" i="1" l="1"/>
  <c r="P120" i="1" s="1"/>
  <c r="Q120" i="1" s="1"/>
  <c r="AB120" i="1" s="1"/>
  <c r="R129" i="1"/>
  <c r="AH409" i="1"/>
  <c r="AH410" i="1" s="1"/>
  <c r="AG409" i="1"/>
  <c r="V123" i="1"/>
  <c r="W123" i="1" s="1"/>
  <c r="Y20" i="1"/>
  <c r="N409" i="1"/>
  <c r="AI410" i="1" s="1"/>
  <c r="O121" i="1" l="1"/>
  <c r="S129" i="1"/>
  <c r="T129" i="1" s="1"/>
  <c r="AG410" i="1"/>
  <c r="AG411" i="1" s="1"/>
  <c r="U124" i="1"/>
  <c r="V124" i="1" s="1"/>
  <c r="W124" i="1" s="1"/>
  <c r="Y21" i="1"/>
  <c r="N410" i="1"/>
  <c r="P121" i="1" l="1"/>
  <c r="Q121" i="1" s="1"/>
  <c r="AB121" i="1" s="1"/>
  <c r="R130" i="1"/>
  <c r="AH411" i="1"/>
  <c r="AH412" i="1" s="1"/>
  <c r="AI411" i="1"/>
  <c r="AI412" i="1" s="1"/>
  <c r="U125" i="1"/>
  <c r="Y22" i="1"/>
  <c r="N411" i="1"/>
  <c r="AG412" i="1" s="1"/>
  <c r="O122" i="1" l="1"/>
  <c r="S130" i="1"/>
  <c r="T130" i="1" s="1"/>
  <c r="V125" i="1"/>
  <c r="W125" i="1" s="1"/>
  <c r="Y23" i="1"/>
  <c r="N412" i="1"/>
  <c r="P122" i="1" l="1"/>
  <c r="Q122" i="1" s="1"/>
  <c r="AB122" i="1" s="1"/>
  <c r="R131" i="1"/>
  <c r="AH413" i="1"/>
  <c r="AH414" i="1" s="1"/>
  <c r="AI413" i="1"/>
  <c r="AI414" i="1" s="1"/>
  <c r="AG413" i="1"/>
  <c r="AG414" i="1" s="1"/>
  <c r="U126" i="1"/>
  <c r="Y24" i="1"/>
  <c r="N413" i="1"/>
  <c r="O123" i="1" l="1"/>
  <c r="S131" i="1"/>
  <c r="T131" i="1" s="1"/>
  <c r="V126" i="1"/>
  <c r="W126" i="1" s="1"/>
  <c r="Y25" i="1"/>
  <c r="N414" i="1"/>
  <c r="P123" i="1" l="1"/>
  <c r="Q123" i="1" s="1"/>
  <c r="AB123" i="1" s="1"/>
  <c r="R132" i="1"/>
  <c r="AG415" i="1"/>
  <c r="AG416" i="1" s="1"/>
  <c r="AH415" i="1"/>
  <c r="AH416" i="1" s="1"/>
  <c r="AI415" i="1"/>
  <c r="AI416" i="1" s="1"/>
  <c r="U127" i="1"/>
  <c r="V127" i="1" s="1"/>
  <c r="W127" i="1" s="1"/>
  <c r="Y26" i="1"/>
  <c r="N415" i="1"/>
  <c r="O124" i="1" l="1"/>
  <c r="S132" i="1"/>
  <c r="T132" i="1" s="1"/>
  <c r="U128" i="1"/>
  <c r="Y27" i="1"/>
  <c r="N416" i="1"/>
  <c r="P124" i="1" l="1"/>
  <c r="Q124" i="1" s="1"/>
  <c r="AB124" i="1" s="1"/>
  <c r="R133" i="1"/>
  <c r="AI417" i="1"/>
  <c r="AI418" i="1" s="1"/>
  <c r="AH417" i="1"/>
  <c r="AH418" i="1" s="1"/>
  <c r="AG417" i="1"/>
  <c r="V128" i="1"/>
  <c r="W128" i="1" s="1"/>
  <c r="Y28" i="1"/>
  <c r="N417" i="1"/>
  <c r="O125" i="1" l="1"/>
  <c r="S133" i="1"/>
  <c r="T133" i="1" s="1"/>
  <c r="AG418" i="1"/>
  <c r="AG419" i="1" s="1"/>
  <c r="U129" i="1"/>
  <c r="V129" i="1" s="1"/>
  <c r="W129" i="1" s="1"/>
  <c r="Y29" i="1"/>
  <c r="N418" i="1"/>
  <c r="P125" i="1" l="1"/>
  <c r="Q125" i="1" s="1"/>
  <c r="AB125" i="1" s="1"/>
  <c r="R134" i="1"/>
  <c r="AH419" i="1"/>
  <c r="AH420" i="1" s="1"/>
  <c r="AI419" i="1"/>
  <c r="U130" i="1"/>
  <c r="Y30" i="1"/>
  <c r="N419" i="1"/>
  <c r="AG420" i="1" s="1"/>
  <c r="O126" i="1" l="1"/>
  <c r="S134" i="1"/>
  <c r="T134" i="1" s="1"/>
  <c r="AI420" i="1"/>
  <c r="AI421" i="1" s="1"/>
  <c r="V130" i="1"/>
  <c r="W130" i="1" s="1"/>
  <c r="Y31" i="1"/>
  <c r="N420" i="1"/>
  <c r="P126" i="1" l="1"/>
  <c r="Q126" i="1" s="1"/>
  <c r="AB126" i="1" s="1"/>
  <c r="R135" i="1"/>
  <c r="S135" i="1" s="1"/>
  <c r="T135" i="1" s="1"/>
  <c r="AH421" i="1"/>
  <c r="AH422" i="1" s="1"/>
  <c r="AG421" i="1"/>
  <c r="U131" i="1"/>
  <c r="Y32" i="1"/>
  <c r="N421" i="1"/>
  <c r="AI422" i="1" s="1"/>
  <c r="O127" i="1" l="1"/>
  <c r="R136" i="1"/>
  <c r="AG422" i="1"/>
  <c r="AG423" i="1" s="1"/>
  <c r="V131" i="1"/>
  <c r="W131" i="1" s="1"/>
  <c r="Y33" i="1"/>
  <c r="N422" i="1"/>
  <c r="P127" i="1" l="1"/>
  <c r="Q127" i="1" s="1"/>
  <c r="AB127" i="1" s="1"/>
  <c r="S136" i="1"/>
  <c r="T136" i="1" s="1"/>
  <c r="AH423" i="1"/>
  <c r="AH424" i="1" s="1"/>
  <c r="AI423" i="1"/>
  <c r="U132" i="1"/>
  <c r="Y34" i="1"/>
  <c r="N423" i="1"/>
  <c r="AG424" i="1" s="1"/>
  <c r="O128" i="1" l="1"/>
  <c r="P128" i="1" s="1"/>
  <c r="Q128" i="1" s="1"/>
  <c r="AB128" i="1" s="1"/>
  <c r="R137" i="1"/>
  <c r="S137" i="1" s="1"/>
  <c r="T137" i="1" s="1"/>
  <c r="AI424" i="1"/>
  <c r="V132" i="1"/>
  <c r="W132" i="1" s="1"/>
  <c r="Y35" i="1"/>
  <c r="N424" i="1"/>
  <c r="O129" i="1" l="1"/>
  <c r="R138" i="1"/>
  <c r="AI425" i="1"/>
  <c r="AH425" i="1"/>
  <c r="AG425" i="1"/>
  <c r="U133" i="1"/>
  <c r="Y36" i="1"/>
  <c r="N425" i="1"/>
  <c r="P129" i="1" l="1"/>
  <c r="Q129" i="1" s="1"/>
  <c r="AB129" i="1" s="1"/>
  <c r="S138" i="1"/>
  <c r="T138" i="1" s="1"/>
  <c r="AI426" i="1"/>
  <c r="AI427" i="1" s="1"/>
  <c r="AH426" i="1"/>
  <c r="AH427" i="1" s="1"/>
  <c r="AG426" i="1"/>
  <c r="AG427" i="1" s="1"/>
  <c r="V133" i="1"/>
  <c r="W133" i="1" s="1"/>
  <c r="Y37" i="1"/>
  <c r="N426" i="1"/>
  <c r="O130" i="1" l="1"/>
  <c r="R139" i="1"/>
  <c r="U134" i="1"/>
  <c r="Y38" i="1"/>
  <c r="N427" i="1"/>
  <c r="P130" i="1" l="1"/>
  <c r="Q130" i="1" s="1"/>
  <c r="AB130" i="1" s="1"/>
  <c r="S139" i="1"/>
  <c r="T139" i="1" s="1"/>
  <c r="AI428" i="1"/>
  <c r="AG428" i="1"/>
  <c r="AH428" i="1"/>
  <c r="V134" i="1"/>
  <c r="W134" i="1" s="1"/>
  <c r="Y39" i="1"/>
  <c r="N428" i="1"/>
  <c r="O131" i="1" l="1"/>
  <c r="R140" i="1"/>
  <c r="S140" i="1" s="1"/>
  <c r="T140" i="1" s="1"/>
  <c r="AI429" i="1"/>
  <c r="AI430" i="1" s="1"/>
  <c r="AG429" i="1"/>
  <c r="AG430" i="1" s="1"/>
  <c r="AH429" i="1"/>
  <c r="AH430" i="1" s="1"/>
  <c r="U135" i="1"/>
  <c r="Y40" i="1"/>
  <c r="N429" i="1"/>
  <c r="P131" i="1" l="1"/>
  <c r="Q131" i="1" s="1"/>
  <c r="AB131" i="1" s="1"/>
  <c r="R141" i="1"/>
  <c r="V135" i="1"/>
  <c r="W135" i="1" s="1"/>
  <c r="Y41" i="1"/>
  <c r="N430" i="1"/>
  <c r="O132" i="1" l="1"/>
  <c r="S141" i="1"/>
  <c r="T141" i="1" s="1"/>
  <c r="AI431" i="1"/>
  <c r="AI432" i="1" s="1"/>
  <c r="AH431" i="1"/>
  <c r="AH432" i="1" s="1"/>
  <c r="AG431" i="1"/>
  <c r="AG432" i="1" s="1"/>
  <c r="U136" i="1"/>
  <c r="V136" i="1" s="1"/>
  <c r="W136" i="1" s="1"/>
  <c r="Y42" i="1"/>
  <c r="N431" i="1"/>
  <c r="P132" i="1" l="1"/>
  <c r="Q132" i="1" s="1"/>
  <c r="AB132" i="1" s="1"/>
  <c r="R142" i="1"/>
  <c r="S142" i="1" s="1"/>
  <c r="T142" i="1" s="1"/>
  <c r="U137" i="1"/>
  <c r="Y43" i="1"/>
  <c r="N432" i="1"/>
  <c r="O133" i="1" l="1"/>
  <c r="R143" i="1"/>
  <c r="AH433" i="1"/>
  <c r="AH434" i="1" s="1"/>
  <c r="AI433" i="1"/>
  <c r="AI434" i="1" s="1"/>
  <c r="AG433" i="1"/>
  <c r="AG434" i="1" s="1"/>
  <c r="V137" i="1"/>
  <c r="W137" i="1" s="1"/>
  <c r="Y44" i="1"/>
  <c r="N433" i="1"/>
  <c r="P133" i="1" l="1"/>
  <c r="Q133" i="1" s="1"/>
  <c r="AB133" i="1" s="1"/>
  <c r="S143" i="1"/>
  <c r="T143" i="1" s="1"/>
  <c r="U138" i="1"/>
  <c r="V138" i="1" s="1"/>
  <c r="W138" i="1" s="1"/>
  <c r="Y45" i="1"/>
  <c r="N434" i="1"/>
  <c r="O134" i="1" l="1"/>
  <c r="R144" i="1"/>
  <c r="AI435" i="1"/>
  <c r="AG435" i="1"/>
  <c r="AH435" i="1"/>
  <c r="U139" i="1"/>
  <c r="Y46" i="1"/>
  <c r="N435" i="1"/>
  <c r="P134" i="1" l="1"/>
  <c r="Q134" i="1" s="1"/>
  <c r="AB134" i="1" s="1"/>
  <c r="S144" i="1"/>
  <c r="AI436" i="1"/>
  <c r="AI437" i="1" s="1"/>
  <c r="AG436" i="1"/>
  <c r="AG437" i="1" s="1"/>
  <c r="AH436" i="1"/>
  <c r="AH437" i="1" s="1"/>
  <c r="V139" i="1"/>
  <c r="W139" i="1" s="1"/>
  <c r="Y47" i="1"/>
  <c r="N436" i="1"/>
  <c r="T144" i="1" l="1"/>
  <c r="R145" i="1" s="1"/>
  <c r="S145" i="1" s="1"/>
  <c r="T145" i="1" s="1"/>
  <c r="O135" i="1"/>
  <c r="U140" i="1"/>
  <c r="Y48" i="1"/>
  <c r="N437" i="1"/>
  <c r="P135" i="1" l="1"/>
  <c r="R146" i="1"/>
  <c r="AI438" i="1"/>
  <c r="AI439" i="1" s="1"/>
  <c r="AG438" i="1"/>
  <c r="AG439" i="1" s="1"/>
  <c r="AH438" i="1"/>
  <c r="V140" i="1"/>
  <c r="W140" i="1" s="1"/>
  <c r="Y49" i="1"/>
  <c r="N438" i="1"/>
  <c r="Q135" i="1" l="1"/>
  <c r="S146" i="1"/>
  <c r="T146" i="1" s="1"/>
  <c r="AH439" i="1"/>
  <c r="U141" i="1"/>
  <c r="Y50" i="1"/>
  <c r="N439" i="1"/>
  <c r="AB135" i="1" l="1"/>
  <c r="O136" i="1"/>
  <c r="R147" i="1"/>
  <c r="S147" i="1" s="1"/>
  <c r="T147" i="1" s="1"/>
  <c r="AH440" i="1"/>
  <c r="AH441" i="1" s="1"/>
  <c r="AI440" i="1"/>
  <c r="AI441" i="1" s="1"/>
  <c r="AG440" i="1"/>
  <c r="V141" i="1"/>
  <c r="W141" i="1" s="1"/>
  <c r="Y51" i="1"/>
  <c r="N440" i="1"/>
  <c r="P136" i="1" l="1"/>
  <c r="R148" i="1"/>
  <c r="AG441" i="1"/>
  <c r="U142" i="1"/>
  <c r="V142" i="1" s="1"/>
  <c r="W142" i="1" s="1"/>
  <c r="Y52" i="1"/>
  <c r="N441" i="1"/>
  <c r="Q136" i="1" l="1"/>
  <c r="S148" i="1"/>
  <c r="T148" i="1" s="1"/>
  <c r="AG442" i="1"/>
  <c r="AH442" i="1"/>
  <c r="AI442" i="1"/>
  <c r="U143" i="1"/>
  <c r="Y53" i="1"/>
  <c r="N442" i="1"/>
  <c r="AB136" i="1" l="1"/>
  <c r="O137" i="1"/>
  <c r="P137" i="1"/>
  <c r="R149" i="1"/>
  <c r="S149" i="1" s="1"/>
  <c r="T149" i="1" s="1"/>
  <c r="AG443" i="1"/>
  <c r="AG444" i="1" s="1"/>
  <c r="AH443" i="1"/>
  <c r="AH444" i="1" s="1"/>
  <c r="AI443" i="1"/>
  <c r="V143" i="1"/>
  <c r="W143" i="1" s="1"/>
  <c r="Y54" i="1"/>
  <c r="N443" i="1"/>
  <c r="Q137" i="1" l="1"/>
  <c r="R150" i="1"/>
  <c r="AI444" i="1"/>
  <c r="AI445" i="1" s="1"/>
  <c r="U144" i="1"/>
  <c r="V144" i="1" s="1"/>
  <c r="W144" i="1" s="1"/>
  <c r="Y55" i="1"/>
  <c r="N444" i="1"/>
  <c r="AB137" i="1" l="1"/>
  <c r="O138" i="1"/>
  <c r="S150" i="1"/>
  <c r="AG445" i="1"/>
  <c r="AG446" i="1" s="1"/>
  <c r="AH445" i="1"/>
  <c r="U145" i="1"/>
  <c r="Y56" i="1"/>
  <c r="N445" i="1"/>
  <c r="AI446" i="1" s="1"/>
  <c r="P138" i="1" l="1"/>
  <c r="T150" i="1"/>
  <c r="R151" i="1" s="1"/>
  <c r="S151" i="1" s="1"/>
  <c r="AH446" i="1"/>
  <c r="V145" i="1"/>
  <c r="W145" i="1" s="1"/>
  <c r="Y57" i="1"/>
  <c r="N446" i="1"/>
  <c r="Q138" i="1" l="1"/>
  <c r="T151" i="1"/>
  <c r="R152" i="1" s="1"/>
  <c r="S152" i="1" s="1"/>
  <c r="T152" i="1" s="1"/>
  <c r="AH447" i="1"/>
  <c r="AH448" i="1" s="1"/>
  <c r="AG447" i="1"/>
  <c r="AG448" i="1" s="1"/>
  <c r="AI447" i="1"/>
  <c r="AI448" i="1" s="1"/>
  <c r="U146" i="1"/>
  <c r="Y58" i="1"/>
  <c r="N447" i="1"/>
  <c r="AB138" i="1" l="1"/>
  <c r="O139" i="1"/>
  <c r="P139" i="1" s="1"/>
  <c r="Q139" i="1"/>
  <c r="R153" i="1"/>
  <c r="S153" i="1" s="1"/>
  <c r="T153" i="1" s="1"/>
  <c r="V146" i="1"/>
  <c r="Y59" i="1"/>
  <c r="N448" i="1"/>
  <c r="AB139" i="1" l="1"/>
  <c r="O140" i="1"/>
  <c r="P140" i="1" s="1"/>
  <c r="R154" i="1"/>
  <c r="AH449" i="1"/>
  <c r="AG449" i="1"/>
  <c r="AG450" i="1" s="1"/>
  <c r="AI449" i="1"/>
  <c r="W146" i="1"/>
  <c r="Y60" i="1"/>
  <c r="N449" i="1"/>
  <c r="Q140" i="1" l="1"/>
  <c r="S154" i="1"/>
  <c r="T154" i="1" s="1"/>
  <c r="AH450" i="1"/>
  <c r="AH451" i="1" s="1"/>
  <c r="AI450" i="1"/>
  <c r="U147" i="1"/>
  <c r="Y61" i="1"/>
  <c r="N450" i="1"/>
  <c r="AG451" i="1" s="1"/>
  <c r="AB140" i="1" l="1"/>
  <c r="O141" i="1"/>
  <c r="P141" i="1" s="1"/>
  <c r="R155" i="1"/>
  <c r="AI451" i="1"/>
  <c r="AI452" i="1" s="1"/>
  <c r="V147" i="1"/>
  <c r="W147" i="1" s="1"/>
  <c r="Y62" i="1"/>
  <c r="N451" i="1"/>
  <c r="Q141" i="1" l="1"/>
  <c r="S155" i="1"/>
  <c r="T155" i="1" s="1"/>
  <c r="AH452" i="1"/>
  <c r="AG452" i="1"/>
  <c r="U148" i="1"/>
  <c r="V148" i="1" s="1"/>
  <c r="W148" i="1" s="1"/>
  <c r="Y63" i="1"/>
  <c r="N452" i="1"/>
  <c r="AI453" i="1" s="1"/>
  <c r="AB141" i="1" l="1"/>
  <c r="O142" i="1"/>
  <c r="P142" i="1"/>
  <c r="R156" i="1"/>
  <c r="S156" i="1" s="1"/>
  <c r="T156" i="1" s="1"/>
  <c r="AH453" i="1"/>
  <c r="AH454" i="1" s="1"/>
  <c r="AG453" i="1"/>
  <c r="AG454" i="1" s="1"/>
  <c r="U149" i="1"/>
  <c r="Y64" i="1"/>
  <c r="N453" i="1"/>
  <c r="AI454" i="1" s="1"/>
  <c r="Q142" i="1" l="1"/>
  <c r="V149" i="1"/>
  <c r="W149" i="1" s="1"/>
  <c r="R157" i="1"/>
  <c r="S157" i="1" s="1"/>
  <c r="T157" i="1" s="1"/>
  <c r="Y65" i="1"/>
  <c r="N454" i="1"/>
  <c r="AB142" i="1" l="1"/>
  <c r="O143" i="1"/>
  <c r="P143" i="1" s="1"/>
  <c r="Q143" i="1"/>
  <c r="AG455" i="1"/>
  <c r="AG456" i="1" s="1"/>
  <c r="AH455" i="1"/>
  <c r="AH456" i="1" s="1"/>
  <c r="AI455" i="1"/>
  <c r="AI456" i="1" s="1"/>
  <c r="U150" i="1"/>
  <c r="V150" i="1" s="1"/>
  <c r="W150" i="1" s="1"/>
  <c r="R158" i="1"/>
  <c r="Y66" i="1"/>
  <c r="N455" i="1"/>
  <c r="AB143" i="1" l="1"/>
  <c r="O144" i="1"/>
  <c r="P144" i="1" s="1"/>
  <c r="U151" i="1"/>
  <c r="S158" i="1"/>
  <c r="T158" i="1" s="1"/>
  <c r="Y67" i="1"/>
  <c r="N456" i="1"/>
  <c r="Q144" i="1" l="1"/>
  <c r="AG457" i="1"/>
  <c r="AG458" i="1" s="1"/>
  <c r="AH457" i="1"/>
  <c r="AI457" i="1"/>
  <c r="V151" i="1"/>
  <c r="W151" i="1" s="1"/>
  <c r="R159" i="1"/>
  <c r="Y68" i="1"/>
  <c r="N457" i="1"/>
  <c r="AB144" i="1" l="1"/>
  <c r="O145" i="1"/>
  <c r="P145" i="1" s="1"/>
  <c r="AH458" i="1"/>
  <c r="AH459" i="1" s="1"/>
  <c r="AI458" i="1"/>
  <c r="AI459" i="1" s="1"/>
  <c r="U152" i="1"/>
  <c r="V152" i="1" s="1"/>
  <c r="W152" i="1" s="1"/>
  <c r="S159" i="1"/>
  <c r="T159" i="1" s="1"/>
  <c r="Y69" i="1"/>
  <c r="N458" i="1"/>
  <c r="AG459" i="1" s="1"/>
  <c r="Q145" i="1" l="1"/>
  <c r="U153" i="1"/>
  <c r="R160" i="1"/>
  <c r="Y70" i="1"/>
  <c r="N459" i="1"/>
  <c r="AB145" i="1" l="1"/>
  <c r="O146" i="1"/>
  <c r="Q146" i="1"/>
  <c r="AB146" i="1" s="1"/>
  <c r="AI460" i="1"/>
  <c r="AI461" i="1" s="1"/>
  <c r="AH460" i="1"/>
  <c r="AG460" i="1"/>
  <c r="S160" i="1"/>
  <c r="T160" i="1" s="1"/>
  <c r="V153" i="1"/>
  <c r="W153" i="1" s="1"/>
  <c r="Y71" i="1"/>
  <c r="N460" i="1"/>
  <c r="P146" i="1" l="1"/>
  <c r="O147" i="1" s="1"/>
  <c r="P147" i="1" s="1"/>
  <c r="AH461" i="1"/>
  <c r="AH462" i="1" s="1"/>
  <c r="AG461" i="1"/>
  <c r="AG462" i="1" s="1"/>
  <c r="U154" i="1"/>
  <c r="V154" i="1" s="1"/>
  <c r="W154" i="1" s="1"/>
  <c r="R161" i="1"/>
  <c r="Y72" i="1"/>
  <c r="N461" i="1"/>
  <c r="AI462" i="1" s="1"/>
  <c r="Q147" i="1" l="1"/>
  <c r="S161" i="1"/>
  <c r="T161" i="1" s="1"/>
  <c r="U155" i="1"/>
  <c r="W155" i="1"/>
  <c r="Y73" i="1"/>
  <c r="N462" i="1"/>
  <c r="AB147" i="1" l="1"/>
  <c r="O148" i="1"/>
  <c r="P148" i="1" s="1"/>
  <c r="V155" i="1"/>
  <c r="R162" i="1"/>
  <c r="S162" i="1" s="1"/>
  <c r="T162" i="1" s="1"/>
  <c r="AH463" i="1"/>
  <c r="AH464" i="1" s="1"/>
  <c r="AG463" i="1"/>
  <c r="AI463" i="1"/>
  <c r="Y74" i="1"/>
  <c r="N463" i="1"/>
  <c r="Q148" i="1" l="1"/>
  <c r="R163" i="1"/>
  <c r="U156" i="1"/>
  <c r="AG464" i="1"/>
  <c r="AI464" i="1"/>
  <c r="Y75" i="1"/>
  <c r="N464" i="1"/>
  <c r="AH465" i="1" s="1"/>
  <c r="AB148" i="1" l="1"/>
  <c r="O149" i="1"/>
  <c r="P149" i="1"/>
  <c r="S163" i="1"/>
  <c r="T163" i="1" s="1"/>
  <c r="V156" i="1"/>
  <c r="W156" i="1" s="1"/>
  <c r="AG465" i="1"/>
  <c r="AG466" i="1" s="1"/>
  <c r="AI465" i="1"/>
  <c r="AI466" i="1" s="1"/>
  <c r="Y76" i="1"/>
  <c r="N465" i="1"/>
  <c r="AH466" i="1" s="1"/>
  <c r="Q149" i="1" l="1"/>
  <c r="R164" i="1"/>
  <c r="U157" i="1"/>
  <c r="Y77" i="1"/>
  <c r="N466" i="1"/>
  <c r="AB149" i="1" l="1"/>
  <c r="O150" i="1"/>
  <c r="P150" i="1" s="1"/>
  <c r="S164" i="1"/>
  <c r="T164" i="1" s="1"/>
  <c r="V157" i="1"/>
  <c r="W157" i="1" s="1"/>
  <c r="AI467" i="1"/>
  <c r="AI468" i="1" s="1"/>
  <c r="AG467" i="1"/>
  <c r="AG468" i="1" s="1"/>
  <c r="AH467" i="1"/>
  <c r="AH468" i="1" s="1"/>
  <c r="Y78" i="1"/>
  <c r="N467" i="1"/>
  <c r="Q150" i="1" l="1"/>
  <c r="R165" i="1"/>
  <c r="U158" i="1"/>
  <c r="Y79" i="1"/>
  <c r="N468" i="1"/>
  <c r="AB150" i="1" l="1"/>
  <c r="O151" i="1"/>
  <c r="P151" i="1" s="1"/>
  <c r="S165" i="1"/>
  <c r="T165" i="1" s="1"/>
  <c r="V158" i="1"/>
  <c r="W158" i="1" s="1"/>
  <c r="AG469" i="1"/>
  <c r="AH469" i="1"/>
  <c r="AI469" i="1"/>
  <c r="Y80" i="1"/>
  <c r="N469" i="1"/>
  <c r="Q151" i="1" l="1"/>
  <c r="R166" i="1"/>
  <c r="U159" i="1"/>
  <c r="AG470" i="1"/>
  <c r="AH470" i="1"/>
  <c r="AI470" i="1"/>
  <c r="Y81" i="1"/>
  <c r="N470" i="1"/>
  <c r="AB151" i="1" l="1"/>
  <c r="O152" i="1"/>
  <c r="P152" i="1" s="1"/>
  <c r="S166" i="1"/>
  <c r="T166" i="1" s="1"/>
  <c r="V159" i="1"/>
  <c r="W159" i="1" s="1"/>
  <c r="AG471" i="1"/>
  <c r="AG472" i="1" s="1"/>
  <c r="AH471" i="1"/>
  <c r="AH472" i="1" s="1"/>
  <c r="AI471" i="1"/>
  <c r="AI472" i="1" s="1"/>
  <c r="Y82" i="1"/>
  <c r="N471" i="1"/>
  <c r="Q152" i="1" l="1"/>
  <c r="R167" i="1"/>
  <c r="U160" i="1"/>
  <c r="Y83" i="1"/>
  <c r="N472" i="1"/>
  <c r="AB152" i="1" l="1"/>
  <c r="O153" i="1"/>
  <c r="Q153" i="1"/>
  <c r="AB153" i="1" s="1"/>
  <c r="S167" i="1"/>
  <c r="T167" i="1" s="1"/>
  <c r="V160" i="1"/>
  <c r="W160" i="1" s="1"/>
  <c r="AH473" i="1"/>
  <c r="AH474" i="1" s="1"/>
  <c r="AI473" i="1"/>
  <c r="AI474" i="1" s="1"/>
  <c r="AG473" i="1"/>
  <c r="AG474" i="1" s="1"/>
  <c r="Y84" i="1"/>
  <c r="N473" i="1"/>
  <c r="P153" i="1" l="1"/>
  <c r="O154" i="1" s="1"/>
  <c r="P154" i="1" s="1"/>
  <c r="R168" i="1"/>
  <c r="S168" i="1" s="1"/>
  <c r="T168" i="1" s="1"/>
  <c r="U161" i="1"/>
  <c r="Y85" i="1"/>
  <c r="N474" i="1"/>
  <c r="Q154" i="1" l="1"/>
  <c r="R169" i="1"/>
  <c r="V161" i="1"/>
  <c r="W161" i="1" s="1"/>
  <c r="AG475" i="1"/>
  <c r="AG476" i="1" s="1"/>
  <c r="AH475" i="1"/>
  <c r="AI475" i="1"/>
  <c r="Y86" i="1"/>
  <c r="N475" i="1"/>
  <c r="AB154" i="1" l="1"/>
  <c r="O155" i="1"/>
  <c r="P155" i="1" s="1"/>
  <c r="Q155" i="1"/>
  <c r="S169" i="1"/>
  <c r="U162" i="1"/>
  <c r="AH476" i="1"/>
  <c r="AI476" i="1"/>
  <c r="Y87" i="1"/>
  <c r="N476" i="1"/>
  <c r="AG477" i="1" s="1"/>
  <c r="AB155" i="1" l="1"/>
  <c r="O156" i="1"/>
  <c r="P156" i="1" s="1"/>
  <c r="T169" i="1"/>
  <c r="R170" i="1" s="1"/>
  <c r="S170" i="1" s="1"/>
  <c r="T170" i="1" s="1"/>
  <c r="V162" i="1"/>
  <c r="AH477" i="1"/>
  <c r="AI477" i="1"/>
  <c r="Y88" i="1"/>
  <c r="N477" i="1"/>
  <c r="AG478" i="1" s="1"/>
  <c r="Q156" i="1" l="1"/>
  <c r="W162" i="1"/>
  <c r="U163" i="1" s="1"/>
  <c r="V163" i="1" s="1"/>
  <c r="W163" i="1" s="1"/>
  <c r="R171" i="1"/>
  <c r="S171" i="1" s="1"/>
  <c r="T171" i="1" s="1"/>
  <c r="AH478" i="1"/>
  <c r="AH479" i="1" s="1"/>
  <c r="AI478" i="1"/>
  <c r="Y89" i="1"/>
  <c r="N478" i="1"/>
  <c r="AG479" i="1" s="1"/>
  <c r="AB156" i="1" l="1"/>
  <c r="O157" i="1"/>
  <c r="P157" i="1" s="1"/>
  <c r="Q157" i="1"/>
  <c r="AB157" i="1" s="1"/>
  <c r="R172" i="1"/>
  <c r="AI479" i="1"/>
  <c r="U164" i="1"/>
  <c r="V164" i="1" s="1"/>
  <c r="W164" i="1" s="1"/>
  <c r="Y90" i="1"/>
  <c r="N479" i="1"/>
  <c r="O158" i="1" l="1"/>
  <c r="P158" i="1" s="1"/>
  <c r="S172" i="1"/>
  <c r="T172" i="1" s="1"/>
  <c r="AI480" i="1"/>
  <c r="AI481" i="1" s="1"/>
  <c r="AH480" i="1"/>
  <c r="AH481" i="1" s="1"/>
  <c r="AG480" i="1"/>
  <c r="U165" i="1"/>
  <c r="Y91" i="1"/>
  <c r="N480" i="1"/>
  <c r="Q158" i="1" l="1"/>
  <c r="R173" i="1"/>
  <c r="S173" i="1" s="1"/>
  <c r="T173" i="1" s="1"/>
  <c r="AG481" i="1"/>
  <c r="AG482" i="1" s="1"/>
  <c r="V165" i="1"/>
  <c r="W165" i="1" s="1"/>
  <c r="Y92" i="1"/>
  <c r="N481" i="1"/>
  <c r="AB158" i="1" l="1"/>
  <c r="O159" i="1"/>
  <c r="P159" i="1" s="1"/>
  <c r="R174" i="1"/>
  <c r="AI482" i="1"/>
  <c r="AI483" i="1" s="1"/>
  <c r="AH482" i="1"/>
  <c r="U166" i="1"/>
  <c r="Y93" i="1"/>
  <c r="N482" i="1"/>
  <c r="AG483" i="1" s="1"/>
  <c r="Q159" i="1" l="1"/>
  <c r="S174" i="1"/>
  <c r="T174" i="1" s="1"/>
  <c r="AH483" i="1"/>
  <c r="V166" i="1"/>
  <c r="W166" i="1" s="1"/>
  <c r="Y94" i="1"/>
  <c r="N483" i="1"/>
  <c r="AB159" i="1" l="1"/>
  <c r="O160" i="1"/>
  <c r="R175" i="1"/>
  <c r="S175" i="1" s="1"/>
  <c r="T175" i="1" s="1"/>
  <c r="AH484" i="1"/>
  <c r="AH485" i="1" s="1"/>
  <c r="AI484" i="1"/>
  <c r="AI485" i="1" s="1"/>
  <c r="AG484" i="1"/>
  <c r="U167" i="1"/>
  <c r="Y95" i="1"/>
  <c r="N484" i="1"/>
  <c r="P160" i="1" l="1"/>
  <c r="AG485" i="1"/>
  <c r="AG486" i="1" s="1"/>
  <c r="V167" i="1"/>
  <c r="W167" i="1" s="1"/>
  <c r="R176" i="1"/>
  <c r="S176" i="1" s="1"/>
  <c r="T176" i="1" s="1"/>
  <c r="Y96" i="1"/>
  <c r="N485" i="1"/>
  <c r="Q160" i="1" l="1"/>
  <c r="Q161" i="1"/>
  <c r="AB161" i="1" s="1"/>
  <c r="AH486" i="1"/>
  <c r="AH487" i="1" s="1"/>
  <c r="AI486" i="1"/>
  <c r="AI487" i="1" s="1"/>
  <c r="U168" i="1"/>
  <c r="R177" i="1"/>
  <c r="Y97" i="1"/>
  <c r="N486" i="1"/>
  <c r="AG487" i="1" s="1"/>
  <c r="AB160" i="1" l="1"/>
  <c r="O161" i="1"/>
  <c r="Q162" i="1"/>
  <c r="V168" i="1"/>
  <c r="W168" i="1" s="1"/>
  <c r="S177" i="1"/>
  <c r="T177" i="1" s="1"/>
  <c r="Y98" i="1"/>
  <c r="N487" i="1"/>
  <c r="P161" i="1" l="1"/>
  <c r="O162" i="1" s="1"/>
  <c r="AB162" i="1"/>
  <c r="AI488" i="1"/>
  <c r="AI489" i="1" s="1"/>
  <c r="AH488" i="1"/>
  <c r="AH489" i="1" s="1"/>
  <c r="AG488" i="1"/>
  <c r="U169" i="1"/>
  <c r="R178" i="1"/>
  <c r="Y99" i="1"/>
  <c r="N488" i="1"/>
  <c r="P162" i="1" l="1"/>
  <c r="O163" i="1" s="1"/>
  <c r="P163" i="1" s="1"/>
  <c r="Q163" i="1"/>
  <c r="AG489" i="1"/>
  <c r="AG490" i="1" s="1"/>
  <c r="V169" i="1"/>
  <c r="W169" i="1" s="1"/>
  <c r="S178" i="1"/>
  <c r="T178" i="1" s="1"/>
  <c r="Y100" i="1"/>
  <c r="N489" i="1"/>
  <c r="AB163" i="1" l="1"/>
  <c r="O164" i="1"/>
  <c r="P164" i="1" s="1"/>
  <c r="AH490" i="1"/>
  <c r="AI490" i="1"/>
  <c r="U170" i="1"/>
  <c r="V170" i="1" s="1"/>
  <c r="W170" i="1" s="1"/>
  <c r="R179" i="1"/>
  <c r="Y101" i="1"/>
  <c r="N490" i="1"/>
  <c r="AG491" i="1" s="1"/>
  <c r="Q164" i="1" l="1"/>
  <c r="AH491" i="1"/>
  <c r="AH492" i="1" s="1"/>
  <c r="AI491" i="1"/>
  <c r="U171" i="1"/>
  <c r="S179" i="1"/>
  <c r="T179" i="1" s="1"/>
  <c r="Y102" i="1"/>
  <c r="N491" i="1"/>
  <c r="AG492" i="1" s="1"/>
  <c r="AB164" i="1" l="1"/>
  <c r="O165" i="1"/>
  <c r="P165" i="1" s="1"/>
  <c r="AI492" i="1"/>
  <c r="V171" i="1"/>
  <c r="W171" i="1" s="1"/>
  <c r="R180" i="1"/>
  <c r="S180" i="1" s="1"/>
  <c r="T180" i="1" s="1"/>
  <c r="Y103" i="1"/>
  <c r="N492" i="1"/>
  <c r="Q165" i="1" l="1"/>
  <c r="AI493" i="1"/>
  <c r="AI494" i="1" s="1"/>
  <c r="AH493" i="1"/>
  <c r="AH494" i="1" s="1"/>
  <c r="AG493" i="1"/>
  <c r="U172" i="1"/>
  <c r="V172" i="1" s="1"/>
  <c r="W172" i="1" s="1"/>
  <c r="R181" i="1"/>
  <c r="Y104" i="1"/>
  <c r="N493" i="1"/>
  <c r="AB165" i="1" l="1"/>
  <c r="O166" i="1"/>
  <c r="P166" i="1" s="1"/>
  <c r="Q166" i="1" s="1"/>
  <c r="AB166" i="1" s="1"/>
  <c r="AG494" i="1"/>
  <c r="AG495" i="1" s="1"/>
  <c r="U173" i="1"/>
  <c r="S181" i="1"/>
  <c r="T181" i="1" s="1"/>
  <c r="Y105" i="1"/>
  <c r="N494" i="1"/>
  <c r="O167" i="1" l="1"/>
  <c r="P167" i="1" s="1"/>
  <c r="AI495" i="1"/>
  <c r="AI496" i="1" s="1"/>
  <c r="AH495" i="1"/>
  <c r="AH496" i="1" s="1"/>
  <c r="V173" i="1"/>
  <c r="W173" i="1" s="1"/>
  <c r="R182" i="1"/>
  <c r="Y106" i="1"/>
  <c r="N495" i="1"/>
  <c r="AG496" i="1" s="1"/>
  <c r="Q167" i="1" l="1"/>
  <c r="U174" i="1"/>
  <c r="S182" i="1"/>
  <c r="T182" i="1" s="1"/>
  <c r="Y107" i="1"/>
  <c r="N496" i="1"/>
  <c r="AB167" i="1" l="1"/>
  <c r="O168" i="1"/>
  <c r="P168" i="1" s="1"/>
  <c r="V174" i="1"/>
  <c r="W174" i="1" s="1"/>
  <c r="AH497" i="1"/>
  <c r="AI497" i="1"/>
  <c r="AG497" i="1"/>
  <c r="R183" i="1"/>
  <c r="Y108" i="1"/>
  <c r="N497" i="1"/>
  <c r="Q168" i="1" l="1"/>
  <c r="U175" i="1"/>
  <c r="AH498" i="1"/>
  <c r="AH499" i="1" s="1"/>
  <c r="AI498" i="1"/>
  <c r="AI499" i="1" s="1"/>
  <c r="AG498" i="1"/>
  <c r="S183" i="1"/>
  <c r="T183" i="1" s="1"/>
  <c r="Y109" i="1"/>
  <c r="N498" i="1"/>
  <c r="AB168" i="1" l="1"/>
  <c r="O169" i="1"/>
  <c r="P169" i="1" s="1"/>
  <c r="Q169" i="1"/>
  <c r="V175" i="1"/>
  <c r="W175" i="1" s="1"/>
  <c r="AG499" i="1"/>
  <c r="AG500" i="1" s="1"/>
  <c r="R184" i="1"/>
  <c r="Y110" i="1"/>
  <c r="N499" i="1"/>
  <c r="AB169" i="1" l="1"/>
  <c r="O170" i="1"/>
  <c r="P170" i="1" s="1"/>
  <c r="U176" i="1"/>
  <c r="V176" i="1" s="1"/>
  <c r="W176" i="1" s="1"/>
  <c r="AI500" i="1"/>
  <c r="AH500" i="1"/>
  <c r="S184" i="1"/>
  <c r="T184" i="1" s="1"/>
  <c r="Y111" i="1"/>
  <c r="N500" i="1"/>
  <c r="AG501" i="1" s="1"/>
  <c r="Q170" i="1" l="1"/>
  <c r="U177" i="1"/>
  <c r="AI501" i="1"/>
  <c r="AH501" i="1"/>
  <c r="R185" i="1"/>
  <c r="Y112" i="1"/>
  <c r="N501" i="1"/>
  <c r="AG502" i="1" s="1"/>
  <c r="AB170" i="1" l="1"/>
  <c r="O171" i="1"/>
  <c r="P171" i="1" s="1"/>
  <c r="V177" i="1"/>
  <c r="W177" i="1" s="1"/>
  <c r="AI502" i="1"/>
  <c r="AI503" i="1" s="1"/>
  <c r="AH502" i="1"/>
  <c r="AH503" i="1" s="1"/>
  <c r="S185" i="1"/>
  <c r="T185" i="1" s="1"/>
  <c r="Y113" i="1"/>
  <c r="N502" i="1"/>
  <c r="AG503" i="1" s="1"/>
  <c r="Q171" i="1" l="1"/>
  <c r="U178" i="1"/>
  <c r="R186" i="1"/>
  <c r="Y114" i="1"/>
  <c r="N503" i="1"/>
  <c r="AB171" i="1" l="1"/>
  <c r="O172" i="1"/>
  <c r="P172" i="1" s="1"/>
  <c r="Q172" i="1"/>
  <c r="V178" i="1"/>
  <c r="W178" i="1" s="1"/>
  <c r="AI504" i="1"/>
  <c r="AI505" i="1" s="1"/>
  <c r="AH504" i="1"/>
  <c r="AH505" i="1" s="1"/>
  <c r="AG504" i="1"/>
  <c r="AG505" i="1" s="1"/>
  <c r="S186" i="1"/>
  <c r="T186" i="1" s="1"/>
  <c r="Y115" i="1"/>
  <c r="Y116" i="1" s="1"/>
  <c r="N504" i="1"/>
  <c r="AB172" i="1" l="1"/>
  <c r="O173" i="1"/>
  <c r="P173" i="1" s="1"/>
  <c r="U179" i="1"/>
  <c r="R187" i="1"/>
  <c r="S187" i="1" s="1"/>
  <c r="T187" i="1" s="1"/>
  <c r="Y117" i="1"/>
  <c r="N505" i="1"/>
  <c r="Q173" i="1" l="1"/>
  <c r="V179" i="1"/>
  <c r="W179" i="1" s="1"/>
  <c r="AG506" i="1"/>
  <c r="AG507" i="1" s="1"/>
  <c r="AI506" i="1"/>
  <c r="AH506" i="1"/>
  <c r="R188" i="1"/>
  <c r="Y118" i="1"/>
  <c r="N506" i="1"/>
  <c r="AB173" i="1" l="1"/>
  <c r="O174" i="1"/>
  <c r="P174" i="1" s="1"/>
  <c r="U180" i="1"/>
  <c r="V180" i="1" s="1"/>
  <c r="W180" i="1" s="1"/>
  <c r="AI507" i="1"/>
  <c r="AI508" i="1" s="1"/>
  <c r="AH507" i="1"/>
  <c r="S188" i="1"/>
  <c r="T188" i="1" s="1"/>
  <c r="Y119" i="1"/>
  <c r="N507" i="1"/>
  <c r="AG508" i="1" s="1"/>
  <c r="Q174" i="1" l="1"/>
  <c r="U181" i="1"/>
  <c r="AH508" i="1"/>
  <c r="AH509" i="1" s="1"/>
  <c r="R189" i="1"/>
  <c r="Y120" i="1"/>
  <c r="N508" i="1"/>
  <c r="AB174" i="1" l="1"/>
  <c r="O175" i="1"/>
  <c r="Q175" i="1"/>
  <c r="AB175" i="1" s="1"/>
  <c r="V181" i="1"/>
  <c r="W181" i="1" s="1"/>
  <c r="AI509" i="1"/>
  <c r="AI510" i="1" s="1"/>
  <c r="AG509" i="1"/>
  <c r="AG510" i="1" s="1"/>
  <c r="S189" i="1"/>
  <c r="T189" i="1" s="1"/>
  <c r="Y121" i="1"/>
  <c r="N509" i="1"/>
  <c r="AH510" i="1" s="1"/>
  <c r="P175" i="1" l="1"/>
  <c r="O176" i="1" s="1"/>
  <c r="P176" i="1" s="1"/>
  <c r="U182" i="1"/>
  <c r="V182" i="1" s="1"/>
  <c r="W182" i="1" s="1"/>
  <c r="R190" i="1"/>
  <c r="Y122" i="1"/>
  <c r="N510" i="1"/>
  <c r="Q176" i="1" l="1"/>
  <c r="U183" i="1"/>
  <c r="V183" i="1" s="1"/>
  <c r="W183" i="1" s="1"/>
  <c r="AG511" i="1"/>
  <c r="AI511" i="1"/>
  <c r="AH511" i="1"/>
  <c r="S190" i="1"/>
  <c r="T190" i="1" s="1"/>
  <c r="Y123" i="1"/>
  <c r="N511" i="1"/>
  <c r="AB176" i="1" l="1"/>
  <c r="O177" i="1"/>
  <c r="P177" i="1"/>
  <c r="U184" i="1"/>
  <c r="R191" i="1"/>
  <c r="AG512" i="1"/>
  <c r="AG513" i="1" s="1"/>
  <c r="AI512" i="1"/>
  <c r="AI513" i="1" s="1"/>
  <c r="AH512" i="1"/>
  <c r="Y124" i="1"/>
  <c r="N512" i="1"/>
  <c r="Q177" i="1" l="1"/>
  <c r="V184" i="1"/>
  <c r="W184" i="1" s="1"/>
  <c r="S191" i="1"/>
  <c r="T191" i="1" s="1"/>
  <c r="AH513" i="1"/>
  <c r="AH514" i="1" s="1"/>
  <c r="Q181" i="1"/>
  <c r="AB181" i="1" s="1"/>
  <c r="Y125" i="1"/>
  <c r="N513" i="1"/>
  <c r="AB177" i="1" l="1"/>
  <c r="O178" i="1"/>
  <c r="P178" i="1" s="1"/>
  <c r="Q178" i="1"/>
  <c r="U185" i="1"/>
  <c r="R192" i="1"/>
  <c r="AG514" i="1"/>
  <c r="AI514" i="1"/>
  <c r="Y126" i="1"/>
  <c r="N514" i="1"/>
  <c r="AH515" i="1" s="1"/>
  <c r="AB178" i="1" l="1"/>
  <c r="O179" i="1"/>
  <c r="P179" i="1" s="1"/>
  <c r="S192" i="1"/>
  <c r="T192" i="1" s="1"/>
  <c r="V185" i="1"/>
  <c r="W185" i="1" s="1"/>
  <c r="AG515" i="1"/>
  <c r="AG516" i="1" s="1"/>
  <c r="AI515" i="1"/>
  <c r="Y127" i="1"/>
  <c r="N515" i="1"/>
  <c r="AH516" i="1" s="1"/>
  <c r="Q179" i="1" l="1"/>
  <c r="R193" i="1"/>
  <c r="S193" i="1" s="1"/>
  <c r="T193" i="1" s="1"/>
  <c r="U186" i="1"/>
  <c r="AI516" i="1"/>
  <c r="AI517" i="1" s="1"/>
  <c r="Y128" i="1"/>
  <c r="N516" i="1"/>
  <c r="AB179" i="1" l="1"/>
  <c r="O180" i="1"/>
  <c r="P180" i="1" s="1"/>
  <c r="Q180" i="1" s="1"/>
  <c r="R194" i="1"/>
  <c r="S194" i="1" s="1"/>
  <c r="T194" i="1" s="1"/>
  <c r="V186" i="1"/>
  <c r="W186" i="1" s="1"/>
  <c r="AG517" i="1"/>
  <c r="AG518" i="1" s="1"/>
  <c r="AH517" i="1"/>
  <c r="AH518" i="1" s="1"/>
  <c r="Y129" i="1"/>
  <c r="N517" i="1"/>
  <c r="AI518" i="1" s="1"/>
  <c r="AB180" i="1" l="1"/>
  <c r="O181" i="1"/>
  <c r="U187" i="1"/>
  <c r="R195" i="1"/>
  <c r="Y130" i="1"/>
  <c r="N518" i="1"/>
  <c r="P181" i="1" l="1"/>
  <c r="O182" i="1" s="1"/>
  <c r="V187" i="1"/>
  <c r="W187" i="1" s="1"/>
  <c r="S195" i="1"/>
  <c r="T195" i="1" s="1"/>
  <c r="AG519" i="1"/>
  <c r="AG520" i="1" s="1"/>
  <c r="AH519" i="1"/>
  <c r="AI519" i="1"/>
  <c r="Y131" i="1"/>
  <c r="N519" i="1"/>
  <c r="P182" i="1" l="1"/>
  <c r="U188" i="1"/>
  <c r="R196" i="1"/>
  <c r="AH520" i="1"/>
  <c r="AH521" i="1" s="1"/>
  <c r="AI520" i="1"/>
  <c r="Y132" i="1"/>
  <c r="N520" i="1"/>
  <c r="AG521" i="1" s="1"/>
  <c r="Q182" i="1" l="1"/>
  <c r="V188" i="1"/>
  <c r="W188" i="1" s="1"/>
  <c r="S196" i="1"/>
  <c r="T196" i="1" s="1"/>
  <c r="AI521" i="1"/>
  <c r="AI522" i="1" s="1"/>
  <c r="Y133" i="1"/>
  <c r="N521" i="1"/>
  <c r="AB182" i="1" l="1"/>
  <c r="O183" i="1"/>
  <c r="U189" i="1"/>
  <c r="V189" i="1" s="1"/>
  <c r="W189" i="1" s="1"/>
  <c r="R197" i="1"/>
  <c r="AH522" i="1"/>
  <c r="AG522" i="1"/>
  <c r="Y134" i="1"/>
  <c r="N522" i="1"/>
  <c r="AI523" i="1" s="1"/>
  <c r="P183" i="1" l="1"/>
  <c r="Q184" i="1"/>
  <c r="U190" i="1"/>
  <c r="S197" i="1"/>
  <c r="T197" i="1" s="1"/>
  <c r="AH523" i="1"/>
  <c r="AG523" i="1"/>
  <c r="AG524" i="1" s="1"/>
  <c r="Y135" i="1"/>
  <c r="N523" i="1"/>
  <c r="AI524" i="1" s="1"/>
  <c r="Q183" i="1" l="1"/>
  <c r="AB184" i="1"/>
  <c r="V190" i="1"/>
  <c r="W190" i="1" s="1"/>
  <c r="R198" i="1"/>
  <c r="S198" i="1" s="1"/>
  <c r="T198" i="1" s="1"/>
  <c r="AH524" i="1"/>
  <c r="AH525" i="1" s="1"/>
  <c r="Y136" i="1"/>
  <c r="N524" i="1"/>
  <c r="AB183" i="1" l="1"/>
  <c r="O184" i="1"/>
  <c r="P184" i="1" s="1"/>
  <c r="O185" i="1" s="1"/>
  <c r="P185" i="1" s="1"/>
  <c r="U191" i="1"/>
  <c r="V191" i="1" s="1"/>
  <c r="W191" i="1" s="1"/>
  <c r="R199" i="1"/>
  <c r="AG525" i="1"/>
  <c r="AG526" i="1" s="1"/>
  <c r="AI525" i="1"/>
  <c r="Y137" i="1"/>
  <c r="N525" i="1"/>
  <c r="AH526" i="1" s="1"/>
  <c r="Q185" i="1" l="1"/>
  <c r="U192" i="1"/>
  <c r="S199" i="1"/>
  <c r="T199" i="1" s="1"/>
  <c r="AI526" i="1"/>
  <c r="AI527" i="1" s="1"/>
  <c r="Y138" i="1"/>
  <c r="N526" i="1"/>
  <c r="AB185" i="1" l="1"/>
  <c r="O186" i="1"/>
  <c r="V192" i="1"/>
  <c r="W192" i="1" s="1"/>
  <c r="R200" i="1"/>
  <c r="AG527" i="1"/>
  <c r="AH527" i="1"/>
  <c r="Y139" i="1"/>
  <c r="N527" i="1"/>
  <c r="AI528" i="1" s="1"/>
  <c r="P186" i="1" l="1"/>
  <c r="Q186" i="1" s="1"/>
  <c r="U193" i="1"/>
  <c r="V193" i="1" s="1"/>
  <c r="W193" i="1" s="1"/>
  <c r="S200" i="1"/>
  <c r="T200" i="1" s="1"/>
  <c r="AG528" i="1"/>
  <c r="AG529" i="1" s="1"/>
  <c r="AH528" i="1"/>
  <c r="Y140" i="1"/>
  <c r="N528" i="1"/>
  <c r="AI529" i="1" s="1"/>
  <c r="AB186" i="1" l="1"/>
  <c r="O187" i="1"/>
  <c r="U194" i="1"/>
  <c r="V194" i="1" s="1"/>
  <c r="W194" i="1" s="1"/>
  <c r="R201" i="1"/>
  <c r="AH529" i="1"/>
  <c r="Y141" i="1"/>
  <c r="N529" i="1"/>
  <c r="P187" i="1" l="1"/>
  <c r="Q187" i="1" s="1"/>
  <c r="S201" i="1"/>
  <c r="T201" i="1" s="1"/>
  <c r="AH530" i="1"/>
  <c r="AH531" i="1" s="1"/>
  <c r="AG530" i="1"/>
  <c r="AG531" i="1" s="1"/>
  <c r="AI530" i="1"/>
  <c r="AI531" i="1" s="1"/>
  <c r="U195" i="1"/>
  <c r="Y142" i="1"/>
  <c r="N530" i="1"/>
  <c r="AB187" i="1" l="1"/>
  <c r="O188" i="1"/>
  <c r="P188" i="1" s="1"/>
  <c r="Q188" i="1" s="1"/>
  <c r="AB188" i="1" s="1"/>
  <c r="R202" i="1"/>
  <c r="V195" i="1"/>
  <c r="W195" i="1" s="1"/>
  <c r="Y143" i="1"/>
  <c r="N531" i="1"/>
  <c r="O189" i="1" l="1"/>
  <c r="P189" i="1" s="1"/>
  <c r="Q189" i="1" s="1"/>
  <c r="AB189" i="1" s="1"/>
  <c r="S202" i="1"/>
  <c r="T202" i="1" s="1"/>
  <c r="AH532" i="1"/>
  <c r="AH533" i="1" s="1"/>
  <c r="AG532" i="1"/>
  <c r="AG533" i="1" s="1"/>
  <c r="AI532" i="1"/>
  <c r="AI533" i="1" s="1"/>
  <c r="U196" i="1"/>
  <c r="Y144" i="1"/>
  <c r="N532" i="1"/>
  <c r="O190" i="1" l="1"/>
  <c r="P190" i="1" s="1"/>
  <c r="Q190" i="1" s="1"/>
  <c r="AB190" i="1" s="1"/>
  <c r="R203" i="1"/>
  <c r="V196" i="1"/>
  <c r="W196" i="1" s="1"/>
  <c r="Y145" i="1"/>
  <c r="N533" i="1"/>
  <c r="O191" i="1" l="1"/>
  <c r="P191" i="1" s="1"/>
  <c r="S203" i="1"/>
  <c r="T203" i="1" s="1"/>
  <c r="AH534" i="1"/>
  <c r="AH535" i="1" s="1"/>
  <c r="AG534" i="1"/>
  <c r="AG535" i="1" s="1"/>
  <c r="AI534" i="1"/>
  <c r="AI535" i="1" s="1"/>
  <c r="U197" i="1"/>
  <c r="Y146" i="1"/>
  <c r="N534" i="1"/>
  <c r="Q191" i="1" l="1"/>
  <c r="V197" i="1"/>
  <c r="W197" i="1" s="1"/>
  <c r="R204" i="1"/>
  <c r="Y147" i="1"/>
  <c r="N535" i="1"/>
  <c r="AB191" i="1" l="1"/>
  <c r="O192" i="1"/>
  <c r="U198" i="1"/>
  <c r="V198" i="1" s="1"/>
  <c r="W198" i="1" s="1"/>
  <c r="S204" i="1"/>
  <c r="T204" i="1" s="1"/>
  <c r="AH536" i="1"/>
  <c r="AH537" i="1" s="1"/>
  <c r="AG536" i="1"/>
  <c r="AI536" i="1"/>
  <c r="Y148" i="1"/>
  <c r="N536" i="1"/>
  <c r="P192" i="1" l="1"/>
  <c r="U199" i="1"/>
  <c r="R205" i="1"/>
  <c r="AG537" i="1"/>
  <c r="AG538" i="1" s="1"/>
  <c r="AI537" i="1"/>
  <c r="AI538" i="1" s="1"/>
  <c r="Y149" i="1"/>
  <c r="N537" i="1"/>
  <c r="AH538" i="1" s="1"/>
  <c r="Q192" i="1" l="1"/>
  <c r="V199" i="1"/>
  <c r="W199" i="1" s="1"/>
  <c r="U200" i="1" s="1"/>
  <c r="V200" i="1" s="1"/>
  <c r="W200" i="1" s="1"/>
  <c r="S205" i="1"/>
  <c r="Y150" i="1"/>
  <c r="N538" i="1"/>
  <c r="AB192" i="1" l="1"/>
  <c r="O193" i="1"/>
  <c r="P193" i="1" s="1"/>
  <c r="T205" i="1"/>
  <c r="R206" i="1" s="1"/>
  <c r="S206" i="1" s="1"/>
  <c r="T206" i="1" s="1"/>
  <c r="AI539" i="1"/>
  <c r="AI540" i="1" s="1"/>
  <c r="AG539" i="1"/>
  <c r="AG540" i="1" s="1"/>
  <c r="AH539" i="1"/>
  <c r="AH540" i="1" s="1"/>
  <c r="U201" i="1"/>
  <c r="Y151" i="1"/>
  <c r="N539" i="1"/>
  <c r="Q193" i="1" l="1"/>
  <c r="R207" i="1"/>
  <c r="V201" i="1"/>
  <c r="W201" i="1" s="1"/>
  <c r="Y152" i="1"/>
  <c r="N540" i="1"/>
  <c r="AB193" i="1" l="1"/>
  <c r="O194" i="1"/>
  <c r="P194" i="1"/>
  <c r="Q194" i="1" s="1"/>
  <c r="S207" i="1"/>
  <c r="T207" i="1" s="1"/>
  <c r="AG541" i="1"/>
  <c r="AG542" i="1" s="1"/>
  <c r="AH541" i="1"/>
  <c r="AI541" i="1"/>
  <c r="U202" i="1"/>
  <c r="Y153" i="1"/>
  <c r="N541" i="1"/>
  <c r="AB194" i="1" l="1"/>
  <c r="O195" i="1"/>
  <c r="P195" i="1"/>
  <c r="AH542" i="1"/>
  <c r="AI542" i="1"/>
  <c r="R208" i="1"/>
  <c r="S208" i="1" s="1"/>
  <c r="T208" i="1" s="1"/>
  <c r="V202" i="1"/>
  <c r="W202" i="1" s="1"/>
  <c r="Y154" i="1"/>
  <c r="N542" i="1"/>
  <c r="AG543" i="1" s="1"/>
  <c r="Q195" i="1" l="1"/>
  <c r="R209" i="1"/>
  <c r="S209" i="1" s="1"/>
  <c r="T209" i="1" s="1"/>
  <c r="AH543" i="1"/>
  <c r="AH544" i="1" s="1"/>
  <c r="AI543" i="1"/>
  <c r="U203" i="1"/>
  <c r="Y155" i="1"/>
  <c r="N543" i="1"/>
  <c r="AG544" i="1" s="1"/>
  <c r="AB195" i="1" l="1"/>
  <c r="O196" i="1"/>
  <c r="P196" i="1" s="1"/>
  <c r="R210" i="1"/>
  <c r="S210" i="1" s="1"/>
  <c r="T210" i="1" s="1"/>
  <c r="AI544" i="1"/>
  <c r="AI545" i="1" s="1"/>
  <c r="V203" i="1"/>
  <c r="W203" i="1" s="1"/>
  <c r="Y156" i="1"/>
  <c r="N544" i="1"/>
  <c r="Q196" i="1" l="1"/>
  <c r="R211" i="1"/>
  <c r="AH545" i="1"/>
  <c r="AH546" i="1" s="1"/>
  <c r="AG545" i="1"/>
  <c r="U204" i="1"/>
  <c r="V204" i="1" s="1"/>
  <c r="W204" i="1" s="1"/>
  <c r="Y157" i="1"/>
  <c r="N545" i="1"/>
  <c r="AI546" i="1" s="1"/>
  <c r="AB196" i="1" l="1"/>
  <c r="O197" i="1"/>
  <c r="P197" i="1" s="1"/>
  <c r="S211" i="1"/>
  <c r="T211" i="1" s="1"/>
  <c r="AG546" i="1"/>
  <c r="AG547" i="1" s="1"/>
  <c r="U205" i="1"/>
  <c r="Y158" i="1"/>
  <c r="N546" i="1"/>
  <c r="Q197" i="1" l="1"/>
  <c r="R212" i="1"/>
  <c r="AH547" i="1"/>
  <c r="AH548" i="1" s="1"/>
  <c r="AI547" i="1"/>
  <c r="V205" i="1"/>
  <c r="W205" i="1" s="1"/>
  <c r="Y159" i="1"/>
  <c r="N547" i="1"/>
  <c r="AG548" i="1" s="1"/>
  <c r="AB197" i="1" l="1"/>
  <c r="O198" i="1"/>
  <c r="P198" i="1" s="1"/>
  <c r="S212" i="1"/>
  <c r="T212" i="1" s="1"/>
  <c r="AI548" i="1"/>
  <c r="AI549" i="1" s="1"/>
  <c r="U206" i="1"/>
  <c r="Y160" i="1"/>
  <c r="N548" i="1"/>
  <c r="Q198" i="1" l="1"/>
  <c r="R213" i="1"/>
  <c r="AH549" i="1"/>
  <c r="AH550" i="1" s="1"/>
  <c r="AG549" i="1"/>
  <c r="V206" i="1"/>
  <c r="W206" i="1" s="1"/>
  <c r="Y161" i="1"/>
  <c r="N549" i="1"/>
  <c r="AI550" i="1" s="1"/>
  <c r="AB198" i="1" l="1"/>
  <c r="O199" i="1"/>
  <c r="P199" i="1" s="1"/>
  <c r="S213" i="1"/>
  <c r="T213" i="1" s="1"/>
  <c r="AG550" i="1"/>
  <c r="AG551" i="1" s="1"/>
  <c r="U207" i="1"/>
  <c r="Y162" i="1"/>
  <c r="N550" i="1"/>
  <c r="Q199" i="1" l="1"/>
  <c r="R214" i="1"/>
  <c r="AH551" i="1"/>
  <c r="AI551" i="1"/>
  <c r="V207" i="1"/>
  <c r="W207" i="1" s="1"/>
  <c r="Y163" i="1"/>
  <c r="N551" i="1"/>
  <c r="AG552" i="1" s="1"/>
  <c r="AB199" i="1" l="1"/>
  <c r="O200" i="1"/>
  <c r="P200" i="1" s="1"/>
  <c r="S214" i="1"/>
  <c r="T214" i="1" s="1"/>
  <c r="AH552" i="1"/>
  <c r="AI552" i="1"/>
  <c r="U208" i="1"/>
  <c r="Y164" i="1"/>
  <c r="N552" i="1"/>
  <c r="AG553" i="1" s="1"/>
  <c r="Q200" i="1" l="1"/>
  <c r="R215" i="1"/>
  <c r="S215" i="1" s="1"/>
  <c r="AH553" i="1"/>
  <c r="AH554" i="1" s="1"/>
  <c r="AI553" i="1"/>
  <c r="V208" i="1"/>
  <c r="W208" i="1" s="1"/>
  <c r="Y165" i="1"/>
  <c r="N553" i="1"/>
  <c r="AG554" i="1" s="1"/>
  <c r="AB200" i="1" l="1"/>
  <c r="O201" i="1"/>
  <c r="P201" i="1" s="1"/>
  <c r="T215" i="1"/>
  <c r="R216" i="1" s="1"/>
  <c r="S216" i="1" s="1"/>
  <c r="T216" i="1" s="1"/>
  <c r="U209" i="1"/>
  <c r="AI554" i="1"/>
  <c r="AI555" i="1" s="1"/>
  <c r="Y166" i="1"/>
  <c r="N554" i="1"/>
  <c r="Q201" i="1" l="1"/>
  <c r="V209" i="1"/>
  <c r="W209" i="1" s="1"/>
  <c r="R217" i="1"/>
  <c r="AH555" i="1"/>
  <c r="AG555" i="1"/>
  <c r="Y167" i="1"/>
  <c r="N555" i="1"/>
  <c r="AI556" i="1" s="1"/>
  <c r="AB201" i="1" l="1"/>
  <c r="O202" i="1"/>
  <c r="P202" i="1" s="1"/>
  <c r="U210" i="1"/>
  <c r="S217" i="1"/>
  <c r="T217" i="1" s="1"/>
  <c r="AH556" i="1"/>
  <c r="AG556" i="1"/>
  <c r="Y168" i="1"/>
  <c r="N556" i="1"/>
  <c r="AI557" i="1" s="1"/>
  <c r="Q202" i="1" l="1"/>
  <c r="V210" i="1"/>
  <c r="R218" i="1"/>
  <c r="S218" i="1" s="1"/>
  <c r="T218" i="1" s="1"/>
  <c r="AH557" i="1"/>
  <c r="AH558" i="1" s="1"/>
  <c r="AG557" i="1"/>
  <c r="AG558" i="1" s="1"/>
  <c r="W210" i="1"/>
  <c r="Y169" i="1"/>
  <c r="N557" i="1"/>
  <c r="AI558" i="1" s="1"/>
  <c r="AB202" i="1" l="1"/>
  <c r="O203" i="1"/>
  <c r="P203" i="1" s="1"/>
  <c r="R219" i="1"/>
  <c r="U211" i="1"/>
  <c r="Y170" i="1"/>
  <c r="N558" i="1"/>
  <c r="Q203" i="1" l="1"/>
  <c r="S219" i="1"/>
  <c r="AH559" i="1"/>
  <c r="AH560" i="1" s="1"/>
  <c r="AG559" i="1"/>
  <c r="AG560" i="1" s="1"/>
  <c r="AI559" i="1"/>
  <c r="AI560" i="1" s="1"/>
  <c r="V211" i="1"/>
  <c r="W211" i="1" s="1"/>
  <c r="Y171" i="1"/>
  <c r="N559" i="1"/>
  <c r="AB203" i="1" l="1"/>
  <c r="O204" i="1"/>
  <c r="Q204" i="1"/>
  <c r="AB204" i="1" s="1"/>
  <c r="T219" i="1"/>
  <c r="R220" i="1" s="1"/>
  <c r="S220" i="1" s="1"/>
  <c r="T220" i="1" s="1"/>
  <c r="U212" i="1"/>
  <c r="Y172" i="1"/>
  <c r="N560" i="1"/>
  <c r="P204" i="1" l="1"/>
  <c r="O205" i="1" s="1"/>
  <c r="P205" i="1" s="1"/>
  <c r="AG561" i="1"/>
  <c r="AG562" i="1" s="1"/>
  <c r="AI561" i="1"/>
  <c r="AI562" i="1" s="1"/>
  <c r="AH561" i="1"/>
  <c r="AH562" i="1" s="1"/>
  <c r="R221" i="1"/>
  <c r="V212" i="1"/>
  <c r="W212" i="1" s="1"/>
  <c r="Y173" i="1"/>
  <c r="N561" i="1"/>
  <c r="Q205" i="1" l="1"/>
  <c r="S221" i="1"/>
  <c r="T221" i="1" s="1"/>
  <c r="U213" i="1"/>
  <c r="Y174" i="1"/>
  <c r="N562" i="1"/>
  <c r="AB205" i="1" l="1"/>
  <c r="O206" i="1"/>
  <c r="P206" i="1" s="1"/>
  <c r="R222" i="1"/>
  <c r="AI563" i="1"/>
  <c r="AI564" i="1" s="1"/>
  <c r="AH563" i="1"/>
  <c r="AH564" i="1" s="1"/>
  <c r="AG563" i="1"/>
  <c r="V213" i="1"/>
  <c r="W213" i="1" s="1"/>
  <c r="Y175" i="1"/>
  <c r="N563" i="1"/>
  <c r="Q206" i="1" l="1"/>
  <c r="S222" i="1"/>
  <c r="T222" i="1" s="1"/>
  <c r="AG564" i="1"/>
  <c r="AG565" i="1" s="1"/>
  <c r="U214" i="1"/>
  <c r="Y176" i="1"/>
  <c r="N564" i="1"/>
  <c r="AB206" i="1" l="1"/>
  <c r="O207" i="1"/>
  <c r="P207" i="1" s="1"/>
  <c r="Q207" i="1"/>
  <c r="R223" i="1"/>
  <c r="S223" i="1" s="1"/>
  <c r="T223" i="1" s="1"/>
  <c r="AI565" i="1"/>
  <c r="AI566" i="1" s="1"/>
  <c r="AH565" i="1"/>
  <c r="V214" i="1"/>
  <c r="W214" i="1" s="1"/>
  <c r="Y177" i="1"/>
  <c r="N565" i="1"/>
  <c r="AG566" i="1" s="1"/>
  <c r="AB207" i="1" l="1"/>
  <c r="O208" i="1"/>
  <c r="P208" i="1" s="1"/>
  <c r="R224" i="1"/>
  <c r="AH566" i="1"/>
  <c r="AH567" i="1" s="1"/>
  <c r="U215" i="1"/>
  <c r="V215" i="1" s="1"/>
  <c r="W215" i="1" s="1"/>
  <c r="Y178" i="1"/>
  <c r="N566" i="1"/>
  <c r="Q208" i="1" l="1"/>
  <c r="S224" i="1"/>
  <c r="T224" i="1" s="1"/>
  <c r="AI567" i="1"/>
  <c r="AG567" i="1"/>
  <c r="AG568" i="1" s="1"/>
  <c r="U216" i="1"/>
  <c r="V216" i="1" s="1"/>
  <c r="W216" i="1" s="1"/>
  <c r="Y179" i="1"/>
  <c r="N567" i="1"/>
  <c r="AH568" i="1" s="1"/>
  <c r="AB208" i="1" l="1"/>
  <c r="O209" i="1"/>
  <c r="P209" i="1" s="1"/>
  <c r="R225" i="1"/>
  <c r="AI568" i="1"/>
  <c r="AI569" i="1" s="1"/>
  <c r="U217" i="1"/>
  <c r="Y180" i="1"/>
  <c r="N568" i="1"/>
  <c r="Q209" i="1" l="1"/>
  <c r="V217" i="1"/>
  <c r="W217" i="1" s="1"/>
  <c r="S225" i="1"/>
  <c r="T225" i="1" s="1"/>
  <c r="AG569" i="1"/>
  <c r="AG570" i="1" s="1"/>
  <c r="AH569" i="1"/>
  <c r="Y181" i="1"/>
  <c r="N569" i="1"/>
  <c r="AI570" i="1" s="1"/>
  <c r="AB209" i="1" l="1"/>
  <c r="O210" i="1"/>
  <c r="P210" i="1" s="1"/>
  <c r="Q210" i="1"/>
  <c r="U218" i="1"/>
  <c r="R226" i="1"/>
  <c r="AH570" i="1"/>
  <c r="AH571" i="1" s="1"/>
  <c r="Y182" i="1"/>
  <c r="N570" i="1"/>
  <c r="AB210" i="1" l="1"/>
  <c r="O211" i="1"/>
  <c r="P211" i="1" s="1"/>
  <c r="V218" i="1"/>
  <c r="W218" i="1" s="1"/>
  <c r="S226" i="1"/>
  <c r="T226" i="1" s="1"/>
  <c r="AG571" i="1"/>
  <c r="AG572" i="1" s="1"/>
  <c r="AI571" i="1"/>
  <c r="AI572" i="1" s="1"/>
  <c r="Y183" i="1"/>
  <c r="N571" i="1"/>
  <c r="AH572" i="1" s="1"/>
  <c r="Q211" i="1" l="1"/>
  <c r="U219" i="1"/>
  <c r="R227" i="1"/>
  <c r="S227" i="1" s="1"/>
  <c r="T227" i="1" s="1"/>
  <c r="Y184" i="1"/>
  <c r="N572" i="1"/>
  <c r="AB211" i="1" l="1"/>
  <c r="O212" i="1"/>
  <c r="P212" i="1" s="1"/>
  <c r="Q212" i="1"/>
  <c r="V219" i="1"/>
  <c r="W219" i="1" s="1"/>
  <c r="R228" i="1"/>
  <c r="S228" i="1" s="1"/>
  <c r="T228" i="1" s="1"/>
  <c r="AG573" i="1"/>
  <c r="AG574" i="1" s="1"/>
  <c r="AI573" i="1"/>
  <c r="AH573" i="1"/>
  <c r="Y185" i="1"/>
  <c r="N573" i="1"/>
  <c r="AB212" i="1" l="1"/>
  <c r="O213" i="1"/>
  <c r="P213" i="1" s="1"/>
  <c r="U220" i="1"/>
  <c r="V220" i="1" s="1"/>
  <c r="W220" i="1" s="1"/>
  <c r="R229" i="1"/>
  <c r="S229" i="1" s="1"/>
  <c r="T229" i="1" s="1"/>
  <c r="AI574" i="1"/>
  <c r="AH574" i="1"/>
  <c r="Y186" i="1"/>
  <c r="N574" i="1"/>
  <c r="AG575" i="1" s="1"/>
  <c r="Q213" i="1" l="1"/>
  <c r="U221" i="1"/>
  <c r="R230" i="1"/>
  <c r="AI575" i="1"/>
  <c r="AH575" i="1"/>
  <c r="Y187" i="1"/>
  <c r="N575" i="1"/>
  <c r="AG576" i="1" s="1"/>
  <c r="AB213" i="1" l="1"/>
  <c r="O214" i="1"/>
  <c r="P214" i="1" s="1"/>
  <c r="V221" i="1"/>
  <c r="W221" i="1" s="1"/>
  <c r="S230" i="1"/>
  <c r="T230" i="1" s="1"/>
  <c r="AI576" i="1"/>
  <c r="AI577" i="1" s="1"/>
  <c r="AH576" i="1"/>
  <c r="Y188" i="1"/>
  <c r="N576" i="1"/>
  <c r="AG577" i="1" s="1"/>
  <c r="Q214" i="1" l="1"/>
  <c r="U222" i="1"/>
  <c r="V222" i="1" s="1"/>
  <c r="W222" i="1" s="1"/>
  <c r="R231" i="1"/>
  <c r="AH577" i="1"/>
  <c r="AH578" i="1" s="1"/>
  <c r="Y189" i="1"/>
  <c r="N577" i="1"/>
  <c r="AB214" i="1" l="1"/>
  <c r="O215" i="1"/>
  <c r="P215" i="1" s="1"/>
  <c r="S231" i="1"/>
  <c r="U223" i="1"/>
  <c r="AI578" i="1"/>
  <c r="AI579" i="1" s="1"/>
  <c r="AG578" i="1"/>
  <c r="Y190" i="1"/>
  <c r="N578" i="1"/>
  <c r="AH579" i="1" s="1"/>
  <c r="Q215" i="1" l="1"/>
  <c r="T231" i="1"/>
  <c r="R232" i="1" s="1"/>
  <c r="S232" i="1" s="1"/>
  <c r="T232" i="1" s="1"/>
  <c r="V223" i="1"/>
  <c r="AG579" i="1"/>
  <c r="AG580" i="1" s="1"/>
  <c r="Y191" i="1"/>
  <c r="N579" i="1"/>
  <c r="AB215" i="1" l="1"/>
  <c r="O216" i="1"/>
  <c r="P216" i="1" s="1"/>
  <c r="W223" i="1"/>
  <c r="AI580" i="1"/>
  <c r="AI581" i="1" s="1"/>
  <c r="AH580" i="1"/>
  <c r="Y192" i="1"/>
  <c r="R233" i="1"/>
  <c r="N580" i="1"/>
  <c r="AG581" i="1" s="1"/>
  <c r="Q216" i="1" l="1"/>
  <c r="U224" i="1"/>
  <c r="V224" i="1" s="1"/>
  <c r="W224" i="1" s="1"/>
  <c r="AH581" i="1"/>
  <c r="AH582" i="1" s="1"/>
  <c r="Y193" i="1"/>
  <c r="S233" i="1"/>
  <c r="T233" i="1" s="1"/>
  <c r="N581" i="1"/>
  <c r="AB216" i="1" l="1"/>
  <c r="O217" i="1"/>
  <c r="P217" i="1" s="1"/>
  <c r="U225" i="1"/>
  <c r="AI582" i="1"/>
  <c r="AI583" i="1" s="1"/>
  <c r="AG582" i="1"/>
  <c r="AG583" i="1" s="1"/>
  <c r="Y194" i="1"/>
  <c r="R234" i="1"/>
  <c r="N582" i="1"/>
  <c r="AH583" i="1" s="1"/>
  <c r="Q217" i="1" l="1"/>
  <c r="V225" i="1"/>
  <c r="W225" i="1" s="1"/>
  <c r="Y195" i="1"/>
  <c r="S234" i="1"/>
  <c r="T234" i="1" s="1"/>
  <c r="T582" i="1"/>
  <c r="Q582" i="1"/>
  <c r="W582" i="1"/>
  <c r="N583" i="1"/>
  <c r="AB217" i="1" l="1"/>
  <c r="O218" i="1"/>
  <c r="P218" i="1" s="1"/>
  <c r="U226" i="1"/>
  <c r="AI584" i="1"/>
  <c r="AI585" i="1" s="1"/>
  <c r="AG584" i="1"/>
  <c r="AH584" i="1"/>
  <c r="Y196" i="1"/>
  <c r="R235" i="1"/>
  <c r="S235" i="1" s="1"/>
  <c r="T235" i="1" s="1"/>
  <c r="AB582" i="1"/>
  <c r="T583" i="1"/>
  <c r="Q583" i="1"/>
  <c r="W583" i="1"/>
  <c r="N584" i="1"/>
  <c r="Q218" i="1" l="1"/>
  <c r="V226" i="1"/>
  <c r="W226" i="1" s="1"/>
  <c r="AG585" i="1"/>
  <c r="AG586" i="1" s="1"/>
  <c r="AH585" i="1"/>
  <c r="Y197" i="1"/>
  <c r="R236" i="1"/>
  <c r="Q584" i="1"/>
  <c r="T584" i="1"/>
  <c r="W584" i="1"/>
  <c r="N585" i="1"/>
  <c r="AI586" i="1" s="1"/>
  <c r="AB583" i="1"/>
  <c r="AB218" i="1" l="1"/>
  <c r="O219" i="1"/>
  <c r="P219" i="1" s="1"/>
  <c r="U227" i="1"/>
  <c r="AH586" i="1"/>
  <c r="AH587" i="1" s="1"/>
  <c r="Y198" i="1"/>
  <c r="S236" i="1"/>
  <c r="T236" i="1" s="1"/>
  <c r="Q585" i="1"/>
  <c r="W585" i="1"/>
  <c r="T585" i="1"/>
  <c r="N586" i="1"/>
  <c r="AB584" i="1"/>
  <c r="Q219" i="1" l="1"/>
  <c r="V227" i="1"/>
  <c r="AG587" i="1"/>
  <c r="AG588" i="1" s="1"/>
  <c r="AI587" i="1"/>
  <c r="AI588" i="1" s="1"/>
  <c r="Y199" i="1"/>
  <c r="R237" i="1"/>
  <c r="AB585" i="1"/>
  <c r="W586" i="1"/>
  <c r="T586" i="1"/>
  <c r="Q586" i="1"/>
  <c r="N587" i="1"/>
  <c r="AH588" i="1" s="1"/>
  <c r="AB219" i="1" l="1"/>
  <c r="O220" i="1"/>
  <c r="P220" i="1" s="1"/>
  <c r="Q220" i="1" s="1"/>
  <c r="AB220" i="1" s="1"/>
  <c r="W227" i="1"/>
  <c r="U228" i="1" s="1"/>
  <c r="V228" i="1" s="1"/>
  <c r="W228" i="1" s="1"/>
  <c r="Y200" i="1"/>
  <c r="S237" i="1"/>
  <c r="T237" i="1" s="1"/>
  <c r="AB586" i="1"/>
  <c r="Q587" i="1"/>
  <c r="T587" i="1"/>
  <c r="W587" i="1"/>
  <c r="N588" i="1"/>
  <c r="O221" i="1" l="1"/>
  <c r="P221" i="1"/>
  <c r="U229" i="1"/>
  <c r="AG589" i="1"/>
  <c r="AG590" i="1" s="1"/>
  <c r="AI589" i="1"/>
  <c r="AH589" i="1"/>
  <c r="Y201" i="1"/>
  <c r="R238" i="1"/>
  <c r="S238" i="1" s="1"/>
  <c r="T238" i="1" s="1"/>
  <c r="Q588" i="1"/>
  <c r="W588" i="1"/>
  <c r="T588" i="1"/>
  <c r="N589" i="1"/>
  <c r="AB587" i="1"/>
  <c r="Q221" i="1" l="1"/>
  <c r="V229" i="1"/>
  <c r="W229" i="1" s="1"/>
  <c r="U230" i="1" s="1"/>
  <c r="AI590" i="1"/>
  <c r="AI591" i="1" s="1"/>
  <c r="AH590" i="1"/>
  <c r="Y202" i="1"/>
  <c r="R239" i="1"/>
  <c r="S239" i="1" s="1"/>
  <c r="T239" i="1" s="1"/>
  <c r="T589" i="1"/>
  <c r="Q589" i="1"/>
  <c r="W589" i="1"/>
  <c r="N590" i="1"/>
  <c r="AG591" i="1" s="1"/>
  <c r="AB588" i="1"/>
  <c r="AB221" i="1" l="1"/>
  <c r="O222" i="1"/>
  <c r="P222" i="1" s="1"/>
  <c r="Q222" i="1" s="1"/>
  <c r="V230" i="1"/>
  <c r="AH591" i="1"/>
  <c r="AH592" i="1" s="1"/>
  <c r="Y203" i="1"/>
  <c r="R240" i="1"/>
  <c r="T590" i="1"/>
  <c r="Q590" i="1"/>
  <c r="W590" i="1"/>
  <c r="N591" i="1"/>
  <c r="AB589" i="1"/>
  <c r="AB222" i="1" l="1"/>
  <c r="O223" i="1"/>
  <c r="W230" i="1"/>
  <c r="U231" i="1" s="1"/>
  <c r="V231" i="1" s="1"/>
  <c r="W231" i="1" s="1"/>
  <c r="AI592" i="1"/>
  <c r="AI593" i="1" s="1"/>
  <c r="AG592" i="1"/>
  <c r="Y204" i="1"/>
  <c r="S240" i="1"/>
  <c r="T240" i="1" s="1"/>
  <c r="Q591" i="1"/>
  <c r="T591" i="1"/>
  <c r="W591" i="1"/>
  <c r="N592" i="1"/>
  <c r="AH593" i="1" s="1"/>
  <c r="AB590" i="1"/>
  <c r="P223" i="1" l="1"/>
  <c r="U232" i="1"/>
  <c r="Y205" i="1"/>
  <c r="AG593" i="1"/>
  <c r="AG594" i="1" s="1"/>
  <c r="R241" i="1"/>
  <c r="T592" i="1"/>
  <c r="Q592" i="1"/>
  <c r="W592" i="1"/>
  <c r="N593" i="1"/>
  <c r="AB591" i="1"/>
  <c r="Q223" i="1" l="1"/>
  <c r="V232" i="1"/>
  <c r="S241" i="1"/>
  <c r="T241" i="1" s="1"/>
  <c r="Y206" i="1"/>
  <c r="AI594" i="1"/>
  <c r="AI595" i="1" s="1"/>
  <c r="AH594" i="1"/>
  <c r="AH595" i="1" s="1"/>
  <c r="W593" i="1"/>
  <c r="Q593" i="1"/>
  <c r="T593" i="1"/>
  <c r="N594" i="1"/>
  <c r="AG595" i="1" s="1"/>
  <c r="AB592" i="1"/>
  <c r="AB223" i="1" l="1"/>
  <c r="O224" i="1"/>
  <c r="P224" i="1" s="1"/>
  <c r="W232" i="1"/>
  <c r="U233" i="1" s="1"/>
  <c r="V233" i="1" s="1"/>
  <c r="W233" i="1" s="1"/>
  <c r="R242" i="1"/>
  <c r="Y207" i="1"/>
  <c r="Q594" i="1"/>
  <c r="T594" i="1"/>
  <c r="W594" i="1"/>
  <c r="N595" i="1"/>
  <c r="AB593" i="1"/>
  <c r="Q224" i="1" l="1"/>
  <c r="U234" i="1"/>
  <c r="S242" i="1"/>
  <c r="T242" i="1" s="1"/>
  <c r="Y208" i="1"/>
  <c r="AI596" i="1"/>
  <c r="AH596" i="1"/>
  <c r="AG596" i="1"/>
  <c r="W595" i="1"/>
  <c r="T595" i="1"/>
  <c r="Q595" i="1"/>
  <c r="N596" i="1"/>
  <c r="AB594" i="1"/>
  <c r="AB224" i="1" l="1"/>
  <c r="O225" i="1"/>
  <c r="P225" i="1" s="1"/>
  <c r="V234" i="1"/>
  <c r="R243" i="1"/>
  <c r="Y209" i="1"/>
  <c r="AI597" i="1"/>
  <c r="AI598" i="1" s="1"/>
  <c r="AH597" i="1"/>
  <c r="AH598" i="1" s="1"/>
  <c r="AG597" i="1"/>
  <c r="AG598" i="1" s="1"/>
  <c r="AB595" i="1"/>
  <c r="T596" i="1"/>
  <c r="W596" i="1"/>
  <c r="Q596" i="1"/>
  <c r="N597" i="1"/>
  <c r="Q225" i="1" l="1"/>
  <c r="W234" i="1"/>
  <c r="U235" i="1" s="1"/>
  <c r="V235" i="1" s="1"/>
  <c r="S243" i="1"/>
  <c r="Y210" i="1"/>
  <c r="AB596" i="1"/>
  <c r="T597" i="1"/>
  <c r="Q597" i="1"/>
  <c r="W597" i="1"/>
  <c r="N598" i="1"/>
  <c r="AB225" i="1" l="1"/>
  <c r="O226" i="1"/>
  <c r="P226" i="1" s="1"/>
  <c r="T243" i="1"/>
  <c r="R244" i="1" s="1"/>
  <c r="S244" i="1" s="1"/>
  <c r="T244" i="1" s="1"/>
  <c r="W235" i="1"/>
  <c r="U236" i="1" s="1"/>
  <c r="V236" i="1" s="1"/>
  <c r="W236" i="1" s="1"/>
  <c r="Y211" i="1"/>
  <c r="AI599" i="1"/>
  <c r="AH599" i="1"/>
  <c r="AG599" i="1"/>
  <c r="AB597" i="1"/>
  <c r="W598" i="1"/>
  <c r="T598" i="1"/>
  <c r="Q598" i="1"/>
  <c r="N599" i="1"/>
  <c r="Q226" i="1" l="1"/>
  <c r="U237" i="1"/>
  <c r="Y212" i="1"/>
  <c r="AI600" i="1"/>
  <c r="AI601" i="1" s="1"/>
  <c r="AH600" i="1"/>
  <c r="AH601" i="1" s="1"/>
  <c r="AG600" i="1"/>
  <c r="R245" i="1"/>
  <c r="AB598" i="1"/>
  <c r="Q599" i="1"/>
  <c r="T599" i="1"/>
  <c r="W599" i="1"/>
  <c r="N600" i="1"/>
  <c r="AB226" i="1" l="1"/>
  <c r="O227" i="1"/>
  <c r="P227" i="1" s="1"/>
  <c r="V237" i="1"/>
  <c r="S245" i="1"/>
  <c r="T245" i="1" s="1"/>
  <c r="Y213" i="1"/>
  <c r="AG601" i="1"/>
  <c r="AG602" i="1" s="1"/>
  <c r="T600" i="1"/>
  <c r="Q600" i="1"/>
  <c r="W600" i="1"/>
  <c r="N601" i="1"/>
  <c r="AB599" i="1"/>
  <c r="Q227" i="1" l="1"/>
  <c r="W237" i="1"/>
  <c r="U238" i="1" s="1"/>
  <c r="V238" i="1" s="1"/>
  <c r="W238" i="1" s="1"/>
  <c r="R246" i="1"/>
  <c r="Y214" i="1"/>
  <c r="AI602" i="1"/>
  <c r="AH602" i="1"/>
  <c r="AB600" i="1"/>
  <c r="W601" i="1"/>
  <c r="T601" i="1"/>
  <c r="Q601" i="1"/>
  <c r="N602" i="1"/>
  <c r="AG603" i="1" s="1"/>
  <c r="AB227" i="1" l="1"/>
  <c r="O228" i="1"/>
  <c r="U239" i="1"/>
  <c r="S246" i="1"/>
  <c r="T246" i="1" s="1"/>
  <c r="Y215" i="1"/>
  <c r="AI603" i="1"/>
  <c r="AI604" i="1" s="1"/>
  <c r="AH603" i="1"/>
  <c r="Q602" i="1"/>
  <c r="T602" i="1"/>
  <c r="W602" i="1"/>
  <c r="N603" i="1"/>
  <c r="AG604" i="1" s="1"/>
  <c r="AB601" i="1"/>
  <c r="P228" i="1" l="1"/>
  <c r="V239" i="1"/>
  <c r="W239" i="1" s="1"/>
  <c r="R247" i="1"/>
  <c r="S247" i="1" s="1"/>
  <c r="T247" i="1" s="1"/>
  <c r="Y216" i="1"/>
  <c r="AH604" i="1"/>
  <c r="AH605" i="1" s="1"/>
  <c r="T603" i="1"/>
  <c r="Q603" i="1"/>
  <c r="W603" i="1"/>
  <c r="N604" i="1"/>
  <c r="AB602" i="1"/>
  <c r="Q228" i="1" l="1"/>
  <c r="U240" i="1"/>
  <c r="R248" i="1"/>
  <c r="Y217" i="1"/>
  <c r="AI605" i="1"/>
  <c r="AI606" i="1" s="1"/>
  <c r="AG605" i="1"/>
  <c r="AG606" i="1" s="1"/>
  <c r="W604" i="1"/>
  <c r="Q604" i="1"/>
  <c r="T604" i="1"/>
  <c r="N605" i="1"/>
  <c r="AH606" i="1" s="1"/>
  <c r="AB603" i="1"/>
  <c r="AB228" i="1" l="1"/>
  <c r="O229" i="1"/>
  <c r="P229" i="1" s="1"/>
  <c r="Q229" i="1"/>
  <c r="V240" i="1"/>
  <c r="W240" i="1" s="1"/>
  <c r="S248" i="1"/>
  <c r="T248" i="1" s="1"/>
  <c r="Y218" i="1"/>
  <c r="T605" i="1"/>
  <c r="Q605" i="1"/>
  <c r="W605" i="1"/>
  <c r="N606" i="1"/>
  <c r="AB604" i="1"/>
  <c r="AB229" i="1" l="1"/>
  <c r="O230" i="1"/>
  <c r="P230" i="1" s="1"/>
  <c r="Q230" i="1"/>
  <c r="U241" i="1"/>
  <c r="R249" i="1"/>
  <c r="S249" i="1" s="1"/>
  <c r="T249" i="1" s="1"/>
  <c r="Y219" i="1"/>
  <c r="AG607" i="1"/>
  <c r="AG608" i="1" s="1"/>
  <c r="AI607" i="1"/>
  <c r="AH607" i="1"/>
  <c r="T606" i="1"/>
  <c r="W606" i="1"/>
  <c r="Q606" i="1"/>
  <c r="N607" i="1"/>
  <c r="AB605" i="1"/>
  <c r="AB230" i="1" l="1"/>
  <c r="O231" i="1"/>
  <c r="P231" i="1" s="1"/>
  <c r="V241" i="1"/>
  <c r="W241" i="1" s="1"/>
  <c r="R250" i="1"/>
  <c r="S250" i="1" s="1"/>
  <c r="T250" i="1" s="1"/>
  <c r="Y220" i="1"/>
  <c r="AI608" i="1"/>
  <c r="AI609" i="1" s="1"/>
  <c r="AH608" i="1"/>
  <c r="AH609" i="1" s="1"/>
  <c r="AB606" i="1"/>
  <c r="T607" i="1"/>
  <c r="W607" i="1"/>
  <c r="Q607" i="1"/>
  <c r="N608" i="1"/>
  <c r="AG609" i="1" s="1"/>
  <c r="Q231" i="1" l="1"/>
  <c r="U242" i="1"/>
  <c r="R251" i="1"/>
  <c r="S251" i="1" s="1"/>
  <c r="T251" i="1" s="1"/>
  <c r="Y221" i="1"/>
  <c r="T608" i="1"/>
  <c r="W608" i="1"/>
  <c r="Q608" i="1"/>
  <c r="N609" i="1"/>
  <c r="AB607" i="1"/>
  <c r="AB231" i="1" l="1"/>
  <c r="O232" i="1"/>
  <c r="V242" i="1"/>
  <c r="W242" i="1" s="1"/>
  <c r="R252" i="1"/>
  <c r="Y222" i="1"/>
  <c r="AH610" i="1"/>
  <c r="AH611" i="1" s="1"/>
  <c r="AI610" i="1"/>
  <c r="AG610" i="1"/>
  <c r="Q609" i="1"/>
  <c r="W609" i="1"/>
  <c r="T609" i="1"/>
  <c r="N610" i="1"/>
  <c r="AB608" i="1"/>
  <c r="P232" i="1" l="1"/>
  <c r="U243" i="1"/>
  <c r="S252" i="1"/>
  <c r="T252" i="1" s="1"/>
  <c r="Y223" i="1"/>
  <c r="AI611" i="1"/>
  <c r="AG611" i="1"/>
  <c r="Q610" i="1"/>
  <c r="W610" i="1"/>
  <c r="T610" i="1"/>
  <c r="N611" i="1"/>
  <c r="AH612" i="1" s="1"/>
  <c r="AB609" i="1"/>
  <c r="Q232" i="1" l="1"/>
  <c r="Q234" i="1"/>
  <c r="AB234" i="1" s="1"/>
  <c r="V243" i="1"/>
  <c r="R253" i="1"/>
  <c r="S253" i="1" s="1"/>
  <c r="T253" i="1" s="1"/>
  <c r="Y224" i="1"/>
  <c r="AI612" i="1"/>
  <c r="AI613" i="1" s="1"/>
  <c r="AG612" i="1"/>
  <c r="AG613" i="1" s="1"/>
  <c r="T611" i="1"/>
  <c r="W611" i="1"/>
  <c r="Q611" i="1"/>
  <c r="N612" i="1"/>
  <c r="AH613" i="1" s="1"/>
  <c r="AB610" i="1"/>
  <c r="AB232" i="1" l="1"/>
  <c r="O233" i="1"/>
  <c r="P233" i="1"/>
  <c r="W243" i="1"/>
  <c r="U244" i="1" s="1"/>
  <c r="V244" i="1" s="1"/>
  <c r="W244" i="1" s="1"/>
  <c r="Y225" i="1"/>
  <c r="R254" i="1"/>
  <c r="AB611" i="1"/>
  <c r="W612" i="1"/>
  <c r="T612" i="1"/>
  <c r="Q612" i="1"/>
  <c r="N613" i="1"/>
  <c r="Q233" i="1" l="1"/>
  <c r="U245" i="1"/>
  <c r="Y226" i="1"/>
  <c r="AI614" i="1"/>
  <c r="AI615" i="1" s="1"/>
  <c r="AG614" i="1"/>
  <c r="AH614" i="1"/>
  <c r="S254" i="1"/>
  <c r="T254" i="1" s="1"/>
  <c r="AB612" i="1"/>
  <c r="T613" i="1"/>
  <c r="W613" i="1"/>
  <c r="Q613" i="1"/>
  <c r="N614" i="1"/>
  <c r="AB233" i="1" l="1"/>
  <c r="O234" i="1"/>
  <c r="P234" i="1" s="1"/>
  <c r="O235" i="1" s="1"/>
  <c r="P235" i="1" s="1"/>
  <c r="Q237" i="1"/>
  <c r="V245" i="1"/>
  <c r="W245" i="1" s="1"/>
  <c r="U246" i="1" s="1"/>
  <c r="Y227" i="1"/>
  <c r="AG615" i="1"/>
  <c r="AG616" i="1" s="1"/>
  <c r="AH615" i="1"/>
  <c r="AH616" i="1" s="1"/>
  <c r="R255" i="1"/>
  <c r="S255" i="1" s="1"/>
  <c r="T255" i="1" s="1"/>
  <c r="AB613" i="1"/>
  <c r="W614" i="1"/>
  <c r="T614" i="1"/>
  <c r="Q614" i="1"/>
  <c r="N615" i="1"/>
  <c r="AI616" i="1" s="1"/>
  <c r="Q235" i="1" l="1"/>
  <c r="AB237" i="1"/>
  <c r="V246" i="1"/>
  <c r="Y228" i="1"/>
  <c r="R256" i="1"/>
  <c r="AB614" i="1"/>
  <c r="W615" i="1"/>
  <c r="Q615" i="1"/>
  <c r="T615" i="1"/>
  <c r="N616" i="1"/>
  <c r="AB235" i="1" l="1"/>
  <c r="O236" i="1"/>
  <c r="P236" i="1" s="1"/>
  <c r="Q238" i="1"/>
  <c r="W246" i="1"/>
  <c r="U247" i="1" s="1"/>
  <c r="V247" i="1" s="1"/>
  <c r="W247" i="1" s="1"/>
  <c r="Y229" i="1"/>
  <c r="AH617" i="1"/>
  <c r="AH618" i="1" s="1"/>
  <c r="AG617" i="1"/>
  <c r="AI617" i="1"/>
  <c r="S256" i="1"/>
  <c r="T256" i="1" s="1"/>
  <c r="T616" i="1"/>
  <c r="W616" i="1"/>
  <c r="Q616" i="1"/>
  <c r="N617" i="1"/>
  <c r="AB615" i="1"/>
  <c r="Q236" i="1" l="1"/>
  <c r="AB238" i="1"/>
  <c r="U248" i="1"/>
  <c r="Y230" i="1"/>
  <c r="AG618" i="1"/>
  <c r="AI618" i="1"/>
  <c r="R257" i="1"/>
  <c r="S257" i="1" s="1"/>
  <c r="T257" i="1" s="1"/>
  <c r="AB616" i="1"/>
  <c r="W617" i="1"/>
  <c r="T617" i="1"/>
  <c r="Q617" i="1"/>
  <c r="N618" i="1"/>
  <c r="AH619" i="1" s="1"/>
  <c r="AB236" i="1" l="1"/>
  <c r="O237" i="1"/>
  <c r="P237" i="1" s="1"/>
  <c r="O238" i="1" s="1"/>
  <c r="P238" i="1" s="1"/>
  <c r="O239" i="1" s="1"/>
  <c r="P239" i="1" s="1"/>
  <c r="V248" i="1"/>
  <c r="W248" i="1" s="1"/>
  <c r="Y231" i="1"/>
  <c r="AG619" i="1"/>
  <c r="AI619" i="1"/>
  <c r="AI620" i="1" s="1"/>
  <c r="R258" i="1"/>
  <c r="AB617" i="1"/>
  <c r="T618" i="1"/>
  <c r="Q618" i="1"/>
  <c r="W618" i="1"/>
  <c r="N619" i="1"/>
  <c r="AH620" i="1" s="1"/>
  <c r="Q239" i="1" l="1"/>
  <c r="U249" i="1"/>
  <c r="Y232" i="1"/>
  <c r="AG620" i="1"/>
  <c r="AG621" i="1" s="1"/>
  <c r="S258" i="1"/>
  <c r="T258" i="1" s="1"/>
  <c r="AB618" i="1"/>
  <c r="W619" i="1"/>
  <c r="T619" i="1"/>
  <c r="Q619" i="1"/>
  <c r="N620" i="1"/>
  <c r="AB239" i="1" l="1"/>
  <c r="O240" i="1"/>
  <c r="V249" i="1"/>
  <c r="Y233" i="1"/>
  <c r="AI621" i="1"/>
  <c r="AI622" i="1" s="1"/>
  <c r="AH621" i="1"/>
  <c r="R259" i="1"/>
  <c r="AB619" i="1"/>
  <c r="T620" i="1"/>
  <c r="W620" i="1"/>
  <c r="Q620" i="1"/>
  <c r="N621" i="1"/>
  <c r="AG622" i="1" s="1"/>
  <c r="P240" i="1" l="1"/>
  <c r="W249" i="1"/>
  <c r="U250" i="1" s="1"/>
  <c r="V250" i="1" s="1"/>
  <c r="W250" i="1" s="1"/>
  <c r="Y234" i="1"/>
  <c r="AH622" i="1"/>
  <c r="AH623" i="1" s="1"/>
  <c r="S259" i="1"/>
  <c r="T259" i="1" s="1"/>
  <c r="AB620" i="1"/>
  <c r="W621" i="1"/>
  <c r="T621" i="1"/>
  <c r="Q621" i="1"/>
  <c r="N622" i="1"/>
  <c r="Q240" i="1" l="1"/>
  <c r="U251" i="1"/>
  <c r="Y235" i="1"/>
  <c r="AI623" i="1"/>
  <c r="AI624" i="1" s="1"/>
  <c r="AG623" i="1"/>
  <c r="R260" i="1"/>
  <c r="T622" i="1"/>
  <c r="Q622" i="1"/>
  <c r="W622" i="1"/>
  <c r="N623" i="1"/>
  <c r="AH624" i="1" s="1"/>
  <c r="AB621" i="1"/>
  <c r="AB240" i="1" l="1"/>
  <c r="O241" i="1"/>
  <c r="P241" i="1" s="1"/>
  <c r="V251" i="1"/>
  <c r="Y236" i="1"/>
  <c r="S260" i="1"/>
  <c r="T260" i="1" s="1"/>
  <c r="AG624" i="1"/>
  <c r="AB622" i="1"/>
  <c r="W623" i="1"/>
  <c r="T623" i="1"/>
  <c r="Q623" i="1"/>
  <c r="N624" i="1"/>
  <c r="Q241" i="1" l="1"/>
  <c r="W251" i="1"/>
  <c r="U252" i="1" s="1"/>
  <c r="V252" i="1" s="1"/>
  <c r="W252" i="1" s="1"/>
  <c r="Y237" i="1"/>
  <c r="R261" i="1"/>
  <c r="AG625" i="1"/>
  <c r="AI625" i="1"/>
  <c r="AH625" i="1"/>
  <c r="AB623" i="1"/>
  <c r="T624" i="1"/>
  <c r="W624" i="1"/>
  <c r="Q624" i="1"/>
  <c r="N625" i="1"/>
  <c r="AB241" i="1" l="1"/>
  <c r="O242" i="1"/>
  <c r="U253" i="1"/>
  <c r="Y238" i="1"/>
  <c r="S261" i="1"/>
  <c r="T261" i="1" s="1"/>
  <c r="AG626" i="1"/>
  <c r="AI626" i="1"/>
  <c r="AH626" i="1"/>
  <c r="AB624" i="1"/>
  <c r="T625" i="1"/>
  <c r="W625" i="1"/>
  <c r="Q625" i="1"/>
  <c r="N626" i="1"/>
  <c r="P242" i="1" l="1"/>
  <c r="V253" i="1"/>
  <c r="Y239" i="1"/>
  <c r="R262" i="1"/>
  <c r="AG627" i="1"/>
  <c r="AG628" i="1" s="1"/>
  <c r="AI627" i="1"/>
  <c r="AI628" i="1" s="1"/>
  <c r="AH627" i="1"/>
  <c r="AB625" i="1"/>
  <c r="W626" i="1"/>
  <c r="T626" i="1"/>
  <c r="Q626" i="1"/>
  <c r="N627" i="1"/>
  <c r="Q242" i="1" l="1"/>
  <c r="W253" i="1"/>
  <c r="U254" i="1" s="1"/>
  <c r="V254" i="1" s="1"/>
  <c r="W254" i="1" s="1"/>
  <c r="Y240" i="1"/>
  <c r="S262" i="1"/>
  <c r="T262" i="1" s="1"/>
  <c r="AH628" i="1"/>
  <c r="W256" i="1"/>
  <c r="Q627" i="1"/>
  <c r="T627" i="1"/>
  <c r="W627" i="1"/>
  <c r="N628" i="1"/>
  <c r="AB626" i="1"/>
  <c r="AB242" i="1" l="1"/>
  <c r="O243" i="1"/>
  <c r="P243" i="1" s="1"/>
  <c r="U255" i="1"/>
  <c r="Y241" i="1"/>
  <c r="R263" i="1"/>
  <c r="AH629" i="1"/>
  <c r="AH630" i="1" s="1"/>
  <c r="AG629" i="1"/>
  <c r="AI629" i="1"/>
  <c r="AB627" i="1"/>
  <c r="T628" i="1"/>
  <c r="W628" i="1"/>
  <c r="Q628" i="1"/>
  <c r="N629" i="1"/>
  <c r="Q243" i="1" l="1"/>
  <c r="V255" i="1"/>
  <c r="W255" i="1" s="1"/>
  <c r="Y242" i="1"/>
  <c r="S263" i="1"/>
  <c r="T263" i="1" s="1"/>
  <c r="AG630" i="1"/>
  <c r="AG631" i="1" s="1"/>
  <c r="AI630" i="1"/>
  <c r="AI631" i="1" s="1"/>
  <c r="AB628" i="1"/>
  <c r="W629" i="1"/>
  <c r="T629" i="1"/>
  <c r="Q629" i="1"/>
  <c r="N630" i="1"/>
  <c r="AH631" i="1" s="1"/>
  <c r="AB243" i="1" l="1"/>
  <c r="O244" i="1"/>
  <c r="P244" i="1" s="1"/>
  <c r="U256" i="1"/>
  <c r="Y243" i="1"/>
  <c r="R264" i="1"/>
  <c r="AB629" i="1"/>
  <c r="Q630" i="1"/>
  <c r="W630" i="1"/>
  <c r="T630" i="1"/>
  <c r="N631" i="1"/>
  <c r="Q244" i="1" l="1"/>
  <c r="V256" i="1"/>
  <c r="S264" i="1"/>
  <c r="AG632" i="1"/>
  <c r="AG633" i="1" s="1"/>
  <c r="AI632" i="1"/>
  <c r="AH632" i="1"/>
  <c r="AB630" i="1"/>
  <c r="T631" i="1"/>
  <c r="W631" i="1"/>
  <c r="Q631" i="1"/>
  <c r="N632" i="1"/>
  <c r="AB244" i="1" l="1"/>
  <c r="O245" i="1"/>
  <c r="P245" i="1" s="1"/>
  <c r="Y244" i="1"/>
  <c r="T264" i="1"/>
  <c r="R265" i="1" s="1"/>
  <c r="S265" i="1" s="1"/>
  <c r="U257" i="1"/>
  <c r="AI633" i="1"/>
  <c r="AI634" i="1" s="1"/>
  <c r="AH633" i="1"/>
  <c r="AB631" i="1"/>
  <c r="W632" i="1"/>
  <c r="Q632" i="1"/>
  <c r="T632" i="1"/>
  <c r="N633" i="1"/>
  <c r="AG634" i="1" s="1"/>
  <c r="Q245" i="1" l="1"/>
  <c r="O246" i="1" s="1"/>
  <c r="V257" i="1"/>
  <c r="W257" i="1" s="1"/>
  <c r="T265" i="1"/>
  <c r="AH634" i="1"/>
  <c r="AH635" i="1" s="1"/>
  <c r="AB632" i="1"/>
  <c r="W633" i="1"/>
  <c r="Q633" i="1"/>
  <c r="T633" i="1"/>
  <c r="N634" i="1"/>
  <c r="Y245" i="1" l="1"/>
  <c r="AB245" i="1"/>
  <c r="P246" i="1"/>
  <c r="U258" i="1"/>
  <c r="R266" i="1"/>
  <c r="AI635" i="1"/>
  <c r="AG635" i="1"/>
  <c r="W634" i="1"/>
  <c r="T634" i="1"/>
  <c r="Q634" i="1"/>
  <c r="N635" i="1"/>
  <c r="AH636" i="1" s="1"/>
  <c r="AB633" i="1"/>
  <c r="Q246" i="1" l="1"/>
  <c r="O247" i="1" s="1"/>
  <c r="V258" i="1"/>
  <c r="W258" i="1" s="1"/>
  <c r="S266" i="1"/>
  <c r="T266" i="1" s="1"/>
  <c r="AI636" i="1"/>
  <c r="AG636" i="1"/>
  <c r="AG637" i="1" s="1"/>
  <c r="AB634" i="1"/>
  <c r="W635" i="1"/>
  <c r="Q635" i="1"/>
  <c r="T635" i="1"/>
  <c r="N636" i="1"/>
  <c r="AH637" i="1" s="1"/>
  <c r="Y246" i="1" l="1"/>
  <c r="AB246" i="1"/>
  <c r="P247" i="1"/>
  <c r="U259" i="1"/>
  <c r="R267" i="1"/>
  <c r="AI637" i="1"/>
  <c r="AI638" i="1" s="1"/>
  <c r="AB635" i="1"/>
  <c r="W636" i="1"/>
  <c r="Q636" i="1"/>
  <c r="T636" i="1"/>
  <c r="N637" i="1"/>
  <c r="Q247" i="1" l="1"/>
  <c r="O248" i="1" s="1"/>
  <c r="V259" i="1"/>
  <c r="S267" i="1"/>
  <c r="T267" i="1" s="1"/>
  <c r="AG638" i="1"/>
  <c r="AG639" i="1" s="1"/>
  <c r="AH638" i="1"/>
  <c r="AH639" i="1" s="1"/>
  <c r="AB636" i="1"/>
  <c r="W637" i="1"/>
  <c r="T637" i="1"/>
  <c r="Q637" i="1"/>
  <c r="N638" i="1"/>
  <c r="AI639" i="1" s="1"/>
  <c r="AB247" i="1" l="1"/>
  <c r="Y247" i="1"/>
  <c r="P248" i="1"/>
  <c r="W259" i="1"/>
  <c r="U260" i="1" s="1"/>
  <c r="V260" i="1" s="1"/>
  <c r="R268" i="1"/>
  <c r="AB637" i="1"/>
  <c r="W638" i="1"/>
  <c r="T638" i="1"/>
  <c r="Q638" i="1"/>
  <c r="N639" i="1"/>
  <c r="Q248" i="1" l="1"/>
  <c r="O249" i="1" s="1"/>
  <c r="W260" i="1"/>
  <c r="U261" i="1" s="1"/>
  <c r="S268" i="1"/>
  <c r="T268" i="1" s="1"/>
  <c r="AG640" i="1"/>
  <c r="AG641" i="1" s="1"/>
  <c r="AH640" i="1"/>
  <c r="AI640" i="1"/>
  <c r="AB638" i="1"/>
  <c r="W639" i="1"/>
  <c r="T639" i="1"/>
  <c r="Q639" i="1"/>
  <c r="N640" i="1"/>
  <c r="AB248" i="1" l="1"/>
  <c r="Y248" i="1"/>
  <c r="P249" i="1"/>
  <c r="V261" i="1"/>
  <c r="R269" i="1"/>
  <c r="AH641" i="1"/>
  <c r="AI641" i="1"/>
  <c r="AB639" i="1"/>
  <c r="W640" i="1"/>
  <c r="Q640" i="1"/>
  <c r="T640" i="1"/>
  <c r="N641" i="1"/>
  <c r="AG642" i="1" s="1"/>
  <c r="Q249" i="1" l="1"/>
  <c r="Y249" i="1" s="1"/>
  <c r="W261" i="1"/>
  <c r="U262" i="1" s="1"/>
  <c r="S269" i="1"/>
  <c r="T269" i="1" s="1"/>
  <c r="AH642" i="1"/>
  <c r="AH643" i="1" s="1"/>
  <c r="AI642" i="1"/>
  <c r="AI643" i="1" s="1"/>
  <c r="T641" i="1"/>
  <c r="W641" i="1"/>
  <c r="Q641" i="1"/>
  <c r="N642" i="1"/>
  <c r="AG643" i="1" s="1"/>
  <c r="AB640" i="1"/>
  <c r="AB249" i="1" l="1"/>
  <c r="O250" i="1"/>
  <c r="Q250" i="1"/>
  <c r="V262" i="1"/>
  <c r="R270" i="1"/>
  <c r="AB641" i="1"/>
  <c r="W642" i="1"/>
  <c r="Q642" i="1"/>
  <c r="T642" i="1"/>
  <c r="N643" i="1"/>
  <c r="P250" i="1" l="1"/>
  <c r="O251" i="1" s="1"/>
  <c r="P251" i="1" s="1"/>
  <c r="AB250" i="1"/>
  <c r="Y250" i="1"/>
  <c r="W262" i="1"/>
  <c r="U263" i="1" s="1"/>
  <c r="V263" i="1" s="1"/>
  <c r="S270" i="1"/>
  <c r="T270" i="1" s="1"/>
  <c r="AI644" i="1"/>
  <c r="AI645" i="1" s="1"/>
  <c r="AH644" i="1"/>
  <c r="AH645" i="1" s="1"/>
  <c r="AG644" i="1"/>
  <c r="Q643" i="1"/>
  <c r="T643" i="1"/>
  <c r="W643" i="1"/>
  <c r="N644" i="1"/>
  <c r="AB642" i="1"/>
  <c r="Q251" i="1" l="1"/>
  <c r="Y251" i="1" s="1"/>
  <c r="W263" i="1"/>
  <c r="U264" i="1" s="1"/>
  <c r="R271" i="1"/>
  <c r="AG645" i="1"/>
  <c r="AG646" i="1" s="1"/>
  <c r="W644" i="1"/>
  <c r="Q644" i="1"/>
  <c r="T644" i="1"/>
  <c r="N645" i="1"/>
  <c r="AB643" i="1"/>
  <c r="AB251" i="1" l="1"/>
  <c r="O252" i="1"/>
  <c r="Q252" i="1"/>
  <c r="V264" i="1"/>
  <c r="S271" i="1"/>
  <c r="AH646" i="1"/>
  <c r="AH647" i="1" s="1"/>
  <c r="AI646" i="1"/>
  <c r="AI647" i="1" s="1"/>
  <c r="Q645" i="1"/>
  <c r="T645" i="1"/>
  <c r="W645" i="1"/>
  <c r="N646" i="1"/>
  <c r="AG647" i="1" s="1"/>
  <c r="AB644" i="1"/>
  <c r="P252" i="1" l="1"/>
  <c r="O253" i="1" s="1"/>
  <c r="P253" i="1" s="1"/>
  <c r="AB252" i="1"/>
  <c r="Y252" i="1"/>
  <c r="W264" i="1"/>
  <c r="U265" i="1" s="1"/>
  <c r="T271" i="1"/>
  <c r="R272" i="1" s="1"/>
  <c r="S272" i="1" s="1"/>
  <c r="T272" i="1" s="1"/>
  <c r="Q646" i="1"/>
  <c r="W646" i="1"/>
  <c r="T646" i="1"/>
  <c r="N647" i="1"/>
  <c r="AB645" i="1"/>
  <c r="Q253" i="1" l="1"/>
  <c r="O254" i="1" s="1"/>
  <c r="V265" i="1"/>
  <c r="R273" i="1"/>
  <c r="S273" i="1" s="1"/>
  <c r="T273" i="1" s="1"/>
  <c r="AI648" i="1"/>
  <c r="AI649" i="1" s="1"/>
  <c r="AH648" i="1"/>
  <c r="AH649" i="1" s="1"/>
  <c r="AG648" i="1"/>
  <c r="AG649" i="1" s="1"/>
  <c r="W647" i="1"/>
  <c r="T647" i="1"/>
  <c r="Q647" i="1"/>
  <c r="N648" i="1"/>
  <c r="AB646" i="1"/>
  <c r="W265" i="1" l="1"/>
  <c r="U266" i="1" s="1"/>
  <c r="AB253" i="1"/>
  <c r="Y253" i="1"/>
  <c r="P254" i="1"/>
  <c r="R274" i="1"/>
  <c r="AB647" i="1"/>
  <c r="W648" i="1"/>
  <c r="Q648" i="1"/>
  <c r="T648" i="1"/>
  <c r="N649" i="1"/>
  <c r="V266" i="1" l="1"/>
  <c r="Q254" i="1"/>
  <c r="Y254" i="1" s="1"/>
  <c r="S274" i="1"/>
  <c r="T274" i="1" s="1"/>
  <c r="AH650" i="1"/>
  <c r="AH651" i="1" s="1"/>
  <c r="AI650" i="1"/>
  <c r="AI651" i="1" s="1"/>
  <c r="AG650" i="1"/>
  <c r="T649" i="1"/>
  <c r="Q649" i="1"/>
  <c r="W649" i="1"/>
  <c r="N650" i="1"/>
  <c r="AB648" i="1"/>
  <c r="W266" i="1" l="1"/>
  <c r="U267" i="1" s="1"/>
  <c r="AB254" i="1"/>
  <c r="O255" i="1"/>
  <c r="P255" i="1" s="1"/>
  <c r="Q255" i="1"/>
  <c r="R275" i="1"/>
  <c r="AG651" i="1"/>
  <c r="AG652" i="1" s="1"/>
  <c r="W650" i="1"/>
  <c r="T650" i="1"/>
  <c r="Q650" i="1"/>
  <c r="N651" i="1"/>
  <c r="AB649" i="1"/>
  <c r="V267" i="1" l="1"/>
  <c r="O256" i="1"/>
  <c r="P256" i="1" s="1"/>
  <c r="Q256" i="1" s="1"/>
  <c r="O257" i="1" s="1"/>
  <c r="AB255" i="1"/>
  <c r="Y255" i="1"/>
  <c r="S275" i="1"/>
  <c r="T275" i="1" s="1"/>
  <c r="AI652" i="1"/>
  <c r="AI653" i="1" s="1"/>
  <c r="AH652" i="1"/>
  <c r="AB650" i="1"/>
  <c r="T651" i="1"/>
  <c r="W651" i="1"/>
  <c r="Q651" i="1"/>
  <c r="N652" i="1"/>
  <c r="AG653" i="1" s="1"/>
  <c r="W267" i="1" l="1"/>
  <c r="U268" i="1" s="1"/>
  <c r="Y256" i="1"/>
  <c r="AB256" i="1"/>
  <c r="P257" i="1"/>
  <c r="R276" i="1"/>
  <c r="AH653" i="1"/>
  <c r="AH654" i="1" s="1"/>
  <c r="AB651" i="1"/>
  <c r="W652" i="1"/>
  <c r="T652" i="1"/>
  <c r="Q652" i="1"/>
  <c r="N653" i="1"/>
  <c r="V268" i="1" l="1"/>
  <c r="Q257" i="1"/>
  <c r="O258" i="1" s="1"/>
  <c r="S276" i="1"/>
  <c r="T276" i="1" s="1"/>
  <c r="AI654" i="1"/>
  <c r="AG654" i="1"/>
  <c r="AB652" i="1"/>
  <c r="Q653" i="1"/>
  <c r="W653" i="1"/>
  <c r="T653" i="1"/>
  <c r="N654" i="1"/>
  <c r="AH655" i="1" s="1"/>
  <c r="W268" i="1" l="1"/>
  <c r="U269" i="1" s="1"/>
  <c r="Y257" i="1"/>
  <c r="AB257" i="1"/>
  <c r="P258" i="1"/>
  <c r="Q258" i="1" s="1"/>
  <c r="R277" i="1"/>
  <c r="AI655" i="1"/>
  <c r="AG655" i="1"/>
  <c r="Q654" i="1"/>
  <c r="T654" i="1"/>
  <c r="W654" i="1"/>
  <c r="N655" i="1"/>
  <c r="AH656" i="1" s="1"/>
  <c r="AB653" i="1"/>
  <c r="V269" i="1" l="1"/>
  <c r="AB258" i="1"/>
  <c r="O259" i="1"/>
  <c r="P259" i="1" s="1"/>
  <c r="Y258" i="1"/>
  <c r="S277" i="1"/>
  <c r="T277" i="1" s="1"/>
  <c r="AI656" i="1"/>
  <c r="AI657" i="1" s="1"/>
  <c r="AG656" i="1"/>
  <c r="AB654" i="1"/>
  <c r="W655" i="1"/>
  <c r="Q655" i="1"/>
  <c r="T655" i="1"/>
  <c r="N656" i="1"/>
  <c r="AH657" i="1" s="1"/>
  <c r="W269" i="1" l="1"/>
  <c r="U270" i="1" s="1"/>
  <c r="V270" i="1" s="1"/>
  <c r="Q259" i="1"/>
  <c r="W270" i="1"/>
  <c r="R278" i="1"/>
  <c r="S278" i="1" s="1"/>
  <c r="T278" i="1" s="1"/>
  <c r="AG657" i="1"/>
  <c r="AG658" i="1" s="1"/>
  <c r="T656" i="1"/>
  <c r="Q656" i="1"/>
  <c r="W656" i="1"/>
  <c r="N657" i="1"/>
  <c r="AB655" i="1"/>
  <c r="U271" i="1" l="1"/>
  <c r="AB259" i="1"/>
  <c r="O260" i="1"/>
  <c r="Y259" i="1"/>
  <c r="R279" i="1"/>
  <c r="AI658" i="1"/>
  <c r="AI659" i="1" s="1"/>
  <c r="AH658" i="1"/>
  <c r="AB656" i="1"/>
  <c r="T657" i="1"/>
  <c r="W657" i="1"/>
  <c r="Q657" i="1"/>
  <c r="N658" i="1"/>
  <c r="AG659" i="1" s="1"/>
  <c r="V271" i="1" l="1"/>
  <c r="P260" i="1"/>
  <c r="Q260" i="1" s="1"/>
  <c r="S279" i="1"/>
  <c r="T279" i="1" s="1"/>
  <c r="AH659" i="1"/>
  <c r="AH660" i="1" s="1"/>
  <c r="AB657" i="1"/>
  <c r="T658" i="1"/>
  <c r="Q658" i="1"/>
  <c r="W658" i="1"/>
  <c r="N659" i="1"/>
  <c r="W271" i="1" l="1"/>
  <c r="U272" i="1"/>
  <c r="O261" i="1"/>
  <c r="Y260" i="1"/>
  <c r="AB260" i="1"/>
  <c r="Q261" i="1"/>
  <c r="R280" i="1"/>
  <c r="S280" i="1" s="1"/>
  <c r="T280" i="1" s="1"/>
  <c r="R281" i="1" s="1"/>
  <c r="S281" i="1" s="1"/>
  <c r="T281" i="1" s="1"/>
  <c r="AI660" i="1"/>
  <c r="AI661" i="1" s="1"/>
  <c r="AG660" i="1"/>
  <c r="AG661" i="1" s="1"/>
  <c r="Q659" i="1"/>
  <c r="T659" i="1"/>
  <c r="W659" i="1"/>
  <c r="N660" i="1"/>
  <c r="AH661" i="1" s="1"/>
  <c r="AB658" i="1"/>
  <c r="V272" i="1" l="1"/>
  <c r="P261" i="1"/>
  <c r="O262" i="1" s="1"/>
  <c r="P262" i="1" s="1"/>
  <c r="AB261" i="1"/>
  <c r="Y261" i="1"/>
  <c r="Q262" i="1"/>
  <c r="R282" i="1"/>
  <c r="W660" i="1"/>
  <c r="Q660" i="1"/>
  <c r="T660" i="1"/>
  <c r="N661" i="1"/>
  <c r="AB659" i="1"/>
  <c r="W272" i="1" l="1"/>
  <c r="U273" i="1" s="1"/>
  <c r="V273" i="1" s="1"/>
  <c r="W273" i="1" s="1"/>
  <c r="U274" i="1" s="1"/>
  <c r="O263" i="1"/>
  <c r="P263" i="1" s="1"/>
  <c r="AB262" i="1"/>
  <c r="Y262" i="1"/>
  <c r="S282" i="1"/>
  <c r="T282" i="1" s="1"/>
  <c r="AI662" i="1"/>
  <c r="AI663" i="1" s="1"/>
  <c r="AG662" i="1"/>
  <c r="AH662" i="1"/>
  <c r="T661" i="1"/>
  <c r="W661" i="1"/>
  <c r="Q661" i="1"/>
  <c r="N662" i="1"/>
  <c r="AB660" i="1"/>
  <c r="V274" i="1" l="1"/>
  <c r="Q263" i="1"/>
  <c r="O264" i="1" s="1"/>
  <c r="R283" i="1"/>
  <c r="AG663" i="1"/>
  <c r="AG664" i="1" s="1"/>
  <c r="AH663" i="1"/>
  <c r="AB661" i="1"/>
  <c r="T662" i="1"/>
  <c r="Q662" i="1"/>
  <c r="W662" i="1"/>
  <c r="N663" i="1"/>
  <c r="AI664" i="1" s="1"/>
  <c r="W274" i="1" l="1"/>
  <c r="U275" i="1" s="1"/>
  <c r="AB263" i="1"/>
  <c r="Y263" i="1"/>
  <c r="P264" i="1"/>
  <c r="S283" i="1"/>
  <c r="AH664" i="1"/>
  <c r="AH665" i="1" s="1"/>
  <c r="Q663" i="1"/>
  <c r="T663" i="1"/>
  <c r="W663" i="1"/>
  <c r="N664" i="1"/>
  <c r="AB662" i="1"/>
  <c r="V275" i="1" l="1"/>
  <c r="Q264" i="1"/>
  <c r="O265" i="1" s="1"/>
  <c r="T283" i="1"/>
  <c r="R284" i="1" s="1"/>
  <c r="S284" i="1" s="1"/>
  <c r="AG665" i="1"/>
  <c r="AG666" i="1" s="1"/>
  <c r="AI665" i="1"/>
  <c r="Q270" i="1"/>
  <c r="T664" i="1"/>
  <c r="W664" i="1"/>
  <c r="Q664" i="1"/>
  <c r="N665" i="1"/>
  <c r="AH666" i="1" s="1"/>
  <c r="AB663" i="1"/>
  <c r="W275" i="1" l="1"/>
  <c r="U276" i="1" s="1"/>
  <c r="V276" i="1" s="1"/>
  <c r="AB264" i="1"/>
  <c r="Y264" i="1"/>
  <c r="P265" i="1"/>
  <c r="T284" i="1"/>
  <c r="R285" i="1" s="1"/>
  <c r="S285" i="1" s="1"/>
  <c r="T285" i="1" s="1"/>
  <c r="W276" i="1"/>
  <c r="AI666" i="1"/>
  <c r="AI667" i="1" s="1"/>
  <c r="AB270" i="1"/>
  <c r="AB664" i="1"/>
  <c r="T665" i="1"/>
  <c r="Q665" i="1"/>
  <c r="W665" i="1"/>
  <c r="N666" i="1"/>
  <c r="Q265" i="1" l="1"/>
  <c r="Y265" i="1" s="1"/>
  <c r="R286" i="1"/>
  <c r="U277" i="1"/>
  <c r="AG667" i="1"/>
  <c r="AG668" i="1" s="1"/>
  <c r="AH667" i="1"/>
  <c r="AH668" i="1" s="1"/>
  <c r="T666" i="1"/>
  <c r="Q666" i="1"/>
  <c r="W666" i="1"/>
  <c r="N667" i="1"/>
  <c r="AI668" i="1" s="1"/>
  <c r="AB665" i="1"/>
  <c r="AB265" i="1" l="1"/>
  <c r="O266" i="1"/>
  <c r="P266" i="1" s="1"/>
  <c r="Q266" i="1"/>
  <c r="S286" i="1"/>
  <c r="T286" i="1" s="1"/>
  <c r="V277" i="1"/>
  <c r="W277" i="1" s="1"/>
  <c r="T667" i="1"/>
  <c r="Q667" i="1"/>
  <c r="W667" i="1"/>
  <c r="N668" i="1"/>
  <c r="AB666" i="1"/>
  <c r="O267" i="1" l="1"/>
  <c r="P267" i="1" s="1"/>
  <c r="Y266" i="1"/>
  <c r="AB266" i="1"/>
  <c r="R287" i="1"/>
  <c r="U278" i="1"/>
  <c r="AG669" i="1"/>
  <c r="AG670" i="1" s="1"/>
  <c r="AH669" i="1"/>
  <c r="AI669" i="1"/>
  <c r="T289" i="1"/>
  <c r="Q668" i="1"/>
  <c r="W668" i="1"/>
  <c r="T668" i="1"/>
  <c r="N669" i="1"/>
  <c r="AB667" i="1"/>
  <c r="Q267" i="1" l="1"/>
  <c r="Y267" i="1" s="1"/>
  <c r="S287" i="1"/>
  <c r="T287" i="1" s="1"/>
  <c r="V278" i="1"/>
  <c r="W278" i="1" s="1"/>
  <c r="AH670" i="1"/>
  <c r="AH671" i="1" s="1"/>
  <c r="AI670" i="1"/>
  <c r="Q669" i="1"/>
  <c r="T669" i="1"/>
  <c r="W669" i="1"/>
  <c r="N670" i="1"/>
  <c r="AG671" i="1" s="1"/>
  <c r="AB668" i="1"/>
  <c r="AB267" i="1" l="1"/>
  <c r="O268" i="1"/>
  <c r="P268" i="1" s="1"/>
  <c r="Q268" i="1"/>
  <c r="R288" i="1"/>
  <c r="S288" i="1" s="1"/>
  <c r="T288" i="1" s="1"/>
  <c r="R289" i="1" s="1"/>
  <c r="S289" i="1" s="1"/>
  <c r="U279" i="1"/>
  <c r="AI671" i="1"/>
  <c r="AI672" i="1" s="1"/>
  <c r="W670" i="1"/>
  <c r="T670" i="1"/>
  <c r="Q670" i="1"/>
  <c r="N671" i="1"/>
  <c r="AB669" i="1"/>
  <c r="AB268" i="1" l="1"/>
  <c r="O269" i="1"/>
  <c r="P269" i="1" s="1"/>
  <c r="Y268" i="1"/>
  <c r="R290" i="1"/>
  <c r="S290" i="1" s="1"/>
  <c r="T290" i="1" s="1"/>
  <c r="V279" i="1"/>
  <c r="W279" i="1" s="1"/>
  <c r="AH672" i="1"/>
  <c r="AH673" i="1" s="1"/>
  <c r="AG672" i="1"/>
  <c r="AG673" i="1" s="1"/>
  <c r="Q671" i="1"/>
  <c r="T671" i="1"/>
  <c r="W671" i="1"/>
  <c r="N672" i="1"/>
  <c r="AI673" i="1" s="1"/>
  <c r="AB670" i="1"/>
  <c r="Q269" i="1" l="1"/>
  <c r="Y269" i="1" s="1"/>
  <c r="Y270" i="1" s="1"/>
  <c r="R291" i="1"/>
  <c r="S291" i="1" s="1"/>
  <c r="T291" i="1" s="1"/>
  <c r="U280" i="1"/>
  <c r="V280" i="1" s="1"/>
  <c r="W280" i="1" s="1"/>
  <c r="AB671" i="1"/>
  <c r="Q672" i="1"/>
  <c r="T672" i="1"/>
  <c r="W672" i="1"/>
  <c r="N673" i="1"/>
  <c r="O270" i="1" l="1"/>
  <c r="P270" i="1" s="1"/>
  <c r="O271" i="1" s="1"/>
  <c r="P271" i="1" s="1"/>
  <c r="AB269" i="1"/>
  <c r="R292" i="1"/>
  <c r="U281" i="1"/>
  <c r="AH674" i="1"/>
  <c r="AH675" i="1" s="1"/>
  <c r="AG674" i="1"/>
  <c r="AI674" i="1"/>
  <c r="Q673" i="1"/>
  <c r="W673" i="1"/>
  <c r="T673" i="1"/>
  <c r="N674" i="1"/>
  <c r="AB672" i="1"/>
  <c r="Q271" i="1" l="1"/>
  <c r="O272" i="1" s="1"/>
  <c r="S292" i="1"/>
  <c r="T292" i="1" s="1"/>
  <c r="V281" i="1"/>
  <c r="W281" i="1" s="1"/>
  <c r="AG675" i="1"/>
  <c r="AG676" i="1" s="1"/>
  <c r="AI675" i="1"/>
  <c r="Q674" i="1"/>
  <c r="W674" i="1"/>
  <c r="T674" i="1"/>
  <c r="N675" i="1"/>
  <c r="AH676" i="1" s="1"/>
  <c r="AB673" i="1"/>
  <c r="AB271" i="1" l="1"/>
  <c r="Y271" i="1"/>
  <c r="P272" i="1"/>
  <c r="R293" i="1"/>
  <c r="U282" i="1"/>
  <c r="AI676" i="1"/>
  <c r="AI677" i="1" s="1"/>
  <c r="Q675" i="1"/>
  <c r="W675" i="1"/>
  <c r="T675" i="1"/>
  <c r="N676" i="1"/>
  <c r="AB674" i="1"/>
  <c r="Q272" i="1" l="1"/>
  <c r="O273" i="1" s="1"/>
  <c r="S293" i="1"/>
  <c r="V282" i="1"/>
  <c r="W282" i="1" s="1"/>
  <c r="AG677" i="1"/>
  <c r="AG678" i="1" s="1"/>
  <c r="AH677" i="1"/>
  <c r="AH678" i="1" s="1"/>
  <c r="T676" i="1"/>
  <c r="W676" i="1"/>
  <c r="Q676" i="1"/>
  <c r="N677" i="1"/>
  <c r="AI678" i="1" s="1"/>
  <c r="AB675" i="1"/>
  <c r="Y272" i="1" l="1"/>
  <c r="AB272" i="1"/>
  <c r="P273" i="1"/>
  <c r="T293" i="1"/>
  <c r="R294" i="1" s="1"/>
  <c r="S294" i="1" s="1"/>
  <c r="T294" i="1" s="1"/>
  <c r="U283" i="1"/>
  <c r="AB676" i="1"/>
  <c r="T677" i="1"/>
  <c r="Q677" i="1"/>
  <c r="W677" i="1"/>
  <c r="N678" i="1"/>
  <c r="Q273" i="1" l="1"/>
  <c r="O274" i="1" s="1"/>
  <c r="P274" i="1" s="1"/>
  <c r="V283" i="1"/>
  <c r="W283" i="1" s="1"/>
  <c r="R295" i="1"/>
  <c r="AH679" i="1"/>
  <c r="AH680" i="1" s="1"/>
  <c r="AG679" i="1"/>
  <c r="AI679" i="1"/>
  <c r="Q678" i="1"/>
  <c r="T678" i="1"/>
  <c r="W678" i="1"/>
  <c r="N679" i="1"/>
  <c r="AB677" i="1"/>
  <c r="Y273" i="1" l="1"/>
  <c r="AB273" i="1"/>
  <c r="Q274" i="1"/>
  <c r="O275" i="1" s="1"/>
  <c r="U284" i="1"/>
  <c r="S295" i="1"/>
  <c r="T295" i="1" s="1"/>
  <c r="AG680" i="1"/>
  <c r="AG681" i="1" s="1"/>
  <c r="AI680" i="1"/>
  <c r="AI681" i="1" s="1"/>
  <c r="Q679" i="1"/>
  <c r="T679" i="1"/>
  <c r="W679" i="1"/>
  <c r="N680" i="1"/>
  <c r="AH681" i="1" s="1"/>
  <c r="AB678" i="1"/>
  <c r="AB274" i="1" l="1"/>
  <c r="Y274" i="1"/>
  <c r="P275" i="1"/>
  <c r="V284" i="1"/>
  <c r="W284" i="1" s="1"/>
  <c r="R296" i="1"/>
  <c r="T680" i="1"/>
  <c r="W680" i="1"/>
  <c r="Q680" i="1"/>
  <c r="N681" i="1"/>
  <c r="AB679" i="1"/>
  <c r="Q275" i="1" l="1"/>
  <c r="Y275" i="1"/>
  <c r="U285" i="1"/>
  <c r="V285" i="1" s="1"/>
  <c r="W285" i="1" s="1"/>
  <c r="S296" i="1"/>
  <c r="T296" i="1" s="1"/>
  <c r="AI682" i="1"/>
  <c r="AI683" i="1" s="1"/>
  <c r="AG682" i="1"/>
  <c r="AH682" i="1"/>
  <c r="AB680" i="1"/>
  <c r="T681" i="1"/>
  <c r="Q681" i="1"/>
  <c r="W681" i="1"/>
  <c r="N682" i="1"/>
  <c r="AB275" i="1" l="1"/>
  <c r="O276" i="1"/>
  <c r="P276" i="1" s="1"/>
  <c r="Q276" i="1"/>
  <c r="R297" i="1"/>
  <c r="S297" i="1" s="1"/>
  <c r="T297" i="1" s="1"/>
  <c r="R298" i="1" s="1"/>
  <c r="S298" i="1" s="1"/>
  <c r="T298" i="1" s="1"/>
  <c r="U286" i="1"/>
  <c r="AG683" i="1"/>
  <c r="AH683" i="1"/>
  <c r="T682" i="1"/>
  <c r="W682" i="1"/>
  <c r="Q682" i="1"/>
  <c r="N683" i="1"/>
  <c r="AI684" i="1" s="1"/>
  <c r="AB681" i="1"/>
  <c r="AB276" i="1" l="1"/>
  <c r="O277" i="1"/>
  <c r="P277" i="1" s="1"/>
  <c r="Y276" i="1"/>
  <c r="R299" i="1"/>
  <c r="V286" i="1"/>
  <c r="W286" i="1" s="1"/>
  <c r="AH684" i="1"/>
  <c r="AH685" i="1" s="1"/>
  <c r="AG684" i="1"/>
  <c r="AG685" i="1" s="1"/>
  <c r="AB682" i="1"/>
  <c r="Q683" i="1"/>
  <c r="T683" i="1"/>
  <c r="W683" i="1"/>
  <c r="N684" i="1"/>
  <c r="AI685" i="1" s="1"/>
  <c r="Q277" i="1" l="1"/>
  <c r="O278" i="1" s="1"/>
  <c r="U287" i="1"/>
  <c r="V287" i="1" s="1"/>
  <c r="W287" i="1" s="1"/>
  <c r="S299" i="1"/>
  <c r="T299" i="1" s="1"/>
  <c r="T684" i="1"/>
  <c r="Q684" i="1"/>
  <c r="W684" i="1"/>
  <c r="N685" i="1"/>
  <c r="AB683" i="1"/>
  <c r="AB277" i="1" l="1"/>
  <c r="Y277" i="1"/>
  <c r="P278" i="1"/>
  <c r="R300" i="1"/>
  <c r="U288" i="1"/>
  <c r="AH686" i="1"/>
  <c r="AH687" i="1" s="1"/>
  <c r="AG686" i="1"/>
  <c r="AG687" i="1" s="1"/>
  <c r="AI686" i="1"/>
  <c r="Q685" i="1"/>
  <c r="T685" i="1"/>
  <c r="W685" i="1"/>
  <c r="N686" i="1"/>
  <c r="AB684" i="1"/>
  <c r="Q278" i="1" l="1"/>
  <c r="O279" i="1" s="1"/>
  <c r="P279" i="1" s="1"/>
  <c r="S300" i="1"/>
  <c r="T300" i="1" s="1"/>
  <c r="V288" i="1"/>
  <c r="W288" i="1" s="1"/>
  <c r="AI687" i="1"/>
  <c r="AI688" i="1" s="1"/>
  <c r="Q686" i="1"/>
  <c r="W686" i="1"/>
  <c r="T686" i="1"/>
  <c r="N687" i="1"/>
  <c r="AB685" i="1"/>
  <c r="Y278" i="1" l="1"/>
  <c r="AB278" i="1"/>
  <c r="Q279" i="1"/>
  <c r="O280" i="1" s="1"/>
  <c r="R301" i="1"/>
  <c r="S301" i="1" s="1"/>
  <c r="T301" i="1" s="1"/>
  <c r="U289" i="1"/>
  <c r="AH688" i="1"/>
  <c r="AH689" i="1" s="1"/>
  <c r="AG688" i="1"/>
  <c r="Q687" i="1"/>
  <c r="W687" i="1"/>
  <c r="T687" i="1"/>
  <c r="N688" i="1"/>
  <c r="AI689" i="1" s="1"/>
  <c r="AB686" i="1"/>
  <c r="AB279" i="1" l="1"/>
  <c r="Y279" i="1"/>
  <c r="P280" i="1"/>
  <c r="R302" i="1"/>
  <c r="V289" i="1"/>
  <c r="W289" i="1" s="1"/>
  <c r="AG689" i="1"/>
  <c r="Q688" i="1"/>
  <c r="W688" i="1"/>
  <c r="T688" i="1"/>
  <c r="N689" i="1"/>
  <c r="AB687" i="1"/>
  <c r="Q280" i="1" l="1"/>
  <c r="Y280" i="1" s="1"/>
  <c r="S302" i="1"/>
  <c r="T302" i="1" s="1"/>
  <c r="U290" i="1"/>
  <c r="AG690" i="1"/>
  <c r="AG691" i="1" s="1"/>
  <c r="AH690" i="1"/>
  <c r="AI690" i="1"/>
  <c r="AB688" i="1"/>
  <c r="Q689" i="1"/>
  <c r="W689" i="1"/>
  <c r="T689" i="1"/>
  <c r="N690" i="1"/>
  <c r="AB280" i="1" l="1"/>
  <c r="O281" i="1"/>
  <c r="P281" i="1" s="1"/>
  <c r="Q281" i="1"/>
  <c r="R303" i="1"/>
  <c r="S303" i="1" s="1"/>
  <c r="T303" i="1" s="1"/>
  <c r="V290" i="1"/>
  <c r="W290" i="1" s="1"/>
  <c r="AH691" i="1"/>
  <c r="AH692" i="1" s="1"/>
  <c r="AI691" i="1"/>
  <c r="AB689" i="1"/>
  <c r="W690" i="1"/>
  <c r="T690" i="1"/>
  <c r="Q690" i="1"/>
  <c r="N691" i="1"/>
  <c r="AG692" i="1" s="1"/>
  <c r="O282" i="1" l="1"/>
  <c r="P282" i="1" s="1"/>
  <c r="AB281" i="1"/>
  <c r="Y281" i="1"/>
  <c r="R304" i="1"/>
  <c r="U291" i="1"/>
  <c r="AI692" i="1"/>
  <c r="AI693" i="1" s="1"/>
  <c r="AB690" i="1"/>
  <c r="Q691" i="1"/>
  <c r="W691" i="1"/>
  <c r="T691" i="1"/>
  <c r="N692" i="1"/>
  <c r="Q282" i="1" l="1"/>
  <c r="O283" i="1" s="1"/>
  <c r="P283" i="1" s="1"/>
  <c r="V291" i="1"/>
  <c r="W291" i="1" s="1"/>
  <c r="S304" i="1"/>
  <c r="AH693" i="1"/>
  <c r="AH694" i="1" s="1"/>
  <c r="AG693" i="1"/>
  <c r="Q692" i="1"/>
  <c r="T692" i="1"/>
  <c r="W692" i="1"/>
  <c r="N693" i="1"/>
  <c r="AI694" i="1" s="1"/>
  <c r="AB691" i="1"/>
  <c r="Y282" i="1" l="1"/>
  <c r="AB282" i="1"/>
  <c r="Q283" i="1"/>
  <c r="O284" i="1" s="1"/>
  <c r="T304" i="1"/>
  <c r="R305" i="1" s="1"/>
  <c r="U292" i="1"/>
  <c r="V292" i="1" s="1"/>
  <c r="W292" i="1" s="1"/>
  <c r="AG694" i="1"/>
  <c r="AG695" i="1" s="1"/>
  <c r="AB692" i="1"/>
  <c r="Q693" i="1"/>
  <c r="T693" i="1"/>
  <c r="W693" i="1"/>
  <c r="N694" i="1"/>
  <c r="Y283" i="1" l="1"/>
  <c r="AB283" i="1"/>
  <c r="P284" i="1"/>
  <c r="Q284" i="1" s="1"/>
  <c r="S305" i="1"/>
  <c r="U293" i="1"/>
  <c r="V293" i="1" s="1"/>
  <c r="W293" i="1" s="1"/>
  <c r="AH695" i="1"/>
  <c r="AH696" i="1" s="1"/>
  <c r="AI695" i="1"/>
  <c r="Q694" i="1"/>
  <c r="T694" i="1"/>
  <c r="W694" i="1"/>
  <c r="N695" i="1"/>
  <c r="AG696" i="1" s="1"/>
  <c r="AB693" i="1"/>
  <c r="AB284" i="1" l="1"/>
  <c r="O285" i="1"/>
  <c r="P285" i="1" s="1"/>
  <c r="Y284" i="1"/>
  <c r="T305" i="1"/>
  <c r="R306" i="1" s="1"/>
  <c r="U294" i="1"/>
  <c r="V294" i="1" s="1"/>
  <c r="W294" i="1" s="1"/>
  <c r="U295" i="1" s="1"/>
  <c r="AI696" i="1"/>
  <c r="AI697" i="1" s="1"/>
  <c r="Q695" i="1"/>
  <c r="W695" i="1"/>
  <c r="T695" i="1"/>
  <c r="N696" i="1"/>
  <c r="AB694" i="1"/>
  <c r="Q285" i="1" l="1"/>
  <c r="S306" i="1"/>
  <c r="V295" i="1"/>
  <c r="W295" i="1" s="1"/>
  <c r="AH697" i="1"/>
  <c r="AH698" i="1" s="1"/>
  <c r="AG697" i="1"/>
  <c r="AG698" i="1" s="1"/>
  <c r="AB695" i="1"/>
  <c r="Q696" i="1"/>
  <c r="W696" i="1"/>
  <c r="T696" i="1"/>
  <c r="N697" i="1"/>
  <c r="AI698" i="1" s="1"/>
  <c r="AB285" i="1" l="1"/>
  <c r="O286" i="1"/>
  <c r="P286" i="1" s="1"/>
  <c r="Q286" i="1" s="1"/>
  <c r="Y285" i="1"/>
  <c r="T306" i="1"/>
  <c r="R307" i="1" s="1"/>
  <c r="U296" i="1"/>
  <c r="V296" i="1" s="1"/>
  <c r="W296" i="1" s="1"/>
  <c r="U297" i="1" s="1"/>
  <c r="Q697" i="1"/>
  <c r="W697" i="1"/>
  <c r="T697" i="1"/>
  <c r="N698" i="1"/>
  <c r="AB696" i="1"/>
  <c r="O287" i="1" l="1"/>
  <c r="P287" i="1" s="1"/>
  <c r="Y286" i="1"/>
  <c r="AB286" i="1"/>
  <c r="S307" i="1"/>
  <c r="V297" i="1"/>
  <c r="AH699" i="1"/>
  <c r="AH700" i="1" s="1"/>
  <c r="AG699" i="1"/>
  <c r="AG700" i="1" s="1"/>
  <c r="AI699" i="1"/>
  <c r="W698" i="1"/>
  <c r="Q698" i="1"/>
  <c r="T698" i="1"/>
  <c r="N699" i="1"/>
  <c r="AB697" i="1"/>
  <c r="Q287" i="1" l="1"/>
  <c r="O288" i="1" s="1"/>
  <c r="T307" i="1"/>
  <c r="R308" i="1" s="1"/>
  <c r="W297" i="1"/>
  <c r="U298" i="1" s="1"/>
  <c r="AI700" i="1"/>
  <c r="W699" i="1"/>
  <c r="T699" i="1"/>
  <c r="Q699" i="1"/>
  <c r="N700" i="1"/>
  <c r="AB698" i="1"/>
  <c r="Y287" i="1" l="1"/>
  <c r="AB287" i="1"/>
  <c r="P288" i="1"/>
  <c r="S308" i="1"/>
  <c r="V298" i="1"/>
  <c r="AI701" i="1"/>
  <c r="AH701" i="1"/>
  <c r="AH702" i="1" s="1"/>
  <c r="AG701" i="1"/>
  <c r="AB699" i="1"/>
  <c r="T700" i="1"/>
  <c r="Q700" i="1"/>
  <c r="W700" i="1"/>
  <c r="N701" i="1"/>
  <c r="Q288" i="1" l="1"/>
  <c r="O289" i="1" s="1"/>
  <c r="P289" i="1" s="1"/>
  <c r="T308" i="1"/>
  <c r="R309" i="1" s="1"/>
  <c r="S309" i="1" s="1"/>
  <c r="T309" i="1" s="1"/>
  <c r="R310" i="1" s="1"/>
  <c r="W298" i="1"/>
  <c r="U299" i="1" s="1"/>
  <c r="AI702" i="1"/>
  <c r="AG702" i="1"/>
  <c r="AB700" i="1"/>
  <c r="T701" i="1"/>
  <c r="W701" i="1"/>
  <c r="Q701" i="1"/>
  <c r="N702" i="1"/>
  <c r="AH703" i="1" s="1"/>
  <c r="Y288" i="1" l="1"/>
  <c r="AB288" i="1"/>
  <c r="Q289" i="1"/>
  <c r="O290" i="1" s="1"/>
  <c r="S310" i="1"/>
  <c r="V299" i="1"/>
  <c r="Q292" i="1"/>
  <c r="AI703" i="1"/>
  <c r="AI704" i="1" s="1"/>
  <c r="AG703" i="1"/>
  <c r="AB701" i="1"/>
  <c r="W702" i="1"/>
  <c r="Q702" i="1"/>
  <c r="T702" i="1"/>
  <c r="N703" i="1"/>
  <c r="AH704" i="1" s="1"/>
  <c r="AB289" i="1" l="1"/>
  <c r="Y289" i="1"/>
  <c r="P290" i="1"/>
  <c r="T310" i="1"/>
  <c r="R311" i="1" s="1"/>
  <c r="W299" i="1"/>
  <c r="U300" i="1" s="1"/>
  <c r="V300" i="1" s="1"/>
  <c r="AB292" i="1"/>
  <c r="AG704" i="1"/>
  <c r="AG705" i="1" s="1"/>
  <c r="W703" i="1"/>
  <c r="T703" i="1"/>
  <c r="Q703" i="1"/>
  <c r="N704" i="1"/>
  <c r="AB702" i="1"/>
  <c r="Q290" i="1" l="1"/>
  <c r="S311" i="1"/>
  <c r="W300" i="1"/>
  <c r="U301" i="1" s="1"/>
  <c r="V301" i="1" s="1"/>
  <c r="AI705" i="1"/>
  <c r="AI706" i="1" s="1"/>
  <c r="AH705" i="1"/>
  <c r="AH706" i="1" s="1"/>
  <c r="AB703" i="1"/>
  <c r="T704" i="1"/>
  <c r="Q704" i="1"/>
  <c r="W704" i="1"/>
  <c r="N705" i="1"/>
  <c r="AG706" i="1" s="1"/>
  <c r="AB290" i="1" l="1"/>
  <c r="O291" i="1"/>
  <c r="P291" i="1" s="1"/>
  <c r="Y290" i="1"/>
  <c r="Q291" i="1"/>
  <c r="T311" i="1"/>
  <c r="R312" i="1"/>
  <c r="W301" i="1"/>
  <c r="U302" i="1" s="1"/>
  <c r="V302" i="1" s="1"/>
  <c r="Q705" i="1"/>
  <c r="T705" i="1"/>
  <c r="W705" i="1"/>
  <c r="N706" i="1"/>
  <c r="AB704" i="1"/>
  <c r="O292" i="1" l="1"/>
  <c r="P292" i="1" s="1"/>
  <c r="O293" i="1" s="1"/>
  <c r="AB291" i="1"/>
  <c r="Y291" i="1"/>
  <c r="Y292" i="1" s="1"/>
  <c r="S312" i="1"/>
  <c r="T312" i="1" s="1"/>
  <c r="R313" i="1" s="1"/>
  <c r="W302" i="1"/>
  <c r="U303" i="1" s="1"/>
  <c r="Q294" i="1"/>
  <c r="AH707" i="1"/>
  <c r="AI707" i="1"/>
  <c r="AG707" i="1"/>
  <c r="T706" i="1"/>
  <c r="W706" i="1"/>
  <c r="Q706" i="1"/>
  <c r="N707" i="1"/>
  <c r="AB705" i="1"/>
  <c r="P293" i="1" l="1"/>
  <c r="V303" i="1"/>
  <c r="W303" i="1" s="1"/>
  <c r="U304" i="1" s="1"/>
  <c r="V304" i="1" s="1"/>
  <c r="W304" i="1" s="1"/>
  <c r="AB294" i="1"/>
  <c r="S313" i="1"/>
  <c r="AH708" i="1"/>
  <c r="AH709" i="1" s="1"/>
  <c r="AI708" i="1"/>
  <c r="AG708" i="1"/>
  <c r="AB706" i="1"/>
  <c r="T707" i="1"/>
  <c r="W707" i="1"/>
  <c r="Q707" i="1"/>
  <c r="N708" i="1"/>
  <c r="Q293" i="1" l="1"/>
  <c r="O294" i="1" s="1"/>
  <c r="T313" i="1"/>
  <c r="R314" i="1" s="1"/>
  <c r="U305" i="1"/>
  <c r="AI709" i="1"/>
  <c r="AG709" i="1"/>
  <c r="AB707" i="1"/>
  <c r="W708" i="1"/>
  <c r="Q708" i="1"/>
  <c r="T708" i="1"/>
  <c r="N709" i="1"/>
  <c r="AH710" i="1" s="1"/>
  <c r="AB293" i="1" l="1"/>
  <c r="Y293" i="1"/>
  <c r="Y294" i="1" s="1"/>
  <c r="P294" i="1"/>
  <c r="O295" i="1" s="1"/>
  <c r="Q295" i="1"/>
  <c r="S314" i="1"/>
  <c r="Q296" i="1"/>
  <c r="V305" i="1"/>
  <c r="W305" i="1" s="1"/>
  <c r="AI710" i="1"/>
  <c r="AI711" i="1" s="1"/>
  <c r="AG710" i="1"/>
  <c r="AB708" i="1"/>
  <c r="Q709" i="1"/>
  <c r="T709" i="1"/>
  <c r="W709" i="1"/>
  <c r="N710" i="1"/>
  <c r="AH711" i="1" s="1"/>
  <c r="P295" i="1" l="1"/>
  <c r="O296" i="1" s="1"/>
  <c r="Y295" i="1"/>
  <c r="Y296" i="1" s="1"/>
  <c r="AB295" i="1"/>
  <c r="T314" i="1"/>
  <c r="R315" i="1" s="1"/>
  <c r="S315" i="1" s="1"/>
  <c r="T315" i="1" s="1"/>
  <c r="R316" i="1" s="1"/>
  <c r="S316" i="1" s="1"/>
  <c r="AB296" i="1"/>
  <c r="U306" i="1"/>
  <c r="AG711" i="1"/>
  <c r="Q710" i="1"/>
  <c r="T710" i="1"/>
  <c r="W710" i="1"/>
  <c r="N711" i="1"/>
  <c r="AB709" i="1"/>
  <c r="P296" i="1" l="1"/>
  <c r="O297" i="1" s="1"/>
  <c r="T316" i="1"/>
  <c r="R317" i="1" s="1"/>
  <c r="Q297" i="1"/>
  <c r="V306" i="1"/>
  <c r="W306" i="1" s="1"/>
  <c r="U307" i="1" s="1"/>
  <c r="AG712" i="1"/>
  <c r="AG713" i="1" s="1"/>
  <c r="AI712" i="1"/>
  <c r="AI713" i="1" s="1"/>
  <c r="AH712" i="1"/>
  <c r="AB710" i="1"/>
  <c r="Q711" i="1"/>
  <c r="T711" i="1"/>
  <c r="W711" i="1"/>
  <c r="N712" i="1"/>
  <c r="P297" i="1" l="1"/>
  <c r="O298" i="1" s="1"/>
  <c r="P298" i="1" s="1"/>
  <c r="S317" i="1"/>
  <c r="Y297" i="1"/>
  <c r="AB297" i="1"/>
  <c r="AH713" i="1"/>
  <c r="V307" i="1"/>
  <c r="W307" i="1" s="1"/>
  <c r="Q712" i="1"/>
  <c r="T712" i="1"/>
  <c r="W712" i="1"/>
  <c r="N713" i="1"/>
  <c r="AB711" i="1"/>
  <c r="T317" i="1" l="1"/>
  <c r="R318" i="1" s="1"/>
  <c r="S318" i="1" s="1"/>
  <c r="Q298" i="1"/>
  <c r="O299" i="1" s="1"/>
  <c r="AH714" i="1"/>
  <c r="AH715" i="1" s="1"/>
  <c r="AI714" i="1"/>
  <c r="AI715" i="1" s="1"/>
  <c r="AG714" i="1"/>
  <c r="U308" i="1"/>
  <c r="V308" i="1" s="1"/>
  <c r="W308" i="1" s="1"/>
  <c r="U309" i="1" s="1"/>
  <c r="T713" i="1"/>
  <c r="W713" i="1"/>
  <c r="Q713" i="1"/>
  <c r="N714" i="1"/>
  <c r="AB712" i="1"/>
  <c r="T318" i="1" l="1"/>
  <c r="R319" i="1" s="1"/>
  <c r="S319" i="1" s="1"/>
  <c r="T319" i="1" s="1"/>
  <c r="Y298" i="1"/>
  <c r="AB298" i="1"/>
  <c r="P299" i="1"/>
  <c r="AG715" i="1"/>
  <c r="AG716" i="1" s="1"/>
  <c r="Q301" i="1"/>
  <c r="V309" i="1"/>
  <c r="W309" i="1" s="1"/>
  <c r="AB713" i="1"/>
  <c r="Q714" i="1"/>
  <c r="T714" i="1"/>
  <c r="W714" i="1"/>
  <c r="N715" i="1"/>
  <c r="R320" i="1" l="1"/>
  <c r="Q299" i="1"/>
  <c r="O300" i="1" s="1"/>
  <c r="AH716" i="1"/>
  <c r="AH717" i="1" s="1"/>
  <c r="AI716" i="1"/>
  <c r="AB301" i="1"/>
  <c r="U310" i="1"/>
  <c r="V310" i="1" s="1"/>
  <c r="W310" i="1" s="1"/>
  <c r="Q715" i="1"/>
  <c r="T715" i="1"/>
  <c r="W715" i="1"/>
  <c r="N716" i="1"/>
  <c r="AG717" i="1" s="1"/>
  <c r="AB714" i="1"/>
  <c r="S320" i="1" l="1"/>
  <c r="Y299" i="1"/>
  <c r="AB299" i="1"/>
  <c r="P300" i="1"/>
  <c r="AI717" i="1"/>
  <c r="AI718" i="1" s="1"/>
  <c r="U311" i="1"/>
  <c r="T716" i="1"/>
  <c r="W716" i="1"/>
  <c r="Q716" i="1"/>
  <c r="N717" i="1"/>
  <c r="AB715" i="1"/>
  <c r="T320" i="1" l="1"/>
  <c r="R321" i="1" s="1"/>
  <c r="S321" i="1" s="1"/>
  <c r="Q300" i="1"/>
  <c r="O301" i="1" s="1"/>
  <c r="AH718" i="1"/>
  <c r="AH719" i="1" s="1"/>
  <c r="AG718" i="1"/>
  <c r="AG719" i="1" s="1"/>
  <c r="V311" i="1"/>
  <c r="W311" i="1" s="1"/>
  <c r="AB716" i="1"/>
  <c r="T717" i="1"/>
  <c r="W717" i="1"/>
  <c r="Q717" i="1"/>
  <c r="N718" i="1"/>
  <c r="AI719" i="1" s="1"/>
  <c r="T321" i="1" l="1"/>
  <c r="R322" i="1" s="1"/>
  <c r="AB300" i="1"/>
  <c r="Y300" i="1"/>
  <c r="Y301" i="1" s="1"/>
  <c r="P301" i="1"/>
  <c r="O302" i="1" s="1"/>
  <c r="U312" i="1"/>
  <c r="AB717" i="1"/>
  <c r="Q718" i="1"/>
  <c r="T718" i="1"/>
  <c r="W718" i="1"/>
  <c r="N719" i="1"/>
  <c r="S322" i="1" l="1"/>
  <c r="P302" i="1"/>
  <c r="AG720" i="1"/>
  <c r="AG721" i="1" s="1"/>
  <c r="AH720" i="1"/>
  <c r="AI720" i="1"/>
  <c r="V312" i="1"/>
  <c r="W312" i="1" s="1"/>
  <c r="AB718" i="1"/>
  <c r="T719" i="1"/>
  <c r="Q719" i="1"/>
  <c r="W719" i="1"/>
  <c r="N720" i="1"/>
  <c r="T322" i="1" l="1"/>
  <c r="R323" i="1" s="1"/>
  <c r="Q302" i="1"/>
  <c r="O303" i="1" s="1"/>
  <c r="AH721" i="1"/>
  <c r="AH722" i="1" s="1"/>
  <c r="AI721" i="1"/>
  <c r="U313" i="1"/>
  <c r="AB719" i="1"/>
  <c r="W720" i="1"/>
  <c r="T720" i="1"/>
  <c r="Q720" i="1"/>
  <c r="N721" i="1"/>
  <c r="AG722" i="1" s="1"/>
  <c r="P303" i="1" l="1"/>
  <c r="S323" i="1"/>
  <c r="Y302" i="1"/>
  <c r="AB302" i="1"/>
  <c r="AI722" i="1"/>
  <c r="AI723" i="1" s="1"/>
  <c r="V313" i="1"/>
  <c r="W313" i="1" s="1"/>
  <c r="AB720" i="1"/>
  <c r="T721" i="1"/>
  <c r="W721" i="1"/>
  <c r="Q721" i="1"/>
  <c r="N722" i="1"/>
  <c r="Q303" i="1" l="1"/>
  <c r="O304" i="1" s="1"/>
  <c r="T323" i="1"/>
  <c r="R324" i="1" s="1"/>
  <c r="T325" i="1"/>
  <c r="AH723" i="1"/>
  <c r="AH724" i="1" s="1"/>
  <c r="AG723" i="1"/>
  <c r="U314" i="1"/>
  <c r="V314" i="1" s="1"/>
  <c r="W314" i="1" s="1"/>
  <c r="AB721" i="1"/>
  <c r="W722" i="1"/>
  <c r="Q722" i="1"/>
  <c r="T722" i="1"/>
  <c r="N723" i="1"/>
  <c r="AI724" i="1" s="1"/>
  <c r="Y303" i="1" l="1"/>
  <c r="AB303" i="1"/>
  <c r="P304" i="1"/>
  <c r="S324" i="1"/>
  <c r="AG724" i="1"/>
  <c r="AG725" i="1" s="1"/>
  <c r="U315" i="1"/>
  <c r="Q723" i="1"/>
  <c r="W723" i="1"/>
  <c r="T723" i="1"/>
  <c r="N724" i="1"/>
  <c r="AB722" i="1"/>
  <c r="Q304" i="1" l="1"/>
  <c r="Y304" i="1" s="1"/>
  <c r="T324" i="1"/>
  <c r="R325" i="1" s="1"/>
  <c r="S325" i="1" s="1"/>
  <c r="R326" i="1" s="1"/>
  <c r="AH725" i="1"/>
  <c r="AI725" i="1"/>
  <c r="V315" i="1"/>
  <c r="W315" i="1" s="1"/>
  <c r="AB723" i="1"/>
  <c r="W724" i="1"/>
  <c r="T724" i="1"/>
  <c r="Q724" i="1"/>
  <c r="N725" i="1"/>
  <c r="AG726" i="1" s="1"/>
  <c r="AB304" i="1" l="1"/>
  <c r="O305" i="1"/>
  <c r="S326" i="1"/>
  <c r="AH726" i="1"/>
  <c r="AI726" i="1"/>
  <c r="U316" i="1"/>
  <c r="V316" i="1" s="1"/>
  <c r="W316" i="1" s="1"/>
  <c r="AB724" i="1"/>
  <c r="Q725" i="1"/>
  <c r="W725" i="1"/>
  <c r="T725" i="1"/>
  <c r="N726" i="1"/>
  <c r="AG727" i="1" s="1"/>
  <c r="P305" i="1" l="1"/>
  <c r="T326" i="1"/>
  <c r="R327" i="1" s="1"/>
  <c r="AH727" i="1"/>
  <c r="AH728" i="1" s="1"/>
  <c r="AI727" i="1"/>
  <c r="U317" i="1"/>
  <c r="AB725" i="1"/>
  <c r="T726" i="1"/>
  <c r="Q726" i="1"/>
  <c r="W726" i="1"/>
  <c r="N727" i="1"/>
  <c r="AG728" i="1" s="1"/>
  <c r="Q305" i="1" l="1"/>
  <c r="O306" i="1" s="1"/>
  <c r="S327" i="1"/>
  <c r="AI728" i="1"/>
  <c r="AI729" i="1" s="1"/>
  <c r="V317" i="1"/>
  <c r="W317" i="1" s="1"/>
  <c r="Q727" i="1"/>
  <c r="W727" i="1"/>
  <c r="T727" i="1"/>
  <c r="N728" i="1"/>
  <c r="AB726" i="1"/>
  <c r="Y305" i="1" l="1"/>
  <c r="AB305" i="1"/>
  <c r="P306" i="1"/>
  <c r="T327" i="1"/>
  <c r="R328" i="1" s="1"/>
  <c r="S328" i="1" s="1"/>
  <c r="AH729" i="1"/>
  <c r="AH730" i="1" s="1"/>
  <c r="AG729" i="1"/>
  <c r="AG730" i="1" s="1"/>
  <c r="U318" i="1"/>
  <c r="T728" i="1"/>
  <c r="W728" i="1"/>
  <c r="Q728" i="1"/>
  <c r="N729" i="1"/>
  <c r="AI730" i="1" s="1"/>
  <c r="AB727" i="1"/>
  <c r="Q306" i="1" l="1"/>
  <c r="O307" i="1" s="1"/>
  <c r="T328" i="1"/>
  <c r="R329" i="1" s="1"/>
  <c r="V318" i="1"/>
  <c r="W318" i="1" s="1"/>
  <c r="AB728" i="1"/>
  <c r="T729" i="1"/>
  <c r="W729" i="1"/>
  <c r="Q729" i="1"/>
  <c r="N730" i="1"/>
  <c r="Y306" i="1" l="1"/>
  <c r="AB306" i="1"/>
  <c r="P307" i="1"/>
  <c r="S329" i="1"/>
  <c r="U319" i="1"/>
  <c r="AG731" i="1"/>
  <c r="AG732" i="1" s="1"/>
  <c r="AH731" i="1"/>
  <c r="AH732" i="1" s="1"/>
  <c r="AI731" i="1"/>
  <c r="AI732" i="1" s="1"/>
  <c r="AB729" i="1"/>
  <c r="Q730" i="1"/>
  <c r="T730" i="1"/>
  <c r="W730" i="1"/>
  <c r="N731" i="1"/>
  <c r="Q307" i="1" l="1"/>
  <c r="T329" i="1"/>
  <c r="R330" i="1" s="1"/>
  <c r="S330" i="1" s="1"/>
  <c r="T330" i="1" s="1"/>
  <c r="R331" i="1" s="1"/>
  <c r="V319" i="1"/>
  <c r="W319" i="1" s="1"/>
  <c r="T731" i="1"/>
  <c r="Q731" i="1"/>
  <c r="W731" i="1"/>
  <c r="N732" i="1"/>
  <c r="AB730" i="1"/>
  <c r="AB307" i="1" l="1"/>
  <c r="O308" i="1"/>
  <c r="Y307" i="1"/>
  <c r="Q308" i="1"/>
  <c r="S331" i="1"/>
  <c r="U320" i="1"/>
  <c r="AH733" i="1"/>
  <c r="AH734" i="1" s="1"/>
  <c r="AI733" i="1"/>
  <c r="AG733" i="1"/>
  <c r="Q732" i="1"/>
  <c r="T732" i="1"/>
  <c r="W732" i="1"/>
  <c r="N733" i="1"/>
  <c r="AB731" i="1"/>
  <c r="P308" i="1" l="1"/>
  <c r="O309" i="1" s="1"/>
  <c r="P309" i="1" s="1"/>
  <c r="AB308" i="1"/>
  <c r="Y308" i="1"/>
  <c r="T331" i="1"/>
  <c r="R332" i="1" s="1"/>
  <c r="V320" i="1"/>
  <c r="W320" i="1" s="1"/>
  <c r="AI734" i="1"/>
  <c r="AI735" i="1" s="1"/>
  <c r="AG734" i="1"/>
  <c r="AG735" i="1" s="1"/>
  <c r="W733" i="1"/>
  <c r="Q733" i="1"/>
  <c r="T733" i="1"/>
  <c r="N734" i="1"/>
  <c r="AH735" i="1" s="1"/>
  <c r="AB732" i="1"/>
  <c r="Q309" i="1" l="1"/>
  <c r="O310" i="1" s="1"/>
  <c r="S332" i="1"/>
  <c r="U321" i="1"/>
  <c r="AB733" i="1"/>
  <c r="T734" i="1"/>
  <c r="W734" i="1"/>
  <c r="Q734" i="1"/>
  <c r="N735" i="1"/>
  <c r="AB309" i="1" l="1"/>
  <c r="Y309" i="1"/>
  <c r="P310" i="1"/>
  <c r="T332" i="1"/>
  <c r="R333" i="1" s="1"/>
  <c r="V321" i="1"/>
  <c r="W321" i="1" s="1"/>
  <c r="AG736" i="1"/>
  <c r="AG737" i="1" s="1"/>
  <c r="AI736" i="1"/>
  <c r="AH736" i="1"/>
  <c r="T735" i="1"/>
  <c r="W735" i="1"/>
  <c r="Q735" i="1"/>
  <c r="N736" i="1"/>
  <c r="AB734" i="1"/>
  <c r="Q310" i="1" l="1"/>
  <c r="O311" i="1" s="1"/>
  <c r="S333" i="1"/>
  <c r="U322" i="1"/>
  <c r="V322" i="1" s="1"/>
  <c r="W322" i="1" s="1"/>
  <c r="U323" i="1" s="1"/>
  <c r="V323" i="1" s="1"/>
  <c r="W323" i="1" s="1"/>
  <c r="AI737" i="1"/>
  <c r="AI738" i="1" s="1"/>
  <c r="AH737" i="1"/>
  <c r="AH738" i="1" s="1"/>
  <c r="T736" i="1"/>
  <c r="W736" i="1"/>
  <c r="Q736" i="1"/>
  <c r="N737" i="1"/>
  <c r="AG738" i="1" s="1"/>
  <c r="AB735" i="1"/>
  <c r="AB310" i="1" l="1"/>
  <c r="Y310" i="1"/>
  <c r="P311" i="1"/>
  <c r="T333" i="1"/>
  <c r="R334" i="1" s="1"/>
  <c r="U324" i="1"/>
  <c r="AB736" i="1"/>
  <c r="T737" i="1"/>
  <c r="W737" i="1"/>
  <c r="Q737" i="1"/>
  <c r="N738" i="1"/>
  <c r="Q311" i="1" l="1"/>
  <c r="O312" i="1" s="1"/>
  <c r="P312" i="1" s="1"/>
  <c r="S334" i="1"/>
  <c r="AH739" i="1"/>
  <c r="AI739" i="1"/>
  <c r="AG739" i="1"/>
  <c r="V324" i="1"/>
  <c r="W324" i="1" s="1"/>
  <c r="AB737" i="1"/>
  <c r="W738" i="1"/>
  <c r="T738" i="1"/>
  <c r="Q738" i="1"/>
  <c r="N739" i="1"/>
  <c r="Q312" i="1" l="1"/>
  <c r="Y311" i="1"/>
  <c r="Y312" i="1" s="1"/>
  <c r="AB311" i="1"/>
  <c r="T334" i="1"/>
  <c r="R335" i="1"/>
  <c r="AH740" i="1"/>
  <c r="AH741" i="1" s="1"/>
  <c r="AI740" i="1"/>
  <c r="AI741" i="1" s="1"/>
  <c r="AG740" i="1"/>
  <c r="AG741" i="1" s="1"/>
  <c r="U325" i="1"/>
  <c r="AB738" i="1"/>
  <c r="W739" i="1"/>
  <c r="T739" i="1"/>
  <c r="Q739" i="1"/>
  <c r="N740" i="1"/>
  <c r="AB312" i="1" l="1"/>
  <c r="O313" i="1"/>
  <c r="S335" i="1"/>
  <c r="V325" i="1"/>
  <c r="W325" i="1" s="1"/>
  <c r="AB739" i="1"/>
  <c r="T740" i="1"/>
  <c r="W740" i="1"/>
  <c r="Q740" i="1"/>
  <c r="N741" i="1"/>
  <c r="P313" i="1" l="1"/>
  <c r="T335" i="1"/>
  <c r="R336" i="1"/>
  <c r="U326" i="1"/>
  <c r="AI742" i="1"/>
  <c r="AI743" i="1" s="1"/>
  <c r="AG742" i="1"/>
  <c r="AG743" i="1" s="1"/>
  <c r="AH742" i="1"/>
  <c r="AH743" i="1" s="1"/>
  <c r="T741" i="1"/>
  <c r="W741" i="1"/>
  <c r="Q741" i="1"/>
  <c r="N742" i="1"/>
  <c r="AB740" i="1"/>
  <c r="Q313" i="1" l="1"/>
  <c r="O314" i="1" s="1"/>
  <c r="S336" i="1"/>
  <c r="V326" i="1"/>
  <c r="W326" i="1" s="1"/>
  <c r="AB741" i="1"/>
  <c r="T742" i="1"/>
  <c r="Q742" i="1"/>
  <c r="W742" i="1"/>
  <c r="N743" i="1"/>
  <c r="Y313" i="1" l="1"/>
  <c r="AB313" i="1"/>
  <c r="P314" i="1"/>
  <c r="T336" i="1"/>
  <c r="R337" i="1" s="1"/>
  <c r="U327" i="1"/>
  <c r="V327" i="1" s="1"/>
  <c r="W327" i="1" s="1"/>
  <c r="AI744" i="1"/>
  <c r="AI745" i="1" s="1"/>
  <c r="AG744" i="1"/>
  <c r="AG745" i="1" s="1"/>
  <c r="AH744" i="1"/>
  <c r="AH745" i="1" s="1"/>
  <c r="T743" i="1"/>
  <c r="W743" i="1"/>
  <c r="Q743" i="1"/>
  <c r="N744" i="1"/>
  <c r="AB742" i="1"/>
  <c r="Q314" i="1" l="1"/>
  <c r="O315" i="1" s="1"/>
  <c r="S337" i="1"/>
  <c r="U328" i="1"/>
  <c r="V328" i="1" s="1"/>
  <c r="W328" i="1" s="1"/>
  <c r="AB743" i="1"/>
  <c r="T744" i="1"/>
  <c r="Q744" i="1"/>
  <c r="W744" i="1"/>
  <c r="N745" i="1"/>
  <c r="Y314" i="1" l="1"/>
  <c r="AB314" i="1"/>
  <c r="P315" i="1"/>
  <c r="Q315" i="1" s="1"/>
  <c r="T337" i="1"/>
  <c r="R338" i="1" s="1"/>
  <c r="U329" i="1"/>
  <c r="AG746" i="1"/>
  <c r="AG747" i="1" s="1"/>
  <c r="AH746" i="1"/>
  <c r="AH747" i="1" s="1"/>
  <c r="AI746" i="1"/>
  <c r="AB744" i="1"/>
  <c r="T745" i="1"/>
  <c r="W745" i="1"/>
  <c r="Q745" i="1"/>
  <c r="N746" i="1"/>
  <c r="Y315" i="1" l="1"/>
  <c r="AB315" i="1"/>
  <c r="O316" i="1"/>
  <c r="S338" i="1"/>
  <c r="V329" i="1"/>
  <c r="W329" i="1" s="1"/>
  <c r="Q317" i="1"/>
  <c r="AI747" i="1"/>
  <c r="AI748" i="1" s="1"/>
  <c r="AB745" i="1"/>
  <c r="T746" i="1"/>
  <c r="W746" i="1"/>
  <c r="Q746" i="1"/>
  <c r="N747" i="1"/>
  <c r="P316" i="1" l="1"/>
  <c r="T338" i="1"/>
  <c r="R339" i="1"/>
  <c r="U330" i="1"/>
  <c r="AB317" i="1"/>
  <c r="AG748" i="1"/>
  <c r="AH748" i="1"/>
  <c r="AB746" i="1"/>
  <c r="W747" i="1"/>
  <c r="T747" i="1"/>
  <c r="Q747" i="1"/>
  <c r="N748" i="1"/>
  <c r="AI749" i="1" s="1"/>
  <c r="Q316" i="1" l="1"/>
  <c r="O317" i="1" s="1"/>
  <c r="P317" i="1" s="1"/>
  <c r="O318" i="1" s="1"/>
  <c r="P318" i="1" s="1"/>
  <c r="Q318" i="1" s="1"/>
  <c r="S339" i="1"/>
  <c r="V330" i="1"/>
  <c r="W330" i="1" s="1"/>
  <c r="U331" i="1" s="1"/>
  <c r="AG749" i="1"/>
  <c r="AG750" i="1" s="1"/>
  <c r="AH749" i="1"/>
  <c r="AB747" i="1"/>
  <c r="Q748" i="1"/>
  <c r="W748" i="1"/>
  <c r="T748" i="1"/>
  <c r="N749" i="1"/>
  <c r="AI750" i="1" s="1"/>
  <c r="Y316" i="1" l="1"/>
  <c r="Y317" i="1" s="1"/>
  <c r="Y318" i="1" s="1"/>
  <c r="AB316" i="1"/>
  <c r="T339" i="1"/>
  <c r="R340" i="1" s="1"/>
  <c r="S340" i="1" s="1"/>
  <c r="V331" i="1"/>
  <c r="W331" i="1" s="1"/>
  <c r="O319" i="1"/>
  <c r="P319" i="1" s="1"/>
  <c r="Q319" i="1" s="1"/>
  <c r="AB319" i="1" s="1"/>
  <c r="AB318" i="1"/>
  <c r="AH750" i="1"/>
  <c r="AH751" i="1" s="1"/>
  <c r="Q749" i="1"/>
  <c r="W749" i="1"/>
  <c r="T749" i="1"/>
  <c r="N750" i="1"/>
  <c r="AB748" i="1"/>
  <c r="T340" i="1" l="1"/>
  <c r="R341" i="1" s="1"/>
  <c r="U332" i="1"/>
  <c r="Y319" i="1"/>
  <c r="O320" i="1"/>
  <c r="AG751" i="1"/>
  <c r="AI751" i="1"/>
  <c r="T750" i="1"/>
  <c r="Q750" i="1"/>
  <c r="W750" i="1"/>
  <c r="N751" i="1"/>
  <c r="AH752" i="1" s="1"/>
  <c r="AB749" i="1"/>
  <c r="S341" i="1" l="1"/>
  <c r="T341" i="1" s="1"/>
  <c r="R342" i="1" s="1"/>
  <c r="P320" i="1"/>
  <c r="Q320" i="1" s="1"/>
  <c r="V332" i="1"/>
  <c r="W332" i="1" s="1"/>
  <c r="AG752" i="1"/>
  <c r="AI752" i="1"/>
  <c r="AB750" i="1"/>
  <c r="Q751" i="1"/>
  <c r="T751" i="1"/>
  <c r="W751" i="1"/>
  <c r="N752" i="1"/>
  <c r="S342" i="1" l="1"/>
  <c r="AB320" i="1"/>
  <c r="O321" i="1"/>
  <c r="Y320" i="1"/>
  <c r="U333" i="1"/>
  <c r="Q752" i="1"/>
  <c r="T752" i="1"/>
  <c r="W752" i="1"/>
  <c r="AB751" i="1"/>
  <c r="T342" i="1" l="1"/>
  <c r="R343" i="1" s="1"/>
  <c r="P321" i="1"/>
  <c r="Q321" i="1" s="1"/>
  <c r="V333" i="1"/>
  <c r="W333" i="1" s="1"/>
  <c r="AB752" i="1"/>
  <c r="S343" i="1" l="1"/>
  <c r="O322" i="1"/>
  <c r="P322" i="1" s="1"/>
  <c r="Q322" i="1" s="1"/>
  <c r="AB322" i="1" s="1"/>
  <c r="Y321" i="1"/>
  <c r="AB321" i="1"/>
  <c r="U334" i="1"/>
  <c r="T343" i="1" l="1"/>
  <c r="R344" i="1" s="1"/>
  <c r="S344" i="1" s="1"/>
  <c r="O323" i="1"/>
  <c r="Y322" i="1"/>
  <c r="V334" i="1"/>
  <c r="W334" i="1" s="1"/>
  <c r="T344" i="1" l="1"/>
  <c r="R345" i="1" s="1"/>
  <c r="S345" i="1" s="1"/>
  <c r="T345" i="1" s="1"/>
  <c r="R346" i="1" s="1"/>
  <c r="P323" i="1"/>
  <c r="Q323" i="1" s="1"/>
  <c r="U335" i="1"/>
  <c r="V335" i="1" s="1"/>
  <c r="W335" i="1" s="1"/>
  <c r="S346" i="1" l="1"/>
  <c r="Y323" i="1"/>
  <c r="AB323" i="1"/>
  <c r="O324" i="1"/>
  <c r="U336" i="1"/>
  <c r="T346" i="1" l="1"/>
  <c r="R347" i="1" s="1"/>
  <c r="S347" i="1" s="1"/>
  <c r="P324" i="1"/>
  <c r="Q324" i="1" s="1"/>
  <c r="V336" i="1"/>
  <c r="W336" i="1" s="1"/>
  <c r="T347" i="1" l="1"/>
  <c r="R348" i="1" s="1"/>
  <c r="Y324" i="1"/>
  <c r="AB324" i="1"/>
  <c r="O325" i="1"/>
  <c r="P325" i="1" s="1"/>
  <c r="Q325" i="1" s="1"/>
  <c r="AB325" i="1" s="1"/>
  <c r="U337" i="1"/>
  <c r="S348" i="1" l="1"/>
  <c r="Y325" i="1"/>
  <c r="O326" i="1"/>
  <c r="V337" i="1"/>
  <c r="W337" i="1" s="1"/>
  <c r="T348" i="1" l="1"/>
  <c r="R349" i="1" s="1"/>
  <c r="S349" i="1" s="1"/>
  <c r="P326" i="1"/>
  <c r="Q326" i="1" s="1"/>
  <c r="U338" i="1"/>
  <c r="V338" i="1" s="1"/>
  <c r="W338" i="1" s="1"/>
  <c r="T349" i="1" l="1"/>
  <c r="R350" i="1" s="1"/>
  <c r="Y326" i="1"/>
  <c r="AB326" i="1"/>
  <c r="O327" i="1"/>
  <c r="P327" i="1" s="1"/>
  <c r="Q327" i="1" s="1"/>
  <c r="AB327" i="1" s="1"/>
  <c r="U339" i="1"/>
  <c r="S350" i="1" l="1"/>
  <c r="V339" i="1"/>
  <c r="W339" i="1" s="1"/>
  <c r="O328" i="1"/>
  <c r="Y327" i="1"/>
  <c r="T350" i="1" l="1"/>
  <c r="R351" i="1" s="1"/>
  <c r="U340" i="1"/>
  <c r="V340" i="1" s="1"/>
  <c r="W340" i="1" s="1"/>
  <c r="P328" i="1"/>
  <c r="Q328" i="1" s="1"/>
  <c r="S351" i="1" l="1"/>
  <c r="U341" i="1"/>
  <c r="AB328" i="1"/>
  <c r="O329" i="1"/>
  <c r="P329" i="1" s="1"/>
  <c r="Q329" i="1" s="1"/>
  <c r="Y328" i="1"/>
  <c r="T351" i="1" l="1"/>
  <c r="R352" i="1" s="1"/>
  <c r="S352" i="1" s="1"/>
  <c r="Y329" i="1"/>
  <c r="AB329" i="1"/>
  <c r="O330" i="1"/>
  <c r="P330" i="1" s="1"/>
  <c r="Q330" i="1" s="1"/>
  <c r="V341" i="1"/>
  <c r="W341" i="1" s="1"/>
  <c r="Q337" i="1"/>
  <c r="AB337" i="1" s="1"/>
  <c r="T352" i="1" l="1"/>
  <c r="R353" i="1" s="1"/>
  <c r="S353" i="1" s="1"/>
  <c r="U342" i="1"/>
  <c r="Y330" i="1"/>
  <c r="AB330" i="1"/>
  <c r="O331" i="1"/>
  <c r="T353" i="1" l="1"/>
  <c r="R354" i="1" s="1"/>
  <c r="P331" i="1"/>
  <c r="Q331" i="1" s="1"/>
  <c r="V342" i="1"/>
  <c r="W342" i="1" s="1"/>
  <c r="S354" i="1" l="1"/>
  <c r="Y331" i="1"/>
  <c r="AB331" i="1"/>
  <c r="O332" i="1"/>
  <c r="U343" i="1"/>
  <c r="Q338" i="1"/>
  <c r="T354" i="1" l="1"/>
  <c r="R355" i="1" s="1"/>
  <c r="P332" i="1"/>
  <c r="Q332" i="1" s="1"/>
  <c r="V343" i="1"/>
  <c r="W343" i="1" s="1"/>
  <c r="AB338" i="1"/>
  <c r="S355" i="1" l="1"/>
  <c r="O333" i="1"/>
  <c r="AB332" i="1"/>
  <c r="Y332" i="1"/>
  <c r="U344" i="1"/>
  <c r="T355" i="1" l="1"/>
  <c r="R356" i="1" s="1"/>
  <c r="P333" i="1"/>
  <c r="V344" i="1"/>
  <c r="S356" i="1" l="1"/>
  <c r="T356" i="1" s="1"/>
  <c r="R357" i="1" s="1"/>
  <c r="S357" i="1" s="1"/>
  <c r="T357" i="1"/>
  <c r="Q333" i="1"/>
  <c r="O334" i="1" s="1"/>
  <c r="P334" i="1" s="1"/>
  <c r="Q334" i="1" s="1"/>
  <c r="AB334" i="1" s="1"/>
  <c r="W344" i="1"/>
  <c r="U345" i="1" s="1"/>
  <c r="V345" i="1" s="1"/>
  <c r="W345" i="1" s="1"/>
  <c r="Q340" i="1"/>
  <c r="R358" i="1" l="1"/>
  <c r="S358" i="1" s="1"/>
  <c r="Y333" i="1"/>
  <c r="Y334" i="1" s="1"/>
  <c r="AB333" i="1"/>
  <c r="O335" i="1"/>
  <c r="U346" i="1"/>
  <c r="AB340" i="1"/>
  <c r="T358" i="1" l="1"/>
  <c r="R359" i="1" s="1"/>
  <c r="P335" i="1"/>
  <c r="Q335" i="1" s="1"/>
  <c r="V346" i="1"/>
  <c r="W346" i="1" s="1"/>
  <c r="U347" i="1" s="1"/>
  <c r="S359" i="1" l="1"/>
  <c r="Y335" i="1"/>
  <c r="AB335" i="1"/>
  <c r="O336" i="1"/>
  <c r="P336" i="1" s="1"/>
  <c r="Q336" i="1" s="1"/>
  <c r="AB336" i="1" s="1"/>
  <c r="V347" i="1"/>
  <c r="W347" i="1" s="1"/>
  <c r="T359" i="1" l="1"/>
  <c r="R360" i="1" s="1"/>
  <c r="Y336" i="1"/>
  <c r="Y337" i="1" s="1"/>
  <c r="Y338" i="1" s="1"/>
  <c r="O337" i="1"/>
  <c r="U348" i="1"/>
  <c r="V348" i="1" s="1"/>
  <c r="W348" i="1" s="1"/>
  <c r="Q342" i="1"/>
  <c r="S360" i="1" l="1"/>
  <c r="P337" i="1"/>
  <c r="U349" i="1"/>
  <c r="AB342" i="1"/>
  <c r="T360" i="1" l="1"/>
  <c r="R361" i="1" s="1"/>
  <c r="V349" i="1"/>
  <c r="W349" i="1" s="1"/>
  <c r="O338" i="1"/>
  <c r="Q343" i="1"/>
  <c r="AB343" i="1" s="1"/>
  <c r="S361" i="1" l="1"/>
  <c r="U350" i="1"/>
  <c r="P338" i="1"/>
  <c r="O339" i="1" s="1"/>
  <c r="P339" i="1" s="1"/>
  <c r="Q339" i="1" s="1"/>
  <c r="T361" i="1" l="1"/>
  <c r="R362" i="1" s="1"/>
  <c r="V350" i="1"/>
  <c r="W350" i="1" s="1"/>
  <c r="O340" i="1"/>
  <c r="Y339" i="1"/>
  <c r="Y340" i="1" s="1"/>
  <c r="AB339" i="1"/>
  <c r="S362" i="1" l="1"/>
  <c r="U351" i="1"/>
  <c r="P340" i="1"/>
  <c r="T362" i="1" l="1"/>
  <c r="R363" i="1" s="1"/>
  <c r="V351" i="1"/>
  <c r="W351" i="1" s="1"/>
  <c r="O341" i="1"/>
  <c r="S363" i="1" l="1"/>
  <c r="U352" i="1"/>
  <c r="V352" i="1" s="1"/>
  <c r="W352" i="1" s="1"/>
  <c r="U353" i="1" s="1"/>
  <c r="V353" i="1" s="1"/>
  <c r="W353" i="1" s="1"/>
  <c r="P341" i="1"/>
  <c r="Q341" i="1" s="1"/>
  <c r="T363" i="1" l="1"/>
  <c r="R364" i="1" s="1"/>
  <c r="U354" i="1"/>
  <c r="O342" i="1"/>
  <c r="P342" i="1" s="1"/>
  <c r="Y341" i="1"/>
  <c r="Y342" i="1" s="1"/>
  <c r="Y343" i="1" s="1"/>
  <c r="AB341" i="1"/>
  <c r="S364" i="1" l="1"/>
  <c r="V354" i="1"/>
  <c r="W354" i="1" s="1"/>
  <c r="O343" i="1"/>
  <c r="T364" i="1" l="1"/>
  <c r="R365" i="1" s="1"/>
  <c r="U355" i="1"/>
  <c r="V355" i="1" s="1"/>
  <c r="W355" i="1" s="1"/>
  <c r="P343" i="1"/>
  <c r="S365" i="1" l="1"/>
  <c r="T365" i="1" s="1"/>
  <c r="R366" i="1" s="1"/>
  <c r="U356" i="1"/>
  <c r="O344" i="1"/>
  <c r="S366" i="1" l="1"/>
  <c r="V356" i="1"/>
  <c r="W356" i="1" s="1"/>
  <c r="P344" i="1"/>
  <c r="Q344" i="1" s="1"/>
  <c r="T366" i="1" l="1"/>
  <c r="R367" i="1" s="1"/>
  <c r="S367" i="1" s="1"/>
  <c r="U357" i="1"/>
  <c r="AB344" i="1"/>
  <c r="O345" i="1"/>
  <c r="Y344" i="1"/>
  <c r="T367" i="1" l="1"/>
  <c r="R368" i="1" s="1"/>
  <c r="S368" i="1" s="1"/>
  <c r="T368" i="1" s="1"/>
  <c r="R369" i="1" s="1"/>
  <c r="V357" i="1"/>
  <c r="W357" i="1" s="1"/>
  <c r="P345" i="1"/>
  <c r="Q345" i="1" s="1"/>
  <c r="S369" i="1" l="1"/>
  <c r="U358" i="1"/>
  <c r="AB345" i="1"/>
  <c r="O346" i="1"/>
  <c r="Y345" i="1"/>
  <c r="T369" i="1" l="1"/>
  <c r="R370" i="1" s="1"/>
  <c r="S370" i="1" s="1"/>
  <c r="V358" i="1"/>
  <c r="W358" i="1" s="1"/>
  <c r="P346" i="1"/>
  <c r="Q346" i="1" s="1"/>
  <c r="T370" i="1" l="1"/>
  <c r="R371" i="1" s="1"/>
  <c r="S371" i="1" s="1"/>
  <c r="T371" i="1" s="1"/>
  <c r="R372" i="1" s="1"/>
  <c r="S372" i="1" s="1"/>
  <c r="T372" i="1" s="1"/>
  <c r="U359" i="1"/>
  <c r="Y346" i="1"/>
  <c r="AB346" i="1"/>
  <c r="O347" i="1"/>
  <c r="P347" i="1" s="1"/>
  <c r="Q347" i="1" s="1"/>
  <c r="V359" i="1" l="1"/>
  <c r="W359" i="1" s="1"/>
  <c r="R373" i="1"/>
  <c r="Y347" i="1"/>
  <c r="O348" i="1"/>
  <c r="P348" i="1" s="1"/>
  <c r="Q348" i="1" s="1"/>
  <c r="AB347" i="1"/>
  <c r="U360" i="1" l="1"/>
  <c r="V360" i="1" s="1"/>
  <c r="W360" i="1" s="1"/>
  <c r="S373" i="1"/>
  <c r="T373" i="1" s="1"/>
  <c r="R374" i="1" s="1"/>
  <c r="Y348" i="1"/>
  <c r="AB348" i="1"/>
  <c r="O349" i="1"/>
  <c r="Q353" i="1"/>
  <c r="S374" i="1" l="1"/>
  <c r="T374" i="1" s="1"/>
  <c r="P349" i="1"/>
  <c r="Q349" i="1" s="1"/>
  <c r="U361" i="1"/>
  <c r="AB353" i="1"/>
  <c r="R375" i="1" l="1"/>
  <c r="S375" i="1" s="1"/>
  <c r="T375" i="1" s="1"/>
  <c r="R376" i="1" s="1"/>
  <c r="Y349" i="1"/>
  <c r="AB349" i="1"/>
  <c r="O350" i="1"/>
  <c r="V361" i="1"/>
  <c r="W361" i="1" s="1"/>
  <c r="S376" i="1" l="1"/>
  <c r="P350" i="1"/>
  <c r="Q350" i="1" s="1"/>
  <c r="U362" i="1"/>
  <c r="T376" i="1" l="1"/>
  <c r="R377" i="1" s="1"/>
  <c r="Y350" i="1"/>
  <c r="O351" i="1"/>
  <c r="AB350" i="1"/>
  <c r="V362" i="1"/>
  <c r="W362" i="1" s="1"/>
  <c r="Q355" i="1"/>
  <c r="S377" i="1" l="1"/>
  <c r="P351" i="1"/>
  <c r="Q351" i="1" s="1"/>
  <c r="AB351" i="1" s="1"/>
  <c r="U363" i="1"/>
  <c r="AB355" i="1"/>
  <c r="T377" i="1" l="1"/>
  <c r="R378" i="1" s="1"/>
  <c r="O352" i="1"/>
  <c r="Y351" i="1"/>
  <c r="V363" i="1"/>
  <c r="W363" i="1" s="1"/>
  <c r="S378" i="1" l="1"/>
  <c r="P352" i="1"/>
  <c r="Q352" i="1" s="1"/>
  <c r="U364" i="1"/>
  <c r="T378" i="1" l="1"/>
  <c r="R379" i="1" s="1"/>
  <c r="S379" i="1" s="1"/>
  <c r="T379" i="1" s="1"/>
  <c r="O353" i="1"/>
  <c r="Y352" i="1"/>
  <c r="Y353" i="1" s="1"/>
  <c r="AB352" i="1"/>
  <c r="V364" i="1"/>
  <c r="W364" i="1" s="1"/>
  <c r="R380" i="1" l="1"/>
  <c r="P353" i="1"/>
  <c r="U365" i="1"/>
  <c r="S380" i="1" l="1"/>
  <c r="O354" i="1"/>
  <c r="V365" i="1"/>
  <c r="W365" i="1" s="1"/>
  <c r="T380" i="1" l="1"/>
  <c r="R381" i="1" s="1"/>
  <c r="P354" i="1"/>
  <c r="Q354" i="1" s="1"/>
  <c r="U366" i="1"/>
  <c r="S381" i="1" l="1"/>
  <c r="AB354" i="1"/>
  <c r="O355" i="1"/>
  <c r="P355" i="1" s="1"/>
  <c r="Y354" i="1"/>
  <c r="Y355" i="1" s="1"/>
  <c r="V366" i="1"/>
  <c r="W366" i="1" s="1"/>
  <c r="T381" i="1" l="1"/>
  <c r="R382" i="1" s="1"/>
  <c r="O356" i="1"/>
  <c r="U367" i="1"/>
  <c r="S382" i="1" l="1"/>
  <c r="P356" i="1"/>
  <c r="Q356" i="1" s="1"/>
  <c r="V367" i="1"/>
  <c r="W367" i="1" s="1"/>
  <c r="U368" i="1" s="1"/>
  <c r="T382" i="1" l="1"/>
  <c r="R383" i="1" s="1"/>
  <c r="AB356" i="1"/>
  <c r="Y356" i="1"/>
  <c r="O357" i="1"/>
  <c r="V368" i="1"/>
  <c r="W368" i="1" s="1"/>
  <c r="U369" i="1" s="1"/>
  <c r="V369" i="1" s="1"/>
  <c r="W369" i="1" s="1"/>
  <c r="S383" i="1" l="1"/>
  <c r="P357" i="1"/>
  <c r="Q357" i="1" s="1"/>
  <c r="U370" i="1"/>
  <c r="T383" i="1" l="1"/>
  <c r="R384" i="1" s="1"/>
  <c r="S384" i="1" s="1"/>
  <c r="T384" i="1" s="1"/>
  <c r="R385" i="1" s="1"/>
  <c r="AB357" i="1"/>
  <c r="Y357" i="1"/>
  <c r="O358" i="1"/>
  <c r="V370" i="1"/>
  <c r="W370" i="1" s="1"/>
  <c r="S385" i="1" l="1"/>
  <c r="P358" i="1"/>
  <c r="Q358" i="1" s="1"/>
  <c r="AB358" i="1" s="1"/>
  <c r="U371" i="1"/>
  <c r="T385" i="1" l="1"/>
  <c r="R386" i="1" s="1"/>
  <c r="O359" i="1"/>
  <c r="Y358" i="1"/>
  <c r="V371" i="1"/>
  <c r="W371" i="1" s="1"/>
  <c r="S386" i="1" l="1"/>
  <c r="P359" i="1"/>
  <c r="Q359" i="1" s="1"/>
  <c r="U372" i="1"/>
  <c r="T386" i="1" l="1"/>
  <c r="R387" i="1" s="1"/>
  <c r="T387" i="1"/>
  <c r="O360" i="1"/>
  <c r="P360" i="1" s="1"/>
  <c r="Q360" i="1" s="1"/>
  <c r="Y359" i="1"/>
  <c r="AB359" i="1"/>
  <c r="V372" i="1"/>
  <c r="W372" i="1" s="1"/>
  <c r="U373" i="1" s="1"/>
  <c r="S387" i="1" l="1"/>
  <c r="R388" i="1" s="1"/>
  <c r="AB360" i="1"/>
  <c r="O361" i="1"/>
  <c r="Y360" i="1"/>
  <c r="V373" i="1"/>
  <c r="W373" i="1" s="1"/>
  <c r="S388" i="1" l="1"/>
  <c r="P361" i="1"/>
  <c r="Q361" i="1" s="1"/>
  <c r="AB361" i="1" s="1"/>
  <c r="U374" i="1"/>
  <c r="T388" i="1" l="1"/>
  <c r="R389" i="1" s="1"/>
  <c r="Y361" i="1"/>
  <c r="O362" i="1"/>
  <c r="P362" i="1" s="1"/>
  <c r="Q362" i="1" s="1"/>
  <c r="V374" i="1"/>
  <c r="W374" i="1" s="1"/>
  <c r="S389" i="1" l="1"/>
  <c r="T389" i="1" s="1"/>
  <c r="R390" i="1" s="1"/>
  <c r="S390" i="1" s="1"/>
  <c r="T390" i="1" s="1"/>
  <c r="AB362" i="1"/>
  <c r="Y362" i="1"/>
  <c r="O363" i="1"/>
  <c r="U375" i="1"/>
  <c r="V375" i="1" s="1"/>
  <c r="W375" i="1" s="1"/>
  <c r="U376" i="1" s="1"/>
  <c r="P363" i="1" l="1"/>
  <c r="Q363" i="1" s="1"/>
  <c r="AB363" i="1" s="1"/>
  <c r="V376" i="1"/>
  <c r="W376" i="1" s="1"/>
  <c r="U377" i="1" s="1"/>
  <c r="R391" i="1"/>
  <c r="Y363" i="1" l="1"/>
  <c r="O364" i="1"/>
  <c r="P364" i="1" s="1"/>
  <c r="Q364" i="1" s="1"/>
  <c r="V377" i="1"/>
  <c r="W377" i="1" s="1"/>
  <c r="U378" i="1" s="1"/>
  <c r="S391" i="1"/>
  <c r="T391" i="1" s="1"/>
  <c r="AB364" i="1" l="1"/>
  <c r="O365" i="1"/>
  <c r="P365" i="1" s="1"/>
  <c r="Q365" i="1" s="1"/>
  <c r="AB365" i="1" s="1"/>
  <c r="Y364" i="1"/>
  <c r="V378" i="1"/>
  <c r="W378" i="1" s="1"/>
  <c r="R392" i="1"/>
  <c r="Y365" i="1" l="1"/>
  <c r="O366" i="1"/>
  <c r="U379" i="1"/>
  <c r="S392" i="1"/>
  <c r="T392" i="1" s="1"/>
  <c r="P366" i="1" l="1"/>
  <c r="Q366" i="1" s="1"/>
  <c r="V379" i="1"/>
  <c r="W379" i="1" s="1"/>
  <c r="R393" i="1"/>
  <c r="O367" i="1" l="1"/>
  <c r="Y366" i="1"/>
  <c r="AB366" i="1"/>
  <c r="U380" i="1"/>
  <c r="S393" i="1"/>
  <c r="T393" i="1" s="1"/>
  <c r="P367" i="1" l="1"/>
  <c r="Q367" i="1" s="1"/>
  <c r="AB367" i="1" s="1"/>
  <c r="V380" i="1"/>
  <c r="R394" i="1"/>
  <c r="W380" i="1" l="1"/>
  <c r="U381" i="1" s="1"/>
  <c r="V381" i="1" s="1"/>
  <c r="W381" i="1" s="1"/>
  <c r="U382" i="1" s="1"/>
  <c r="Y367" i="1"/>
  <c r="O368" i="1"/>
  <c r="S394" i="1"/>
  <c r="T394" i="1" s="1"/>
  <c r="P368" i="1" l="1"/>
  <c r="Q368" i="1" s="1"/>
  <c r="AB368" i="1" s="1"/>
  <c r="R395" i="1"/>
  <c r="V382" i="1"/>
  <c r="W382" i="1" s="1"/>
  <c r="Y368" i="1" l="1"/>
  <c r="O369" i="1"/>
  <c r="S395" i="1"/>
  <c r="T395" i="1" s="1"/>
  <c r="U383" i="1"/>
  <c r="P369" i="1" l="1"/>
  <c r="Q369" i="1" s="1"/>
  <c r="AB369" i="1" s="1"/>
  <c r="R396" i="1"/>
  <c r="S396" i="1" s="1"/>
  <c r="T396" i="1" s="1"/>
  <c r="V383" i="1"/>
  <c r="W383" i="1" s="1"/>
  <c r="Y369" i="1" l="1"/>
  <c r="O370" i="1"/>
  <c r="R397" i="1"/>
  <c r="S397" i="1" s="1"/>
  <c r="T397" i="1" s="1"/>
  <c r="U384" i="1"/>
  <c r="P370" i="1" l="1"/>
  <c r="R398" i="1"/>
  <c r="V384" i="1"/>
  <c r="W384" i="1" s="1"/>
  <c r="Q376" i="1"/>
  <c r="Q370" i="1" l="1"/>
  <c r="S398" i="1"/>
  <c r="T398" i="1" s="1"/>
  <c r="R399" i="1" s="1"/>
  <c r="U385" i="1"/>
  <c r="AB376" i="1"/>
  <c r="O371" i="1" l="1"/>
  <c r="P371" i="1" s="1"/>
  <c r="Y370" i="1"/>
  <c r="AB370" i="1"/>
  <c r="S399" i="1"/>
  <c r="T399" i="1" s="1"/>
  <c r="V385" i="1"/>
  <c r="W385" i="1" s="1"/>
  <c r="Q371" i="1" l="1"/>
  <c r="O372" i="1" s="1"/>
  <c r="R400" i="1"/>
  <c r="U386" i="1"/>
  <c r="Y371" i="1" l="1"/>
  <c r="AB371" i="1"/>
  <c r="P372" i="1"/>
  <c r="Q372" i="1" s="1"/>
  <c r="S400" i="1"/>
  <c r="T400" i="1" s="1"/>
  <c r="V386" i="1"/>
  <c r="W386" i="1" s="1"/>
  <c r="U387" i="1" s="1"/>
  <c r="Y372" i="1" l="1"/>
  <c r="AB372" i="1"/>
  <c r="O373" i="1"/>
  <c r="R401" i="1"/>
  <c r="S401" i="1" s="1"/>
  <c r="T401" i="1" s="1"/>
  <c r="V387" i="1"/>
  <c r="W387" i="1" s="1"/>
  <c r="P373" i="1" l="1"/>
  <c r="R402" i="1"/>
  <c r="S402" i="1" s="1"/>
  <c r="T402" i="1" s="1"/>
  <c r="U388" i="1"/>
  <c r="Q373" i="1" l="1"/>
  <c r="O374" i="1" s="1"/>
  <c r="P374" i="1" s="1"/>
  <c r="R403" i="1"/>
  <c r="S403" i="1" s="1"/>
  <c r="T403" i="1" s="1"/>
  <c r="V388" i="1"/>
  <c r="W388" i="1" s="1"/>
  <c r="U389" i="1" s="1"/>
  <c r="V389" i="1" s="1"/>
  <c r="W389" i="1" s="1"/>
  <c r="AB373" i="1" l="1"/>
  <c r="Y373" i="1"/>
  <c r="Q374" i="1"/>
  <c r="R404" i="1"/>
  <c r="U390" i="1"/>
  <c r="AB374" i="1" l="1"/>
  <c r="O375" i="1"/>
  <c r="P375" i="1" s="1"/>
  <c r="Q375" i="1" s="1"/>
  <c r="O376" i="1" s="1"/>
  <c r="Y374" i="1"/>
  <c r="S404" i="1"/>
  <c r="T404" i="1" s="1"/>
  <c r="V390" i="1"/>
  <c r="W390" i="1" s="1"/>
  <c r="Y375" i="1" l="1"/>
  <c r="Y376" i="1" s="1"/>
  <c r="AB375" i="1"/>
  <c r="P376" i="1"/>
  <c r="O377" i="1" s="1"/>
  <c r="R405" i="1"/>
  <c r="U391" i="1"/>
  <c r="P377" i="1" l="1"/>
  <c r="S405" i="1"/>
  <c r="T405" i="1" s="1"/>
  <c r="V391" i="1"/>
  <c r="W391" i="1" s="1"/>
  <c r="Q377" i="1" l="1"/>
  <c r="O378" i="1" s="1"/>
  <c r="R406" i="1"/>
  <c r="S406" i="1" s="1"/>
  <c r="T406" i="1" s="1"/>
  <c r="U392" i="1"/>
  <c r="AB377" i="1" l="1"/>
  <c r="Y377" i="1"/>
  <c r="P378" i="1"/>
  <c r="Q378" i="1" s="1"/>
  <c r="R407" i="1"/>
  <c r="S407" i="1" s="1"/>
  <c r="T407" i="1" s="1"/>
  <c r="V392" i="1"/>
  <c r="W392" i="1" s="1"/>
  <c r="AB378" i="1" l="1"/>
  <c r="O379" i="1"/>
  <c r="P379" i="1" s="1"/>
  <c r="Y378" i="1"/>
  <c r="U393" i="1"/>
  <c r="V393" i="1" s="1"/>
  <c r="W393" i="1" s="1"/>
  <c r="R408" i="1"/>
  <c r="Q379" i="1" l="1"/>
  <c r="O380" i="1" s="1"/>
  <c r="U394" i="1"/>
  <c r="S408" i="1"/>
  <c r="T408" i="1" s="1"/>
  <c r="P380" i="1" l="1"/>
  <c r="Y379" i="1"/>
  <c r="AB379" i="1"/>
  <c r="V394" i="1"/>
  <c r="W394" i="1" s="1"/>
  <c r="R409" i="1"/>
  <c r="S409" i="1" s="1"/>
  <c r="T409" i="1" s="1"/>
  <c r="Q380" i="1" l="1"/>
  <c r="O381" i="1" s="1"/>
  <c r="U395" i="1"/>
  <c r="V395" i="1" s="1"/>
  <c r="W395" i="1" s="1"/>
  <c r="U396" i="1" s="1"/>
  <c r="R410" i="1"/>
  <c r="Q386" i="1"/>
  <c r="AB380" i="1" l="1"/>
  <c r="Y380" i="1"/>
  <c r="P381" i="1"/>
  <c r="S410" i="1"/>
  <c r="T410" i="1" s="1"/>
  <c r="R411" i="1" s="1"/>
  <c r="V396" i="1"/>
  <c r="W396" i="1" s="1"/>
  <c r="AB386" i="1"/>
  <c r="Q381" i="1" l="1"/>
  <c r="O382" i="1" s="1"/>
  <c r="S411" i="1"/>
  <c r="T411" i="1" s="1"/>
  <c r="U397" i="1"/>
  <c r="AB381" i="1" l="1"/>
  <c r="Y381" i="1"/>
  <c r="P382" i="1"/>
  <c r="R412" i="1"/>
  <c r="S412" i="1" s="1"/>
  <c r="T412" i="1" s="1"/>
  <c r="V397" i="1"/>
  <c r="W397" i="1" s="1"/>
  <c r="Q382" i="1" l="1"/>
  <c r="Y382" i="1" s="1"/>
  <c r="R413" i="1"/>
  <c r="U398" i="1"/>
  <c r="AB382" i="1" l="1"/>
  <c r="O383" i="1"/>
  <c r="Q383" i="1"/>
  <c r="S413" i="1"/>
  <c r="T413" i="1" s="1"/>
  <c r="R414" i="1" s="1"/>
  <c r="S414" i="1" s="1"/>
  <c r="T414" i="1" s="1"/>
  <c r="V398" i="1"/>
  <c r="W398" i="1" s="1"/>
  <c r="AB383" i="1" l="1"/>
  <c r="Y383" i="1"/>
  <c r="P383" i="1"/>
  <c r="O384" i="1" s="1"/>
  <c r="Q384" i="1"/>
  <c r="R415" i="1"/>
  <c r="U399" i="1"/>
  <c r="Q389" i="1"/>
  <c r="P384" i="1" l="1"/>
  <c r="O385" i="1" s="1"/>
  <c r="AB384" i="1"/>
  <c r="Y384" i="1"/>
  <c r="S415" i="1"/>
  <c r="T415" i="1" s="1"/>
  <c r="V399" i="1"/>
  <c r="W399" i="1" s="1"/>
  <c r="AB389" i="1"/>
  <c r="P385" i="1" l="1"/>
  <c r="Q385" i="1" s="1"/>
  <c r="O386" i="1" s="1"/>
  <c r="P386" i="1" s="1"/>
  <c r="O387" i="1" s="1"/>
  <c r="R416" i="1"/>
  <c r="U400" i="1"/>
  <c r="Q390" i="1"/>
  <c r="AB390" i="1" s="1"/>
  <c r="Y385" i="1" l="1"/>
  <c r="Y386" i="1" s="1"/>
  <c r="AB385" i="1"/>
  <c r="P387" i="1"/>
  <c r="Q387" i="1" s="1"/>
  <c r="S416" i="1"/>
  <c r="T416" i="1" s="1"/>
  <c r="V400" i="1"/>
  <c r="W400" i="1" s="1"/>
  <c r="U401" i="1" s="1"/>
  <c r="O388" i="1" l="1"/>
  <c r="Y387" i="1"/>
  <c r="AB387" i="1"/>
  <c r="R417" i="1"/>
  <c r="V401" i="1"/>
  <c r="W401" i="1" s="1"/>
  <c r="U402" i="1" s="1"/>
  <c r="P388" i="1" l="1"/>
  <c r="Q388" i="1" s="1"/>
  <c r="S417" i="1"/>
  <c r="T417" i="1" s="1"/>
  <c r="V402" i="1"/>
  <c r="W402" i="1" s="1"/>
  <c r="U403" i="1" s="1"/>
  <c r="Y388" i="1" l="1"/>
  <c r="Y389" i="1" s="1"/>
  <c r="Y390" i="1" s="1"/>
  <c r="O389" i="1"/>
  <c r="AB388" i="1"/>
  <c r="R418" i="1"/>
  <c r="S418" i="1" s="1"/>
  <c r="T418" i="1" s="1"/>
  <c r="V403" i="1"/>
  <c r="W403" i="1" s="1"/>
  <c r="P389" i="1" l="1"/>
  <c r="R419" i="1"/>
  <c r="U404" i="1"/>
  <c r="O390" i="1" l="1"/>
  <c r="S419" i="1"/>
  <c r="T419" i="1" s="1"/>
  <c r="V404" i="1"/>
  <c r="W404" i="1" s="1"/>
  <c r="P390" i="1" l="1"/>
  <c r="O391" i="1" s="1"/>
  <c r="R420" i="1"/>
  <c r="S420" i="1" s="1"/>
  <c r="T420" i="1" s="1"/>
  <c r="U405" i="1"/>
  <c r="P391" i="1" l="1"/>
  <c r="Q391" i="1" s="1"/>
  <c r="V405" i="1"/>
  <c r="W405" i="1" s="1"/>
  <c r="U406" i="1" s="1"/>
  <c r="V406" i="1" s="1"/>
  <c r="W406" i="1" s="1"/>
  <c r="R421" i="1"/>
  <c r="O392" i="1" l="1"/>
  <c r="Y391" i="1"/>
  <c r="AB391" i="1"/>
  <c r="U407" i="1"/>
  <c r="S421" i="1"/>
  <c r="T421" i="1" s="1"/>
  <c r="P392" i="1" l="1"/>
  <c r="Q392" i="1" s="1"/>
  <c r="AB392" i="1" s="1"/>
  <c r="V407" i="1"/>
  <c r="W407" i="1" s="1"/>
  <c r="R422" i="1"/>
  <c r="Y392" i="1" l="1"/>
  <c r="O393" i="1"/>
  <c r="U408" i="1"/>
  <c r="S422" i="1"/>
  <c r="T422" i="1" s="1"/>
  <c r="P393" i="1" l="1"/>
  <c r="Q393" i="1" s="1"/>
  <c r="V408" i="1"/>
  <c r="W408" i="1" s="1"/>
  <c r="R423" i="1"/>
  <c r="O394" i="1" l="1"/>
  <c r="AB393" i="1"/>
  <c r="Y393" i="1"/>
  <c r="U409" i="1"/>
  <c r="S423" i="1"/>
  <c r="T423" i="1" s="1"/>
  <c r="P394" i="1" l="1"/>
  <c r="Q394" i="1" s="1"/>
  <c r="AB394" i="1" s="1"/>
  <c r="V409" i="1"/>
  <c r="W409" i="1" s="1"/>
  <c r="R424" i="1"/>
  <c r="S424" i="1" s="1"/>
  <c r="T424" i="1" s="1"/>
  <c r="Q398" i="1"/>
  <c r="Y394" i="1" l="1"/>
  <c r="O395" i="1"/>
  <c r="U410" i="1"/>
  <c r="R425" i="1"/>
  <c r="AB398" i="1"/>
  <c r="P395" i="1" l="1"/>
  <c r="Q395" i="1" s="1"/>
  <c r="V410" i="1"/>
  <c r="W410" i="1" s="1"/>
  <c r="S425" i="1"/>
  <c r="T425" i="1" s="1"/>
  <c r="O396" i="1" l="1"/>
  <c r="P396" i="1" s="1"/>
  <c r="Q396" i="1" s="1"/>
  <c r="AB396" i="1" s="1"/>
  <c r="Y395" i="1"/>
  <c r="AB395" i="1"/>
  <c r="U411" i="1"/>
  <c r="R426" i="1"/>
  <c r="O397" i="1" l="1"/>
  <c r="Y396" i="1"/>
  <c r="V411" i="1"/>
  <c r="W411" i="1" s="1"/>
  <c r="U412" i="1" s="1"/>
  <c r="V412" i="1" s="1"/>
  <c r="W412" i="1" s="1"/>
  <c r="S426" i="1"/>
  <c r="T426" i="1" s="1"/>
  <c r="P397" i="1" l="1"/>
  <c r="Q397" i="1" s="1"/>
  <c r="U413" i="1"/>
  <c r="R427" i="1"/>
  <c r="Y397" i="1" l="1"/>
  <c r="Y398" i="1" s="1"/>
  <c r="AB397" i="1"/>
  <c r="O398" i="1"/>
  <c r="V413" i="1"/>
  <c r="W413" i="1" s="1"/>
  <c r="S427" i="1"/>
  <c r="T427" i="1" s="1"/>
  <c r="P398" i="1" l="1"/>
  <c r="O399" i="1" s="1"/>
  <c r="U414" i="1"/>
  <c r="R428" i="1"/>
  <c r="S428" i="1" s="1"/>
  <c r="T428" i="1" s="1"/>
  <c r="V414" i="1" l="1"/>
  <c r="W414" i="1" s="1"/>
  <c r="P399" i="1"/>
  <c r="Q399" i="1" s="1"/>
  <c r="R429" i="1"/>
  <c r="U415" i="1" l="1"/>
  <c r="O400" i="1"/>
  <c r="Y399" i="1"/>
  <c r="AB399" i="1"/>
  <c r="S429" i="1"/>
  <c r="T429" i="1" s="1"/>
  <c r="Q403" i="1"/>
  <c r="AB403" i="1" s="1"/>
  <c r="V415" i="1" l="1"/>
  <c r="W415" i="1" s="1"/>
  <c r="P400" i="1"/>
  <c r="Q400" i="1" s="1"/>
  <c r="R430" i="1"/>
  <c r="U416" i="1" l="1"/>
  <c r="O401" i="1"/>
  <c r="Y400" i="1"/>
  <c r="AB400" i="1"/>
  <c r="S430" i="1"/>
  <c r="T430" i="1" s="1"/>
  <c r="P401" i="1" l="1"/>
  <c r="Q401" i="1" s="1"/>
  <c r="V416" i="1"/>
  <c r="W416" i="1" s="1"/>
  <c r="R431" i="1"/>
  <c r="O402" i="1" l="1"/>
  <c r="Y401" i="1"/>
  <c r="AB401" i="1"/>
  <c r="U417" i="1"/>
  <c r="V417" i="1" s="1"/>
  <c r="W417" i="1" s="1"/>
  <c r="S431" i="1"/>
  <c r="T431" i="1" s="1"/>
  <c r="P402" i="1" l="1"/>
  <c r="Q402" i="1" s="1"/>
  <c r="AB402" i="1" s="1"/>
  <c r="R432" i="1"/>
  <c r="U418" i="1"/>
  <c r="Y402" i="1" l="1"/>
  <c r="Y403" i="1" s="1"/>
  <c r="O403" i="1"/>
  <c r="P403" i="1" s="1"/>
  <c r="S432" i="1"/>
  <c r="T432" i="1" s="1"/>
  <c r="V418" i="1"/>
  <c r="W418" i="1" s="1"/>
  <c r="O404" i="1" l="1"/>
  <c r="P404" i="1" s="1"/>
  <c r="Q404" i="1" s="1"/>
  <c r="AB404" i="1" s="1"/>
  <c r="R433" i="1"/>
  <c r="U419" i="1"/>
  <c r="V419" i="1" s="1"/>
  <c r="W419" i="1" s="1"/>
  <c r="Y404" i="1" l="1"/>
  <c r="O405" i="1"/>
  <c r="S433" i="1"/>
  <c r="T433" i="1" s="1"/>
  <c r="U420" i="1"/>
  <c r="Q408" i="1"/>
  <c r="P405" i="1" l="1"/>
  <c r="Q405" i="1" s="1"/>
  <c r="AB405" i="1" s="1"/>
  <c r="R434" i="1"/>
  <c r="S434" i="1" s="1"/>
  <c r="T434" i="1" s="1"/>
  <c r="V420" i="1"/>
  <c r="W420" i="1" s="1"/>
  <c r="AB408" i="1"/>
  <c r="Y405" i="1" l="1"/>
  <c r="O406" i="1"/>
  <c r="P406" i="1" s="1"/>
  <c r="Q406" i="1" s="1"/>
  <c r="AB406" i="1" s="1"/>
  <c r="R435" i="1"/>
  <c r="S435" i="1" s="1"/>
  <c r="T435" i="1" s="1"/>
  <c r="U421" i="1"/>
  <c r="V421" i="1" s="1"/>
  <c r="W421" i="1" s="1"/>
  <c r="Y406" i="1" l="1"/>
  <c r="O407" i="1"/>
  <c r="P407" i="1" s="1"/>
  <c r="Q407" i="1" s="1"/>
  <c r="AB407" i="1" s="1"/>
  <c r="R436" i="1"/>
  <c r="U422" i="1"/>
  <c r="Y407" i="1" l="1"/>
  <c r="O408" i="1"/>
  <c r="P408" i="1" s="1"/>
  <c r="S436" i="1"/>
  <c r="T436" i="1" s="1"/>
  <c r="V422" i="1"/>
  <c r="W422" i="1" s="1"/>
  <c r="O409" i="1" l="1"/>
  <c r="P409" i="1" s="1"/>
  <c r="Q409" i="1" s="1"/>
  <c r="AB409" i="1" s="1"/>
  <c r="Y408" i="1"/>
  <c r="R437" i="1"/>
  <c r="S437" i="1" s="1"/>
  <c r="T437" i="1" s="1"/>
  <c r="U423" i="1"/>
  <c r="Y409" i="1" l="1"/>
  <c r="O410" i="1"/>
  <c r="P410" i="1" s="1"/>
  <c r="Q410" i="1" s="1"/>
  <c r="AB410" i="1" s="1"/>
  <c r="R438" i="1"/>
  <c r="V423" i="1"/>
  <c r="W423" i="1" s="1"/>
  <c r="O411" i="1" l="1"/>
  <c r="Y410" i="1"/>
  <c r="S438" i="1"/>
  <c r="T438" i="1" s="1"/>
  <c r="U424" i="1"/>
  <c r="P411" i="1" l="1"/>
  <c r="Q411" i="1" s="1"/>
  <c r="AB411" i="1" s="1"/>
  <c r="R439" i="1"/>
  <c r="S439" i="1" s="1"/>
  <c r="T439" i="1" s="1"/>
  <c r="V424" i="1"/>
  <c r="W424" i="1" s="1"/>
  <c r="O412" i="1" l="1"/>
  <c r="Y411" i="1"/>
  <c r="R440" i="1"/>
  <c r="S440" i="1" s="1"/>
  <c r="T440" i="1" s="1"/>
  <c r="U425" i="1"/>
  <c r="P412" i="1" l="1"/>
  <c r="Q412" i="1" s="1"/>
  <c r="AB412" i="1" s="1"/>
  <c r="R441" i="1"/>
  <c r="V425" i="1"/>
  <c r="W425" i="1" s="1"/>
  <c r="Q414" i="1"/>
  <c r="AB414" i="1" s="1"/>
  <c r="O413" i="1" l="1"/>
  <c r="Y412" i="1"/>
  <c r="S441" i="1"/>
  <c r="T441" i="1" s="1"/>
  <c r="U426" i="1"/>
  <c r="V426" i="1" s="1"/>
  <c r="W426" i="1" s="1"/>
  <c r="P413" i="1" l="1"/>
  <c r="Q413" i="1" s="1"/>
  <c r="AB413" i="1" s="1"/>
  <c r="R442" i="1"/>
  <c r="S442" i="1" s="1"/>
  <c r="T442" i="1" s="1"/>
  <c r="U427" i="1"/>
  <c r="V427" i="1" s="1"/>
  <c r="W427" i="1" s="1"/>
  <c r="Y413" i="1" l="1"/>
  <c r="Y414" i="1" s="1"/>
  <c r="O414" i="1"/>
  <c r="P414" i="1" s="1"/>
  <c r="O415" i="1" s="1"/>
  <c r="R443" i="1"/>
  <c r="S443" i="1" s="1"/>
  <c r="T443" i="1" s="1"/>
  <c r="U428" i="1"/>
  <c r="P415" i="1" l="1"/>
  <c r="Q415" i="1" s="1"/>
  <c r="AB415" i="1" s="1"/>
  <c r="R444" i="1"/>
  <c r="V428" i="1"/>
  <c r="W428" i="1" s="1"/>
  <c r="Y415" i="1" l="1"/>
  <c r="O416" i="1"/>
  <c r="S444" i="1"/>
  <c r="T444" i="1" s="1"/>
  <c r="U429" i="1"/>
  <c r="P416" i="1" l="1"/>
  <c r="Q416" i="1" s="1"/>
  <c r="AB416" i="1" s="1"/>
  <c r="R445" i="1"/>
  <c r="V429" i="1"/>
  <c r="W429" i="1" s="1"/>
  <c r="O417" i="1" l="1"/>
  <c r="Y416" i="1"/>
  <c r="S445" i="1"/>
  <c r="T445" i="1" s="1"/>
  <c r="R446" i="1" s="1"/>
  <c r="U430" i="1"/>
  <c r="P417" i="1" l="1"/>
  <c r="Q417" i="1" s="1"/>
  <c r="AB417" i="1" s="1"/>
  <c r="S446" i="1"/>
  <c r="T446" i="1" s="1"/>
  <c r="V430" i="1"/>
  <c r="W430" i="1" s="1"/>
  <c r="Y417" i="1" l="1"/>
  <c r="O418" i="1"/>
  <c r="R447" i="1"/>
  <c r="S447" i="1" s="1"/>
  <c r="T447" i="1" s="1"/>
  <c r="U431" i="1"/>
  <c r="V431" i="1" s="1"/>
  <c r="W431" i="1" s="1"/>
  <c r="P418" i="1" l="1"/>
  <c r="Q418" i="1" s="1"/>
  <c r="AB418" i="1" s="1"/>
  <c r="R448" i="1"/>
  <c r="U432" i="1"/>
  <c r="O419" i="1" l="1"/>
  <c r="Y418" i="1"/>
  <c r="S448" i="1"/>
  <c r="T448" i="1" s="1"/>
  <c r="V432" i="1"/>
  <c r="W432" i="1" s="1"/>
  <c r="P419" i="1" l="1"/>
  <c r="Q419" i="1" s="1"/>
  <c r="AB419" i="1" s="1"/>
  <c r="R449" i="1"/>
  <c r="U433" i="1"/>
  <c r="Y419" i="1" l="1"/>
  <c r="O420" i="1"/>
  <c r="S449" i="1"/>
  <c r="T449" i="1" s="1"/>
  <c r="V433" i="1"/>
  <c r="W433" i="1" s="1"/>
  <c r="P420" i="1" l="1"/>
  <c r="Q420" i="1" s="1"/>
  <c r="AB420" i="1" s="1"/>
  <c r="R450" i="1"/>
  <c r="U434" i="1"/>
  <c r="Y420" i="1" l="1"/>
  <c r="O421" i="1"/>
  <c r="S450" i="1"/>
  <c r="T450" i="1" s="1"/>
  <c r="V434" i="1"/>
  <c r="W434" i="1" s="1"/>
  <c r="Q423" i="1"/>
  <c r="AB423" i="1" s="1"/>
  <c r="P421" i="1" l="1"/>
  <c r="Q421" i="1" s="1"/>
  <c r="AB421" i="1" s="1"/>
  <c r="R451" i="1"/>
  <c r="U435" i="1"/>
  <c r="Y421" i="1" l="1"/>
  <c r="O422" i="1"/>
  <c r="S451" i="1"/>
  <c r="T451" i="1" s="1"/>
  <c r="V435" i="1"/>
  <c r="W435" i="1" s="1"/>
  <c r="P422" i="1" l="1"/>
  <c r="Q422" i="1" s="1"/>
  <c r="AB422" i="1" s="1"/>
  <c r="R452" i="1"/>
  <c r="U436" i="1"/>
  <c r="Q424" i="1"/>
  <c r="Y422" i="1" l="1"/>
  <c r="O423" i="1"/>
  <c r="S452" i="1"/>
  <c r="T452" i="1" s="1"/>
  <c r="R453" i="1" s="1"/>
  <c r="V436" i="1"/>
  <c r="W436" i="1" s="1"/>
  <c r="AB424" i="1"/>
  <c r="Y423" i="1" l="1"/>
  <c r="P423" i="1"/>
  <c r="O424" i="1" s="1"/>
  <c r="S453" i="1"/>
  <c r="T453" i="1" s="1"/>
  <c r="U437" i="1"/>
  <c r="V437" i="1" s="1"/>
  <c r="W437" i="1" s="1"/>
  <c r="Y424" i="1" l="1"/>
  <c r="R454" i="1"/>
  <c r="S454" i="1" s="1"/>
  <c r="T454" i="1" s="1"/>
  <c r="P424" i="1"/>
  <c r="U438" i="1"/>
  <c r="R455" i="1" l="1"/>
  <c r="O425" i="1"/>
  <c r="V438" i="1"/>
  <c r="W438" i="1" s="1"/>
  <c r="P425" i="1" l="1"/>
  <c r="Q425" i="1" s="1"/>
  <c r="AB425" i="1" s="1"/>
  <c r="S455" i="1"/>
  <c r="T455" i="1" s="1"/>
  <c r="U439" i="1"/>
  <c r="V439" i="1" s="1"/>
  <c r="W439" i="1" s="1"/>
  <c r="U440" i="1" l="1"/>
  <c r="O426" i="1"/>
  <c r="Y425" i="1"/>
  <c r="R456" i="1"/>
  <c r="P426" i="1" l="1"/>
  <c r="Q426" i="1" s="1"/>
  <c r="AB426" i="1" s="1"/>
  <c r="V440" i="1"/>
  <c r="W440" i="1" s="1"/>
  <c r="U441" i="1" s="1"/>
  <c r="V441" i="1" s="1"/>
  <c r="W441" i="1" s="1"/>
  <c r="S456" i="1"/>
  <c r="T456" i="1" s="1"/>
  <c r="Q428" i="1"/>
  <c r="AB428" i="1" s="1"/>
  <c r="O427" i="1" l="1"/>
  <c r="Y426" i="1"/>
  <c r="R457" i="1"/>
  <c r="S457" i="1" s="1"/>
  <c r="T457" i="1" s="1"/>
  <c r="U442" i="1"/>
  <c r="P427" i="1" l="1"/>
  <c r="Q427" i="1" s="1"/>
  <c r="AB427" i="1" s="1"/>
  <c r="R458" i="1"/>
  <c r="V442" i="1"/>
  <c r="W442" i="1" s="1"/>
  <c r="O428" i="1" l="1"/>
  <c r="P428" i="1" s="1"/>
  <c r="Y427" i="1"/>
  <c r="S458" i="1"/>
  <c r="T458" i="1" s="1"/>
  <c r="R459" i="1" s="1"/>
  <c r="U443" i="1"/>
  <c r="Y428" i="1" l="1"/>
  <c r="O429" i="1"/>
  <c r="V443" i="1"/>
  <c r="W443" i="1" s="1"/>
  <c r="S459" i="1"/>
  <c r="T459" i="1" s="1"/>
  <c r="P429" i="1" l="1"/>
  <c r="U444" i="1"/>
  <c r="V444" i="1" s="1"/>
  <c r="W444" i="1" s="1"/>
  <c r="U445" i="1" s="1"/>
  <c r="R460" i="1"/>
  <c r="Q429" i="1" l="1"/>
  <c r="O430" i="1" s="1"/>
  <c r="P430" i="1" s="1"/>
  <c r="Q430" i="1" s="1"/>
  <c r="V445" i="1"/>
  <c r="W445" i="1" s="1"/>
  <c r="S460" i="1"/>
  <c r="T460" i="1" s="1"/>
  <c r="R461" i="1" s="1"/>
  <c r="AB429" i="1" l="1"/>
  <c r="Y429" i="1"/>
  <c r="Y430" i="1" s="1"/>
  <c r="O431" i="1"/>
  <c r="AB430" i="1"/>
  <c r="U446" i="1"/>
  <c r="S461" i="1"/>
  <c r="T461" i="1" s="1"/>
  <c r="V446" i="1" l="1"/>
  <c r="W446" i="1" s="1"/>
  <c r="P431" i="1"/>
  <c r="Q431" i="1" s="1"/>
  <c r="AB431" i="1" s="1"/>
  <c r="R462" i="1"/>
  <c r="U447" i="1" l="1"/>
  <c r="V447" i="1" s="1"/>
  <c r="W447" i="1" s="1"/>
  <c r="Y431" i="1"/>
  <c r="O432" i="1"/>
  <c r="S462" i="1"/>
  <c r="T462" i="1" s="1"/>
  <c r="U448" i="1" l="1"/>
  <c r="P432" i="1"/>
  <c r="Q432" i="1" s="1"/>
  <c r="AB432" i="1" s="1"/>
  <c r="R463" i="1"/>
  <c r="Y432" i="1" l="1"/>
  <c r="O433" i="1"/>
  <c r="V448" i="1"/>
  <c r="W448" i="1" s="1"/>
  <c r="S463" i="1"/>
  <c r="T463" i="1" s="1"/>
  <c r="R464" i="1" s="1"/>
  <c r="U449" i="1" l="1"/>
  <c r="P433" i="1"/>
  <c r="Q433" i="1" s="1"/>
  <c r="AB433" i="1" s="1"/>
  <c r="S464" i="1"/>
  <c r="T464" i="1" s="1"/>
  <c r="V449" i="1" l="1"/>
  <c r="W449" i="1" s="1"/>
  <c r="Y433" i="1"/>
  <c r="O434" i="1"/>
  <c r="P434" i="1" s="1"/>
  <c r="Q434" i="1" s="1"/>
  <c r="AB434" i="1" s="1"/>
  <c r="R465" i="1"/>
  <c r="S465" i="1" s="1"/>
  <c r="T465" i="1" s="1"/>
  <c r="U450" i="1" l="1"/>
  <c r="O435" i="1"/>
  <c r="Y434" i="1"/>
  <c r="R466" i="1"/>
  <c r="V450" i="1" l="1"/>
  <c r="W450" i="1" s="1"/>
  <c r="P435" i="1"/>
  <c r="Q435" i="1" s="1"/>
  <c r="AB435" i="1" s="1"/>
  <c r="S466" i="1"/>
  <c r="T466" i="1" s="1"/>
  <c r="U451" i="1" l="1"/>
  <c r="V451" i="1" s="1"/>
  <c r="W451" i="1" s="1"/>
  <c r="Y435" i="1"/>
  <c r="O436" i="1"/>
  <c r="R467" i="1"/>
  <c r="S467" i="1" s="1"/>
  <c r="T467" i="1" s="1"/>
  <c r="P436" i="1" l="1"/>
  <c r="Q436" i="1" s="1"/>
  <c r="AB436" i="1" s="1"/>
  <c r="U452" i="1"/>
  <c r="V452" i="1" s="1"/>
  <c r="W452" i="1" s="1"/>
  <c r="R468" i="1"/>
  <c r="Y436" i="1" l="1"/>
  <c r="O437" i="1"/>
  <c r="S468" i="1"/>
  <c r="T468" i="1" s="1"/>
  <c r="U453" i="1"/>
  <c r="P437" i="1" l="1"/>
  <c r="Q437" i="1" s="1"/>
  <c r="AB437" i="1" s="1"/>
  <c r="R469" i="1"/>
  <c r="S469" i="1" s="1"/>
  <c r="T469" i="1" s="1"/>
  <c r="V453" i="1"/>
  <c r="W453" i="1" s="1"/>
  <c r="O438" i="1" l="1"/>
  <c r="Y437" i="1"/>
  <c r="R470" i="1"/>
  <c r="U454" i="1"/>
  <c r="P438" i="1" l="1"/>
  <c r="Q438" i="1" s="1"/>
  <c r="S470" i="1"/>
  <c r="T470" i="1" s="1"/>
  <c r="V454" i="1"/>
  <c r="W454" i="1" s="1"/>
  <c r="AB438" i="1" l="1"/>
  <c r="Y438" i="1"/>
  <c r="O439" i="1"/>
  <c r="R471" i="1"/>
  <c r="S471" i="1" s="1"/>
  <c r="T471" i="1" s="1"/>
  <c r="U455" i="1"/>
  <c r="P439" i="1" l="1"/>
  <c r="Q439" i="1" s="1"/>
  <c r="R472" i="1"/>
  <c r="S472" i="1" s="1"/>
  <c r="T472" i="1" s="1"/>
  <c r="V455" i="1"/>
  <c r="W455" i="1" s="1"/>
  <c r="AB439" i="1" l="1"/>
  <c r="O440" i="1"/>
  <c r="Y439" i="1"/>
  <c r="R473" i="1"/>
  <c r="U456" i="1"/>
  <c r="P440" i="1" l="1"/>
  <c r="S473" i="1"/>
  <c r="T473" i="1" s="1"/>
  <c r="V456" i="1"/>
  <c r="W456" i="1" s="1"/>
  <c r="Q440" i="1" l="1"/>
  <c r="O441" i="1" s="1"/>
  <c r="R474" i="1"/>
  <c r="S474" i="1" s="1"/>
  <c r="T474" i="1" s="1"/>
  <c r="R475" i="1" s="1"/>
  <c r="U457" i="1"/>
  <c r="AB440" i="1" l="1"/>
  <c r="Y440" i="1"/>
  <c r="P441" i="1"/>
  <c r="Q441" i="1" s="1"/>
  <c r="V457" i="1"/>
  <c r="W457" i="1" s="1"/>
  <c r="S475" i="1"/>
  <c r="T475" i="1" s="1"/>
  <c r="Y441" i="1" l="1"/>
  <c r="AB441" i="1"/>
  <c r="O442" i="1"/>
  <c r="U458" i="1"/>
  <c r="R476" i="1"/>
  <c r="P442" i="1" l="1"/>
  <c r="V458" i="1"/>
  <c r="W458" i="1" s="1"/>
  <c r="S476" i="1"/>
  <c r="T476" i="1" s="1"/>
  <c r="Q442" i="1" l="1"/>
  <c r="O443" i="1" s="1"/>
  <c r="P443" i="1" s="1"/>
  <c r="Q443" i="1"/>
  <c r="AB443" i="1" s="1"/>
  <c r="U459" i="1"/>
  <c r="R477" i="1"/>
  <c r="S477" i="1" s="1"/>
  <c r="T477" i="1" s="1"/>
  <c r="Q446" i="1"/>
  <c r="O444" i="1" l="1"/>
  <c r="P444" i="1" s="1"/>
  <c r="AB442" i="1"/>
  <c r="Y442" i="1"/>
  <c r="Y443" i="1" s="1"/>
  <c r="V459" i="1"/>
  <c r="W459" i="1" s="1"/>
  <c r="R478" i="1"/>
  <c r="S478" i="1" s="1"/>
  <c r="T478" i="1" s="1"/>
  <c r="AB446" i="1"/>
  <c r="Q444" i="1" l="1"/>
  <c r="O445" i="1" s="1"/>
  <c r="U460" i="1"/>
  <c r="V460" i="1" s="1"/>
  <c r="W460" i="1" s="1"/>
  <c r="U461" i="1" s="1"/>
  <c r="R479" i="1"/>
  <c r="AB444" i="1" l="1"/>
  <c r="Y444" i="1"/>
  <c r="P445" i="1"/>
  <c r="S479" i="1"/>
  <c r="T479" i="1" s="1"/>
  <c r="V461" i="1"/>
  <c r="W461" i="1" s="1"/>
  <c r="U462" i="1" s="1"/>
  <c r="Q445" i="1" l="1"/>
  <c r="R480" i="1"/>
  <c r="V462" i="1"/>
  <c r="W462" i="1" s="1"/>
  <c r="AB445" i="1" l="1"/>
  <c r="O446" i="1"/>
  <c r="P446" i="1" s="1"/>
  <c r="O447" i="1" s="1"/>
  <c r="Y445" i="1"/>
  <c r="Y446" i="1" s="1"/>
  <c r="S480" i="1"/>
  <c r="T480" i="1" s="1"/>
  <c r="U463" i="1"/>
  <c r="P447" i="1" l="1"/>
  <c r="Q447" i="1" s="1"/>
  <c r="O448" i="1" s="1"/>
  <c r="P448" i="1" s="1"/>
  <c r="Q448" i="1" s="1"/>
  <c r="AB448" i="1" s="1"/>
  <c r="R481" i="1"/>
  <c r="S481" i="1" s="1"/>
  <c r="T481" i="1" s="1"/>
  <c r="V463" i="1"/>
  <c r="W463" i="1" s="1"/>
  <c r="Y447" i="1" l="1"/>
  <c r="Y448" i="1" s="1"/>
  <c r="AB447" i="1"/>
  <c r="O449" i="1"/>
  <c r="R482" i="1"/>
  <c r="U464" i="1"/>
  <c r="P449" i="1" l="1"/>
  <c r="Q449" i="1" s="1"/>
  <c r="AB449" i="1" s="1"/>
  <c r="S482" i="1"/>
  <c r="T482" i="1" s="1"/>
  <c r="V464" i="1"/>
  <c r="W464" i="1" s="1"/>
  <c r="O450" i="1" l="1"/>
  <c r="Y449" i="1"/>
  <c r="R483" i="1"/>
  <c r="U465" i="1"/>
  <c r="P450" i="1" l="1"/>
  <c r="Q450" i="1" s="1"/>
  <c r="AB450" i="1" s="1"/>
  <c r="S483" i="1"/>
  <c r="T483" i="1" s="1"/>
  <c r="V465" i="1"/>
  <c r="W465" i="1" s="1"/>
  <c r="Y450" i="1" l="1"/>
  <c r="O451" i="1"/>
  <c r="R484" i="1"/>
  <c r="U466" i="1"/>
  <c r="V466" i="1" s="1"/>
  <c r="W466" i="1" s="1"/>
  <c r="P451" i="1" l="1"/>
  <c r="Q451" i="1" s="1"/>
  <c r="AB451" i="1" s="1"/>
  <c r="S484" i="1"/>
  <c r="T484" i="1" s="1"/>
  <c r="U467" i="1"/>
  <c r="O452" i="1" l="1"/>
  <c r="P452" i="1" s="1"/>
  <c r="Q452" i="1" s="1"/>
  <c r="AB452" i="1" s="1"/>
  <c r="Y451" i="1"/>
  <c r="R485" i="1"/>
  <c r="V467" i="1"/>
  <c r="W467" i="1" s="1"/>
  <c r="O453" i="1" l="1"/>
  <c r="P453" i="1" s="1"/>
  <c r="Q453" i="1" s="1"/>
  <c r="AB453" i="1" s="1"/>
  <c r="Y452" i="1"/>
  <c r="U468" i="1"/>
  <c r="S485" i="1"/>
  <c r="T485" i="1" s="1"/>
  <c r="O454" i="1" l="1"/>
  <c r="Y453" i="1"/>
  <c r="V468" i="1"/>
  <c r="W468" i="1" s="1"/>
  <c r="R486" i="1"/>
  <c r="P454" i="1" l="1"/>
  <c r="Q454" i="1" s="1"/>
  <c r="AB454" i="1" s="1"/>
  <c r="U469" i="1"/>
  <c r="S486" i="1"/>
  <c r="T486" i="1" s="1"/>
  <c r="O455" i="1" l="1"/>
  <c r="Y454" i="1"/>
  <c r="V469" i="1"/>
  <c r="W469" i="1" s="1"/>
  <c r="R487" i="1"/>
  <c r="P455" i="1" l="1"/>
  <c r="Q455" i="1" s="1"/>
  <c r="AB455" i="1" s="1"/>
  <c r="U470" i="1"/>
  <c r="S487" i="1"/>
  <c r="T487" i="1" s="1"/>
  <c r="Y455" i="1" l="1"/>
  <c r="O456" i="1"/>
  <c r="V470" i="1"/>
  <c r="W470" i="1" s="1"/>
  <c r="R488" i="1"/>
  <c r="P456" i="1" l="1"/>
  <c r="Q456" i="1" s="1"/>
  <c r="U471" i="1"/>
  <c r="V471" i="1" s="1"/>
  <c r="W471" i="1" s="1"/>
  <c r="S488" i="1"/>
  <c r="T488" i="1" s="1"/>
  <c r="O457" i="1" l="1"/>
  <c r="AB456" i="1"/>
  <c r="Y456" i="1"/>
  <c r="R489" i="1"/>
  <c r="S489" i="1" s="1"/>
  <c r="T489" i="1" s="1"/>
  <c r="U472" i="1"/>
  <c r="P457" i="1" l="1"/>
  <c r="Q457" i="1" s="1"/>
  <c r="R490" i="1"/>
  <c r="S490" i="1" s="1"/>
  <c r="T490" i="1" s="1"/>
  <c r="V472" i="1"/>
  <c r="W472" i="1" s="1"/>
  <c r="AB457" i="1" l="1"/>
  <c r="O458" i="1"/>
  <c r="Y457" i="1"/>
  <c r="R491" i="1"/>
  <c r="U473" i="1"/>
  <c r="P458" i="1" l="1"/>
  <c r="Q458" i="1" s="1"/>
  <c r="AB458" i="1" s="1"/>
  <c r="S491" i="1"/>
  <c r="T491" i="1" s="1"/>
  <c r="V473" i="1"/>
  <c r="W473" i="1" s="1"/>
  <c r="Y458" i="1" l="1"/>
  <c r="O459" i="1"/>
  <c r="P459" i="1" s="1"/>
  <c r="Q459" i="1" s="1"/>
  <c r="AB459" i="1" s="1"/>
  <c r="R492" i="1"/>
  <c r="S492" i="1" s="1"/>
  <c r="T492" i="1" s="1"/>
  <c r="U474" i="1"/>
  <c r="O460" i="1" l="1"/>
  <c r="Y459" i="1"/>
  <c r="V474" i="1"/>
  <c r="W474" i="1" s="1"/>
  <c r="R493" i="1"/>
  <c r="P460" i="1" l="1"/>
  <c r="Q460" i="1" s="1"/>
  <c r="AB460" i="1" s="1"/>
  <c r="U475" i="1"/>
  <c r="S493" i="1"/>
  <c r="T493" i="1" s="1"/>
  <c r="Y460" i="1" l="1"/>
  <c r="O461" i="1"/>
  <c r="V475" i="1"/>
  <c r="W475" i="1" s="1"/>
  <c r="U476" i="1" s="1"/>
  <c r="R494" i="1"/>
  <c r="S494" i="1" s="1"/>
  <c r="T494" i="1" s="1"/>
  <c r="P461" i="1" l="1"/>
  <c r="Q461" i="1" s="1"/>
  <c r="AB461" i="1" s="1"/>
  <c r="V476" i="1"/>
  <c r="W476" i="1" s="1"/>
  <c r="U477" i="1" s="1"/>
  <c r="R495" i="1"/>
  <c r="S495" i="1" s="1"/>
  <c r="T495" i="1" s="1"/>
  <c r="O462" i="1" l="1"/>
  <c r="Y461" i="1"/>
  <c r="V477" i="1"/>
  <c r="W477" i="1" s="1"/>
  <c r="R496" i="1"/>
  <c r="P462" i="1" l="1"/>
  <c r="Q462" i="1" s="1"/>
  <c r="AB462" i="1" s="1"/>
  <c r="U478" i="1"/>
  <c r="S496" i="1"/>
  <c r="T496" i="1" s="1"/>
  <c r="O463" i="1" l="1"/>
  <c r="Y462" i="1"/>
  <c r="R497" i="1"/>
  <c r="V478" i="1"/>
  <c r="W478" i="1" s="1"/>
  <c r="P463" i="1" l="1"/>
  <c r="Q463" i="1" s="1"/>
  <c r="AB463" i="1" s="1"/>
  <c r="U479" i="1"/>
  <c r="V479" i="1" s="1"/>
  <c r="W479" i="1" s="1"/>
  <c r="S497" i="1"/>
  <c r="T497" i="1" s="1"/>
  <c r="O464" i="1" l="1"/>
  <c r="P464" i="1" s="1"/>
  <c r="Q464" i="1" s="1"/>
  <c r="AB464" i="1" s="1"/>
  <c r="Y463" i="1"/>
  <c r="U480" i="1"/>
  <c r="V480" i="1" s="1"/>
  <c r="W480" i="1" s="1"/>
  <c r="R498" i="1"/>
  <c r="Q466" i="1"/>
  <c r="S498" i="1" l="1"/>
  <c r="O465" i="1"/>
  <c r="P465" i="1" s="1"/>
  <c r="Q465" i="1" s="1"/>
  <c r="AB465" i="1" s="1"/>
  <c r="Y464" i="1"/>
  <c r="U481" i="1"/>
  <c r="AB466" i="1"/>
  <c r="T498" i="1" l="1"/>
  <c r="R499" i="1" s="1"/>
  <c r="Y465" i="1"/>
  <c r="O466" i="1"/>
  <c r="V481" i="1"/>
  <c r="W481" i="1" s="1"/>
  <c r="U482" i="1" s="1"/>
  <c r="S499" i="1" l="1"/>
  <c r="P466" i="1"/>
  <c r="Y466" i="1"/>
  <c r="V482" i="1"/>
  <c r="W482" i="1" s="1"/>
  <c r="T499" i="1" l="1"/>
  <c r="R500" i="1" s="1"/>
  <c r="O467" i="1"/>
  <c r="U483" i="1"/>
  <c r="V483" i="1" s="1"/>
  <c r="W483" i="1" s="1"/>
  <c r="S500" i="1" l="1"/>
  <c r="P467" i="1"/>
  <c r="Q467" i="1" s="1"/>
  <c r="AB467" i="1" s="1"/>
  <c r="U484" i="1"/>
  <c r="T500" i="1" l="1"/>
  <c r="R501" i="1" s="1"/>
  <c r="Y467" i="1"/>
  <c r="O468" i="1"/>
  <c r="V484" i="1"/>
  <c r="W484" i="1" s="1"/>
  <c r="Q469" i="1"/>
  <c r="S501" i="1" l="1"/>
  <c r="P468" i="1"/>
  <c r="Q468" i="1" s="1"/>
  <c r="AB468" i="1" s="1"/>
  <c r="U485" i="1"/>
  <c r="AB469" i="1"/>
  <c r="T501" i="1" l="1"/>
  <c r="R502" i="1" s="1"/>
  <c r="Y468" i="1"/>
  <c r="Y469" i="1" s="1"/>
  <c r="O469" i="1"/>
  <c r="P469" i="1" s="1"/>
  <c r="V485" i="1"/>
  <c r="W485" i="1" s="1"/>
  <c r="S502" i="1" l="1"/>
  <c r="O470" i="1"/>
  <c r="P470" i="1" s="1"/>
  <c r="Q470" i="1" s="1"/>
  <c r="AB470" i="1" s="1"/>
  <c r="U486" i="1"/>
  <c r="T502" i="1" l="1"/>
  <c r="R503" i="1" s="1"/>
  <c r="V486" i="1"/>
  <c r="W486" i="1" s="1"/>
  <c r="O471" i="1"/>
  <c r="Y470" i="1"/>
  <c r="Q471" i="1"/>
  <c r="AB471" i="1" s="1"/>
  <c r="S503" i="1" l="1"/>
  <c r="U487" i="1"/>
  <c r="P471" i="1"/>
  <c r="Y471" i="1"/>
  <c r="T503" i="1" l="1"/>
  <c r="R504" i="1" s="1"/>
  <c r="V487" i="1"/>
  <c r="W487" i="1" s="1"/>
  <c r="U488" i="1" s="1"/>
  <c r="O472" i="1"/>
  <c r="S504" i="1" l="1"/>
  <c r="V488" i="1"/>
  <c r="W488" i="1" s="1"/>
  <c r="P472" i="1"/>
  <c r="Q472" i="1" s="1"/>
  <c r="AB472" i="1" s="1"/>
  <c r="T504" i="1" l="1"/>
  <c r="R505" i="1" s="1"/>
  <c r="S505" i="1" s="1"/>
  <c r="U489" i="1"/>
  <c r="V489" i="1" s="1"/>
  <c r="W489" i="1" s="1"/>
  <c r="O473" i="1"/>
  <c r="Y472" i="1"/>
  <c r="T505" i="1" l="1"/>
  <c r="R506" i="1" s="1"/>
  <c r="S506" i="1" s="1"/>
  <c r="T506" i="1" s="1"/>
  <c r="R507" i="1" s="1"/>
  <c r="U490" i="1"/>
  <c r="P473" i="1"/>
  <c r="Q473" i="1" s="1"/>
  <c r="AB473" i="1" s="1"/>
  <c r="S507" i="1" l="1"/>
  <c r="V490" i="1"/>
  <c r="W490" i="1" s="1"/>
  <c r="Y473" i="1"/>
  <c r="O474" i="1"/>
  <c r="T507" i="1" l="1"/>
  <c r="R508" i="1" s="1"/>
  <c r="U491" i="1"/>
  <c r="P474" i="1"/>
  <c r="Q474" i="1" s="1"/>
  <c r="S508" i="1" l="1"/>
  <c r="V491" i="1"/>
  <c r="W491" i="1" s="1"/>
  <c r="O475" i="1"/>
  <c r="Y474" i="1"/>
  <c r="AB474" i="1"/>
  <c r="T508" i="1" l="1"/>
  <c r="R509" i="1" s="1"/>
  <c r="U492" i="1"/>
  <c r="P475" i="1"/>
  <c r="Q475" i="1" s="1"/>
  <c r="AB475" i="1" s="1"/>
  <c r="S509" i="1" l="1"/>
  <c r="V492" i="1"/>
  <c r="W492" i="1" s="1"/>
  <c r="Y475" i="1"/>
  <c r="O476" i="1"/>
  <c r="Q477" i="1"/>
  <c r="AB477" i="1" s="1"/>
  <c r="T509" i="1" l="1"/>
  <c r="R510" i="1" s="1"/>
  <c r="U493" i="1"/>
  <c r="P476" i="1"/>
  <c r="Q476" i="1" s="1"/>
  <c r="AB476" i="1" s="1"/>
  <c r="S510" i="1" l="1"/>
  <c r="V493" i="1"/>
  <c r="W493" i="1" s="1"/>
  <c r="O477" i="1"/>
  <c r="Y476" i="1"/>
  <c r="T510" i="1" l="1"/>
  <c r="R511" i="1" s="1"/>
  <c r="U494" i="1"/>
  <c r="V494" i="1" s="1"/>
  <c r="W494" i="1" s="1"/>
  <c r="P477" i="1"/>
  <c r="Y477" i="1"/>
  <c r="S511" i="1" l="1"/>
  <c r="O478" i="1"/>
  <c r="U495" i="1"/>
  <c r="T511" i="1" l="1"/>
  <c r="R512" i="1" s="1"/>
  <c r="S512" i="1" s="1"/>
  <c r="P478" i="1"/>
  <c r="Q478" i="1" s="1"/>
  <c r="AB478" i="1" s="1"/>
  <c r="V495" i="1"/>
  <c r="W495" i="1" s="1"/>
  <c r="T512" i="1" l="1"/>
  <c r="R513" i="1" s="1"/>
  <c r="Y478" i="1"/>
  <c r="O479" i="1"/>
  <c r="P479" i="1" s="1"/>
  <c r="Q479" i="1" s="1"/>
  <c r="AB479" i="1" s="1"/>
  <c r="U496" i="1"/>
  <c r="S513" i="1" l="1"/>
  <c r="O480" i="1"/>
  <c r="Y479" i="1"/>
  <c r="V496" i="1"/>
  <c r="W496" i="1" s="1"/>
  <c r="U497" i="1" s="1"/>
  <c r="T513" i="1" l="1"/>
  <c r="R514" i="1" s="1"/>
  <c r="P480" i="1"/>
  <c r="Q480" i="1" s="1"/>
  <c r="AB480" i="1" s="1"/>
  <c r="V497" i="1"/>
  <c r="W497" i="1" s="1"/>
  <c r="S514" i="1" l="1"/>
  <c r="Y480" i="1"/>
  <c r="O481" i="1"/>
  <c r="U498" i="1"/>
  <c r="T514" i="1" l="1"/>
  <c r="R515" i="1" s="1"/>
  <c r="P481" i="1"/>
  <c r="Q481" i="1" s="1"/>
  <c r="V498" i="1"/>
  <c r="W498" i="1" s="1"/>
  <c r="S515" i="1" l="1"/>
  <c r="AB481" i="1"/>
  <c r="Y481" i="1"/>
  <c r="O482" i="1"/>
  <c r="P482" i="1" s="1"/>
  <c r="Q482" i="1" s="1"/>
  <c r="U499" i="1"/>
  <c r="T515" i="1" l="1"/>
  <c r="R516" i="1" s="1"/>
  <c r="S516" i="1" s="1"/>
  <c r="O483" i="1"/>
  <c r="P483" i="1" s="1"/>
  <c r="Q483" i="1" s="1"/>
  <c r="AB483" i="1" s="1"/>
  <c r="AB482" i="1"/>
  <c r="Y482" i="1"/>
  <c r="V499" i="1"/>
  <c r="W499" i="1" s="1"/>
  <c r="U500" i="1" s="1"/>
  <c r="V500" i="1" s="1"/>
  <c r="W500" i="1" s="1"/>
  <c r="U501" i="1" s="1"/>
  <c r="T516" i="1" l="1"/>
  <c r="R517" i="1" s="1"/>
  <c r="Y483" i="1"/>
  <c r="O484" i="1"/>
  <c r="V501" i="1"/>
  <c r="W501" i="1" s="1"/>
  <c r="U502" i="1" s="1"/>
  <c r="V502" i="1" s="1"/>
  <c r="W502" i="1" s="1"/>
  <c r="S517" i="1" l="1"/>
  <c r="T517" i="1" s="1"/>
  <c r="R518" i="1" s="1"/>
  <c r="P484" i="1"/>
  <c r="U503" i="1"/>
  <c r="S518" i="1" l="1"/>
  <c r="Q484" i="1"/>
  <c r="O485" i="1" s="1"/>
  <c r="P485" i="1" s="1"/>
  <c r="Q485" i="1" s="1"/>
  <c r="V503" i="1"/>
  <c r="W503" i="1" s="1"/>
  <c r="U504" i="1" s="1"/>
  <c r="T518" i="1" l="1"/>
  <c r="R519" i="1" s="1"/>
  <c r="AB484" i="1"/>
  <c r="Y484" i="1"/>
  <c r="Y485" i="1" s="1"/>
  <c r="V504" i="1"/>
  <c r="W504" i="1" s="1"/>
  <c r="AB485" i="1"/>
  <c r="O486" i="1"/>
  <c r="S519" i="1" l="1"/>
  <c r="U505" i="1"/>
  <c r="P486" i="1"/>
  <c r="Q486" i="1" s="1"/>
  <c r="AB486" i="1" s="1"/>
  <c r="T519" i="1" l="1"/>
  <c r="R520" i="1" s="1"/>
  <c r="V505" i="1"/>
  <c r="W505" i="1" s="1"/>
  <c r="U506" i="1" s="1"/>
  <c r="O487" i="1"/>
  <c r="P487" i="1" s="1"/>
  <c r="Q487" i="1" s="1"/>
  <c r="AB487" i="1" s="1"/>
  <c r="Y486" i="1"/>
  <c r="S520" i="1" l="1"/>
  <c r="V506" i="1"/>
  <c r="W506" i="1" s="1"/>
  <c r="Y487" i="1"/>
  <c r="O488" i="1"/>
  <c r="T520" i="1" l="1"/>
  <c r="R521" i="1" s="1"/>
  <c r="U507" i="1"/>
  <c r="P488" i="1"/>
  <c r="Q488" i="1" s="1"/>
  <c r="AB488" i="1" s="1"/>
  <c r="S521" i="1" l="1"/>
  <c r="V507" i="1"/>
  <c r="W507" i="1" s="1"/>
  <c r="O489" i="1"/>
  <c r="Y488" i="1"/>
  <c r="T521" i="1" l="1"/>
  <c r="R522" i="1" s="1"/>
  <c r="U508" i="1"/>
  <c r="P489" i="1"/>
  <c r="Q489" i="1" s="1"/>
  <c r="AB489" i="1" s="1"/>
  <c r="S522" i="1" l="1"/>
  <c r="V508" i="1"/>
  <c r="W508" i="1" s="1"/>
  <c r="Y489" i="1"/>
  <c r="O490" i="1"/>
  <c r="Q490" i="1"/>
  <c r="T522" i="1" l="1"/>
  <c r="R523" i="1" s="1"/>
  <c r="S523" i="1" s="1"/>
  <c r="T523" i="1" s="1"/>
  <c r="R524" i="1" s="1"/>
  <c r="U509" i="1"/>
  <c r="P490" i="1"/>
  <c r="Y490" i="1"/>
  <c r="AB490" i="1"/>
  <c r="S524" i="1" l="1"/>
  <c r="V509" i="1"/>
  <c r="W509" i="1" s="1"/>
  <c r="O491" i="1"/>
  <c r="T524" i="1" l="1"/>
  <c r="R525" i="1" s="1"/>
  <c r="U510" i="1"/>
  <c r="V510" i="1" s="1"/>
  <c r="W510" i="1" s="1"/>
  <c r="P491" i="1"/>
  <c r="Q491" i="1" s="1"/>
  <c r="AB491" i="1" s="1"/>
  <c r="S525" i="1" l="1"/>
  <c r="U511" i="1"/>
  <c r="V511" i="1" s="1"/>
  <c r="W511" i="1" s="1"/>
  <c r="Y491" i="1"/>
  <c r="O492" i="1"/>
  <c r="T525" i="1" l="1"/>
  <c r="R526" i="1" s="1"/>
  <c r="P492" i="1"/>
  <c r="Q492" i="1" s="1"/>
  <c r="AB492" i="1" s="1"/>
  <c r="U512" i="1"/>
  <c r="S526" i="1" l="1"/>
  <c r="Y492" i="1"/>
  <c r="O493" i="1"/>
  <c r="V512" i="1"/>
  <c r="W512" i="1" s="1"/>
  <c r="T526" i="1" l="1"/>
  <c r="R527" i="1" s="1"/>
  <c r="S527" i="1" s="1"/>
  <c r="T527" i="1" s="1"/>
  <c r="R528" i="1" s="1"/>
  <c r="P493" i="1"/>
  <c r="Q493" i="1" s="1"/>
  <c r="AB493" i="1" s="1"/>
  <c r="U513" i="1"/>
  <c r="S528" i="1" l="1"/>
  <c r="Y493" i="1"/>
  <c r="O494" i="1"/>
  <c r="V513" i="1"/>
  <c r="W513" i="1" s="1"/>
  <c r="U514" i="1" s="1"/>
  <c r="Q495" i="1"/>
  <c r="AB495" i="1" s="1"/>
  <c r="T528" i="1" l="1"/>
  <c r="R529" i="1" s="1"/>
  <c r="P494" i="1"/>
  <c r="Q494" i="1" s="1"/>
  <c r="AB494" i="1" s="1"/>
  <c r="V514" i="1"/>
  <c r="W514" i="1" s="1"/>
  <c r="S529" i="1" l="1"/>
  <c r="Y494" i="1"/>
  <c r="O495" i="1"/>
  <c r="U515" i="1"/>
  <c r="T529" i="1" l="1"/>
  <c r="R530" i="1" s="1"/>
  <c r="T530" i="1"/>
  <c r="P495" i="1"/>
  <c r="Y495" i="1"/>
  <c r="V515" i="1"/>
  <c r="W515" i="1" s="1"/>
  <c r="S530" i="1" l="1"/>
  <c r="R531" i="1" s="1"/>
  <c r="S531" i="1" s="1"/>
  <c r="O496" i="1"/>
  <c r="U516" i="1"/>
  <c r="Q497" i="1"/>
  <c r="T531" i="1" l="1"/>
  <c r="R532" i="1" s="1"/>
  <c r="P496" i="1"/>
  <c r="Q496" i="1" s="1"/>
  <c r="AB496" i="1" s="1"/>
  <c r="V516" i="1"/>
  <c r="W516" i="1" s="1"/>
  <c r="AB497" i="1"/>
  <c r="S532" i="1" l="1"/>
  <c r="O497" i="1"/>
  <c r="Y496" i="1"/>
  <c r="U517" i="1"/>
  <c r="T532" i="1" l="1"/>
  <c r="R533" i="1" s="1"/>
  <c r="Y497" i="1"/>
  <c r="P497" i="1"/>
  <c r="V517" i="1"/>
  <c r="W517" i="1" s="1"/>
  <c r="Q498" i="1"/>
  <c r="S533" i="1" l="1"/>
  <c r="O498" i="1"/>
  <c r="U518" i="1"/>
  <c r="V518" i="1" s="1"/>
  <c r="W518" i="1" s="1"/>
  <c r="U519" i="1" s="1"/>
  <c r="Y498" i="1"/>
  <c r="AB498" i="1"/>
  <c r="T533" i="1" l="1"/>
  <c r="R534" i="1" s="1"/>
  <c r="P498" i="1"/>
  <c r="V519" i="1"/>
  <c r="W519" i="1" s="1"/>
  <c r="S534" i="1" l="1"/>
  <c r="O499" i="1"/>
  <c r="U520" i="1"/>
  <c r="T534" i="1" l="1"/>
  <c r="R535" i="1" s="1"/>
  <c r="S535" i="1" s="1"/>
  <c r="T535" i="1" s="1"/>
  <c r="R536" i="1" s="1"/>
  <c r="P499" i="1"/>
  <c r="Q499" i="1" s="1"/>
  <c r="AB499" i="1" s="1"/>
  <c r="V520" i="1"/>
  <c r="W520" i="1" s="1"/>
  <c r="U521" i="1" s="1"/>
  <c r="V521" i="1" s="1"/>
  <c r="W521" i="1" s="1"/>
  <c r="S536" i="1" l="1"/>
  <c r="O500" i="1"/>
  <c r="Y499" i="1"/>
  <c r="U522" i="1"/>
  <c r="T536" i="1" l="1"/>
  <c r="R537" i="1" s="1"/>
  <c r="S537" i="1" s="1"/>
  <c r="T537" i="1"/>
  <c r="P500" i="1"/>
  <c r="Q500" i="1" s="1"/>
  <c r="AB500" i="1" s="1"/>
  <c r="V522" i="1"/>
  <c r="W522" i="1" s="1"/>
  <c r="U523" i="1" s="1"/>
  <c r="V523" i="1" s="1"/>
  <c r="W523" i="1" s="1"/>
  <c r="R538" i="1" l="1"/>
  <c r="S538" i="1" s="1"/>
  <c r="Y500" i="1"/>
  <c r="O501" i="1"/>
  <c r="P501" i="1" s="1"/>
  <c r="Q501" i="1" s="1"/>
  <c r="U524" i="1"/>
  <c r="T538" i="1" l="1"/>
  <c r="R539" i="1" s="1"/>
  <c r="S539" i="1" s="1"/>
  <c r="T539" i="1" s="1"/>
  <c r="R540" i="1" s="1"/>
  <c r="Y501" i="1"/>
  <c r="AB501" i="1"/>
  <c r="O502" i="1"/>
  <c r="V524" i="1"/>
  <c r="W524" i="1" s="1"/>
  <c r="S540" i="1" l="1"/>
  <c r="P502" i="1"/>
  <c r="Q502" i="1" s="1"/>
  <c r="U525" i="1"/>
  <c r="T540" i="1" l="1"/>
  <c r="R541" i="1" s="1"/>
  <c r="AB502" i="1"/>
  <c r="Y502" i="1"/>
  <c r="O503" i="1"/>
  <c r="V525" i="1"/>
  <c r="W525" i="1" s="1"/>
  <c r="S541" i="1" l="1"/>
  <c r="P503" i="1"/>
  <c r="Q503" i="1" s="1"/>
  <c r="U526" i="1"/>
  <c r="T541" i="1" l="1"/>
  <c r="R542" i="1" s="1"/>
  <c r="Y503" i="1"/>
  <c r="AB503" i="1"/>
  <c r="O504" i="1"/>
  <c r="V526" i="1"/>
  <c r="W526" i="1" s="1"/>
  <c r="S542" i="1" l="1"/>
  <c r="P504" i="1"/>
  <c r="Q504" i="1" s="1"/>
  <c r="U527" i="1"/>
  <c r="T542" i="1" l="1"/>
  <c r="R543" i="1" s="1"/>
  <c r="Y504" i="1"/>
  <c r="O505" i="1"/>
  <c r="AB504" i="1"/>
  <c r="V527" i="1"/>
  <c r="W527" i="1" s="1"/>
  <c r="S543" i="1" l="1"/>
  <c r="T543" i="1" s="1"/>
  <c r="R544" i="1" s="1"/>
  <c r="P505" i="1"/>
  <c r="Q505" i="1" s="1"/>
  <c r="AB505" i="1" s="1"/>
  <c r="U528" i="1"/>
  <c r="S544" i="1" l="1"/>
  <c r="V528" i="1"/>
  <c r="W528" i="1" s="1"/>
  <c r="U529" i="1" s="1"/>
  <c r="O506" i="1"/>
  <c r="Y505" i="1"/>
  <c r="T544" i="1" l="1"/>
  <c r="R545" i="1" s="1"/>
  <c r="V529" i="1"/>
  <c r="W529" i="1" s="1"/>
  <c r="P506" i="1"/>
  <c r="Q506" i="1" s="1"/>
  <c r="S545" i="1" l="1"/>
  <c r="U530" i="1"/>
  <c r="Y506" i="1"/>
  <c r="AB506" i="1"/>
  <c r="O507" i="1"/>
  <c r="T545" i="1" l="1"/>
  <c r="R546" i="1" s="1"/>
  <c r="S546" i="1" s="1"/>
  <c r="T546" i="1" s="1"/>
  <c r="R547" i="1" s="1"/>
  <c r="S547" i="1" s="1"/>
  <c r="T547" i="1" s="1"/>
  <c r="V530" i="1"/>
  <c r="W530" i="1" s="1"/>
  <c r="P507" i="1"/>
  <c r="Q507" i="1" s="1"/>
  <c r="U531" i="1" l="1"/>
  <c r="R548" i="1"/>
  <c r="S548" i="1" s="1"/>
  <c r="T548" i="1" s="1"/>
  <c r="Y507" i="1"/>
  <c r="AB507" i="1"/>
  <c r="O508" i="1"/>
  <c r="V531" i="1" l="1"/>
  <c r="W531" i="1" s="1"/>
  <c r="U532" i="1" s="1"/>
  <c r="R549" i="1"/>
  <c r="S549" i="1" s="1"/>
  <c r="T549" i="1" s="1"/>
  <c r="P508" i="1"/>
  <c r="Q508" i="1" s="1"/>
  <c r="V532" i="1" l="1"/>
  <c r="W532" i="1" s="1"/>
  <c r="AB508" i="1"/>
  <c r="O509" i="1"/>
  <c r="Y508" i="1"/>
  <c r="R550" i="1"/>
  <c r="Q511" i="1"/>
  <c r="U533" i="1" l="1"/>
  <c r="V533" i="1" s="1"/>
  <c r="W533" i="1" s="1"/>
  <c r="P509" i="1"/>
  <c r="Q509" i="1" s="1"/>
  <c r="AB509" i="1" s="1"/>
  <c r="S550" i="1"/>
  <c r="T550" i="1" s="1"/>
  <c r="AB511" i="1"/>
  <c r="U534" i="1" l="1"/>
  <c r="V534" i="1" s="1"/>
  <c r="W534" i="1" s="1"/>
  <c r="Y509" i="1"/>
  <c r="O510" i="1"/>
  <c r="R551" i="1"/>
  <c r="S551" i="1" s="1"/>
  <c r="T551" i="1" s="1"/>
  <c r="P510" i="1" l="1"/>
  <c r="Q510" i="1" s="1"/>
  <c r="R552" i="1"/>
  <c r="U535" i="1"/>
  <c r="Y510" i="1" l="1"/>
  <c r="AB510" i="1"/>
  <c r="O511" i="1"/>
  <c r="S552" i="1"/>
  <c r="T552" i="1" s="1"/>
  <c r="V535" i="1"/>
  <c r="W535" i="1" s="1"/>
  <c r="Y511" i="1" l="1"/>
  <c r="P511" i="1"/>
  <c r="R553" i="1"/>
  <c r="S553" i="1" s="1"/>
  <c r="T553" i="1" s="1"/>
  <c r="U536" i="1"/>
  <c r="Q514" i="1"/>
  <c r="AB514" i="1" s="1"/>
  <c r="O512" i="1" l="1"/>
  <c r="R554" i="1"/>
  <c r="S554" i="1" s="1"/>
  <c r="T554" i="1" s="1"/>
  <c r="V536" i="1"/>
  <c r="W536" i="1" s="1"/>
  <c r="P512" i="1" l="1"/>
  <c r="Q512" i="1" s="1"/>
  <c r="R555" i="1"/>
  <c r="U537" i="1"/>
  <c r="Y512" i="1" l="1"/>
  <c r="O513" i="1"/>
  <c r="AB512" i="1"/>
  <c r="S555" i="1"/>
  <c r="T555" i="1" s="1"/>
  <c r="V537" i="1"/>
  <c r="W537" i="1" s="1"/>
  <c r="P513" i="1" l="1"/>
  <c r="Q513" i="1" s="1"/>
  <c r="R556" i="1"/>
  <c r="S556" i="1" s="1"/>
  <c r="T556" i="1" s="1"/>
  <c r="U538" i="1"/>
  <c r="Y513" i="1" l="1"/>
  <c r="Y514" i="1" s="1"/>
  <c r="AB513" i="1"/>
  <c r="O514" i="1"/>
  <c r="R557" i="1"/>
  <c r="V538" i="1"/>
  <c r="W538" i="1" s="1"/>
  <c r="P514" i="1" l="1"/>
  <c r="S557" i="1"/>
  <c r="T557" i="1" s="1"/>
  <c r="U539" i="1"/>
  <c r="V539" i="1" s="1"/>
  <c r="W539" i="1" s="1"/>
  <c r="R558" i="1" l="1"/>
  <c r="S558" i="1" s="1"/>
  <c r="T558" i="1" s="1"/>
  <c r="O515" i="1"/>
  <c r="U540" i="1"/>
  <c r="P515" i="1" l="1"/>
  <c r="Q515" i="1" s="1"/>
  <c r="V540" i="1"/>
  <c r="W540" i="1" s="1"/>
  <c r="R559" i="1"/>
  <c r="AB515" i="1" l="1"/>
  <c r="O516" i="1"/>
  <c r="P516" i="1" s="1"/>
  <c r="Q516" i="1" s="1"/>
  <c r="Y515" i="1"/>
  <c r="U541" i="1"/>
  <c r="V541" i="1" s="1"/>
  <c r="W541" i="1" s="1"/>
  <c r="S559" i="1"/>
  <c r="T559" i="1" s="1"/>
  <c r="Q519" i="1"/>
  <c r="O517" i="1" l="1"/>
  <c r="AB516" i="1"/>
  <c r="Y516" i="1"/>
  <c r="U542" i="1"/>
  <c r="V542" i="1" s="1"/>
  <c r="W542" i="1" s="1"/>
  <c r="U543" i="1" s="1"/>
  <c r="R560" i="1"/>
  <c r="AB519" i="1"/>
  <c r="P517" i="1" l="1"/>
  <c r="Q517" i="1" s="1"/>
  <c r="V543" i="1"/>
  <c r="W543" i="1" s="1"/>
  <c r="S560" i="1"/>
  <c r="T560" i="1" s="1"/>
  <c r="Y517" i="1" l="1"/>
  <c r="AB517" i="1"/>
  <c r="O518" i="1"/>
  <c r="U544" i="1"/>
  <c r="V544" i="1" s="1"/>
  <c r="W544" i="1" s="1"/>
  <c r="U545" i="1" s="1"/>
  <c r="R561" i="1"/>
  <c r="S561" i="1" s="1"/>
  <c r="T561" i="1" s="1"/>
  <c r="P518" i="1" l="1"/>
  <c r="V545" i="1"/>
  <c r="W545" i="1" s="1"/>
  <c r="R562" i="1"/>
  <c r="Q518" i="1" l="1"/>
  <c r="U546" i="1"/>
  <c r="S562" i="1"/>
  <c r="T562" i="1" s="1"/>
  <c r="Y518" i="1" l="1"/>
  <c r="Y519" i="1" s="1"/>
  <c r="O519" i="1"/>
  <c r="AB518" i="1"/>
  <c r="V546" i="1"/>
  <c r="W546" i="1" s="1"/>
  <c r="R563" i="1"/>
  <c r="P519" i="1" l="1"/>
  <c r="O520" i="1" s="1"/>
  <c r="P520" i="1" s="1"/>
  <c r="Q520" i="1" s="1"/>
  <c r="AB520" i="1" s="1"/>
  <c r="U547" i="1"/>
  <c r="S563" i="1"/>
  <c r="T563" i="1" s="1"/>
  <c r="R564" i="1" s="1"/>
  <c r="O521" i="1" l="1"/>
  <c r="P521" i="1" s="1"/>
  <c r="Q521" i="1" s="1"/>
  <c r="Y520" i="1"/>
  <c r="V547" i="1"/>
  <c r="W547" i="1" s="1"/>
  <c r="S564" i="1"/>
  <c r="T564" i="1" s="1"/>
  <c r="U548" i="1" l="1"/>
  <c r="V548" i="1" s="1"/>
  <c r="W548" i="1" s="1"/>
  <c r="Y521" i="1"/>
  <c r="AB521" i="1"/>
  <c r="O522" i="1"/>
  <c r="R565" i="1"/>
  <c r="S565" i="1" s="1"/>
  <c r="T565" i="1" s="1"/>
  <c r="P522" i="1" l="1"/>
  <c r="Q522" i="1" s="1"/>
  <c r="U549" i="1"/>
  <c r="R566" i="1"/>
  <c r="V549" i="1" l="1"/>
  <c r="W549" i="1" s="1"/>
  <c r="Y522" i="1"/>
  <c r="AB522" i="1"/>
  <c r="O523" i="1"/>
  <c r="S566" i="1"/>
  <c r="T566" i="1" s="1"/>
  <c r="U550" i="1" l="1"/>
  <c r="P523" i="1"/>
  <c r="Q523" i="1" s="1"/>
  <c r="R567" i="1"/>
  <c r="V550" i="1" l="1"/>
  <c r="W550" i="1" s="1"/>
  <c r="O524" i="1"/>
  <c r="Y523" i="1"/>
  <c r="AB523" i="1"/>
  <c r="S567" i="1"/>
  <c r="T567" i="1" s="1"/>
  <c r="U551" i="1" l="1"/>
  <c r="P524" i="1"/>
  <c r="Q524" i="1" s="1"/>
  <c r="AB524" i="1" s="1"/>
  <c r="R568" i="1"/>
  <c r="V551" i="1" l="1"/>
  <c r="W551" i="1" s="1"/>
  <c r="Y524" i="1"/>
  <c r="O525" i="1"/>
  <c r="S568" i="1"/>
  <c r="T568" i="1" s="1"/>
  <c r="U552" i="1" l="1"/>
  <c r="P525" i="1"/>
  <c r="Q525" i="1" s="1"/>
  <c r="R569" i="1"/>
  <c r="V552" i="1" l="1"/>
  <c r="W552" i="1" s="1"/>
  <c r="O526" i="1"/>
  <c r="Y525" i="1"/>
  <c r="AB525" i="1"/>
  <c r="S569" i="1"/>
  <c r="T569" i="1" s="1"/>
  <c r="U553" i="1" l="1"/>
  <c r="P526" i="1"/>
  <c r="Q526" i="1" s="1"/>
  <c r="R570" i="1"/>
  <c r="O527" i="1" l="1"/>
  <c r="Y526" i="1"/>
  <c r="AB526" i="1"/>
  <c r="V553" i="1"/>
  <c r="W553" i="1" s="1"/>
  <c r="S570" i="1"/>
  <c r="T570" i="1" s="1"/>
  <c r="U554" i="1" l="1"/>
  <c r="P527" i="1"/>
  <c r="Q527" i="1" s="1"/>
  <c r="R571" i="1"/>
  <c r="V554" i="1" l="1"/>
  <c r="W554" i="1" s="1"/>
  <c r="Y527" i="1"/>
  <c r="AB527" i="1"/>
  <c r="O528" i="1"/>
  <c r="S571" i="1"/>
  <c r="T571" i="1" s="1"/>
  <c r="Q531" i="1"/>
  <c r="U555" i="1" l="1"/>
  <c r="V555" i="1" s="1"/>
  <c r="W555" i="1" s="1"/>
  <c r="P528" i="1"/>
  <c r="Q528" i="1" s="1"/>
  <c r="R572" i="1"/>
  <c r="S572" i="1" s="1"/>
  <c r="T572" i="1" s="1"/>
  <c r="R573" i="1" s="1"/>
  <c r="S573" i="1" s="1"/>
  <c r="T573" i="1" s="1"/>
  <c r="AB531" i="1"/>
  <c r="U556" i="1" l="1"/>
  <c r="V556" i="1" s="1"/>
  <c r="W556" i="1" s="1"/>
  <c r="AB528" i="1"/>
  <c r="O529" i="1"/>
  <c r="Y528" i="1"/>
  <c r="R574" i="1"/>
  <c r="U557" i="1" l="1"/>
  <c r="V557" i="1" s="1"/>
  <c r="W557" i="1" s="1"/>
  <c r="P529" i="1"/>
  <c r="Q529" i="1" s="1"/>
  <c r="S574" i="1"/>
  <c r="T574" i="1" s="1"/>
  <c r="U558" i="1" l="1"/>
  <c r="Y529" i="1"/>
  <c r="AB529" i="1"/>
  <c r="O530" i="1"/>
  <c r="R575" i="1"/>
  <c r="V558" i="1" l="1"/>
  <c r="W558" i="1" s="1"/>
  <c r="P530" i="1"/>
  <c r="Q530" i="1" s="1"/>
  <c r="S575" i="1"/>
  <c r="T575" i="1" s="1"/>
  <c r="U559" i="1" l="1"/>
  <c r="Y530" i="1"/>
  <c r="Y531" i="1" s="1"/>
  <c r="AB530" i="1"/>
  <c r="O531" i="1"/>
  <c r="R576" i="1"/>
  <c r="V559" i="1" l="1"/>
  <c r="W559" i="1" s="1"/>
  <c r="P531" i="1"/>
  <c r="S576" i="1"/>
  <c r="T576" i="1" s="1"/>
  <c r="Q535" i="1"/>
  <c r="U560" i="1" l="1"/>
  <c r="V560" i="1" s="1"/>
  <c r="W560" i="1" s="1"/>
  <c r="O532" i="1"/>
  <c r="R577" i="1"/>
  <c r="AB535" i="1"/>
  <c r="P532" i="1" l="1"/>
  <c r="Q532" i="1" s="1"/>
  <c r="S577" i="1"/>
  <c r="T577" i="1" s="1"/>
  <c r="U561" i="1"/>
  <c r="O533" i="1" l="1"/>
  <c r="P533" i="1" s="1"/>
  <c r="Q533" i="1" s="1"/>
  <c r="AB532" i="1"/>
  <c r="Y532" i="1"/>
  <c r="R578" i="1"/>
  <c r="S578" i="1" s="1"/>
  <c r="T578" i="1" s="1"/>
  <c r="R579" i="1" s="1"/>
  <c r="S579" i="1" s="1"/>
  <c r="T579" i="1" s="1"/>
  <c r="V561" i="1"/>
  <c r="W561" i="1" s="1"/>
  <c r="AB533" i="1" l="1"/>
  <c r="O534" i="1"/>
  <c r="Y533" i="1"/>
  <c r="R580" i="1"/>
  <c r="U562" i="1"/>
  <c r="P534" i="1" l="1"/>
  <c r="S580" i="1"/>
  <c r="T580" i="1" s="1"/>
  <c r="V562" i="1"/>
  <c r="W562" i="1" s="1"/>
  <c r="U563" i="1" s="1"/>
  <c r="Q534" i="1" l="1"/>
  <c r="O535" i="1" s="1"/>
  <c r="P535" i="1" s="1"/>
  <c r="R581" i="1"/>
  <c r="V563" i="1"/>
  <c r="W563" i="1" s="1"/>
  <c r="U564" i="1" s="1"/>
  <c r="Q538" i="1"/>
  <c r="Y534" i="1" l="1"/>
  <c r="Y535" i="1" s="1"/>
  <c r="AB534" i="1"/>
  <c r="S581" i="1"/>
  <c r="T581" i="1" s="1"/>
  <c r="J55" i="1" s="1"/>
  <c r="V564" i="1"/>
  <c r="W564" i="1" s="1"/>
  <c r="O536" i="1"/>
  <c r="AB538" i="1"/>
  <c r="P536" i="1" l="1"/>
  <c r="Q536" i="1" s="1"/>
  <c r="R582" i="1"/>
  <c r="U565" i="1"/>
  <c r="O537" i="1" l="1"/>
  <c r="AB536" i="1"/>
  <c r="Y536" i="1"/>
  <c r="S582" i="1"/>
  <c r="V565" i="1"/>
  <c r="W565" i="1" s="1"/>
  <c r="P537" i="1" l="1"/>
  <c r="Q537" i="1" s="1"/>
  <c r="R583" i="1"/>
  <c r="U566" i="1"/>
  <c r="V566" i="1" s="1"/>
  <c r="W566" i="1" s="1"/>
  <c r="S583" i="1" l="1"/>
  <c r="O538" i="1"/>
  <c r="AB537" i="1"/>
  <c r="Y537" i="1"/>
  <c r="Y538" i="1" s="1"/>
  <c r="U567" i="1"/>
  <c r="V567" i="1" s="1"/>
  <c r="W567" i="1" s="1"/>
  <c r="R584" i="1" l="1"/>
  <c r="S584" i="1" s="1"/>
  <c r="P538" i="1"/>
  <c r="U568" i="1"/>
  <c r="O539" i="1" l="1"/>
  <c r="V568" i="1"/>
  <c r="W568" i="1" s="1"/>
  <c r="R585" i="1"/>
  <c r="P539" i="1" l="1"/>
  <c r="Q539" i="1" s="1"/>
  <c r="U569" i="1"/>
  <c r="S585" i="1"/>
  <c r="Q543" i="1"/>
  <c r="AB543" i="1" s="1"/>
  <c r="O540" i="1" l="1"/>
  <c r="P540" i="1" s="1"/>
  <c r="Q540" i="1" s="1"/>
  <c r="AB540" i="1" s="1"/>
  <c r="AB539" i="1"/>
  <c r="Y539" i="1"/>
  <c r="V569" i="1"/>
  <c r="W569" i="1" s="1"/>
  <c r="R586" i="1"/>
  <c r="O541" i="1" l="1"/>
  <c r="Y540" i="1"/>
  <c r="U570" i="1"/>
  <c r="V570" i="1" s="1"/>
  <c r="W570" i="1" s="1"/>
  <c r="S586" i="1"/>
  <c r="Q544" i="1"/>
  <c r="P541" i="1" l="1"/>
  <c r="Q541" i="1" s="1"/>
  <c r="U571" i="1"/>
  <c r="R587" i="1"/>
  <c r="S587" i="1" s="1"/>
  <c r="AB544" i="1"/>
  <c r="O542" i="1" l="1"/>
  <c r="Y541" i="1"/>
  <c r="AB541" i="1"/>
  <c r="V571" i="1"/>
  <c r="W571" i="1" s="1"/>
  <c r="R588" i="1"/>
  <c r="Q545" i="1"/>
  <c r="AB545" i="1" s="1"/>
  <c r="P542" i="1" l="1"/>
  <c r="Q542" i="1" s="1"/>
  <c r="U572" i="1"/>
  <c r="S588" i="1"/>
  <c r="O543" i="1" l="1"/>
  <c r="AB542" i="1"/>
  <c r="Y542" i="1"/>
  <c r="Y543" i="1" s="1"/>
  <c r="V572" i="1"/>
  <c r="W572" i="1" s="1"/>
  <c r="R589" i="1"/>
  <c r="Y544" i="1" l="1"/>
  <c r="P543" i="1"/>
  <c r="U573" i="1"/>
  <c r="V573" i="1" s="1"/>
  <c r="W573" i="1" s="1"/>
  <c r="S589" i="1"/>
  <c r="Y545" i="1" l="1"/>
  <c r="O544" i="1"/>
  <c r="P544" i="1" s="1"/>
  <c r="O545" i="1" s="1"/>
  <c r="U574" i="1"/>
  <c r="V574" i="1" s="1"/>
  <c r="W574" i="1" s="1"/>
  <c r="R590" i="1"/>
  <c r="P545" i="1" l="1"/>
  <c r="S590" i="1"/>
  <c r="U575" i="1"/>
  <c r="O546" i="1" l="1"/>
  <c r="R591" i="1"/>
  <c r="V575" i="1"/>
  <c r="W575" i="1" s="1"/>
  <c r="Q549" i="1"/>
  <c r="AB549" i="1" s="1"/>
  <c r="P546" i="1" l="1"/>
  <c r="Q546" i="1" s="1"/>
  <c r="S591" i="1"/>
  <c r="U576" i="1"/>
  <c r="V576" i="1" s="1"/>
  <c r="W576" i="1" s="1"/>
  <c r="O547" i="1" l="1"/>
  <c r="AB546" i="1"/>
  <c r="Y546" i="1"/>
  <c r="R592" i="1"/>
  <c r="S592" i="1" s="1"/>
  <c r="U577" i="1"/>
  <c r="P547" i="1" l="1"/>
  <c r="Q547" i="1" s="1"/>
  <c r="R593" i="1"/>
  <c r="S593" i="1" s="1"/>
  <c r="V577" i="1"/>
  <c r="W577" i="1" s="1"/>
  <c r="Y547" i="1" l="1"/>
  <c r="AB547" i="1"/>
  <c r="O548" i="1"/>
  <c r="R594" i="1"/>
  <c r="U578" i="1"/>
  <c r="P548" i="1" l="1"/>
  <c r="Q548" i="1" s="1"/>
  <c r="S594" i="1"/>
  <c r="V578" i="1"/>
  <c r="W578" i="1" s="1"/>
  <c r="Y548" i="1" l="1"/>
  <c r="Y549" i="1" s="1"/>
  <c r="AB548" i="1"/>
  <c r="O549" i="1"/>
  <c r="P549" i="1" s="1"/>
  <c r="R595" i="1"/>
  <c r="U579" i="1"/>
  <c r="O550" i="1" l="1"/>
  <c r="P550" i="1" s="1"/>
  <c r="Q550" i="1" s="1"/>
  <c r="S595" i="1"/>
  <c r="V579" i="1"/>
  <c r="W579" i="1" s="1"/>
  <c r="R596" i="1" l="1"/>
  <c r="S596" i="1" s="1"/>
  <c r="Y550" i="1"/>
  <c r="AB550" i="1"/>
  <c r="O551" i="1"/>
  <c r="U580" i="1"/>
  <c r="R597" i="1" l="1"/>
  <c r="V580" i="1"/>
  <c r="W580" i="1" s="1"/>
  <c r="P551" i="1"/>
  <c r="Q551" i="1" s="1"/>
  <c r="S597" i="1" l="1"/>
  <c r="AB551" i="1"/>
  <c r="O552" i="1"/>
  <c r="Y551" i="1"/>
  <c r="U581" i="1"/>
  <c r="Q554" i="1"/>
  <c r="R598" i="1" l="1"/>
  <c r="S598" i="1" s="1"/>
  <c r="P552" i="1"/>
  <c r="Q552" i="1" s="1"/>
  <c r="AB552" i="1" s="1"/>
  <c r="V581" i="1"/>
  <c r="W581" i="1" s="1"/>
  <c r="M55" i="1" s="1"/>
  <c r="AB554" i="1"/>
  <c r="R599" i="1" l="1"/>
  <c r="O553" i="1"/>
  <c r="Y552" i="1"/>
  <c r="U582" i="1"/>
  <c r="V582" i="1" s="1"/>
  <c r="S599" i="1" l="1"/>
  <c r="P553" i="1"/>
  <c r="Q553" i="1" s="1"/>
  <c r="U583" i="1"/>
  <c r="R600" i="1" l="1"/>
  <c r="O554" i="1"/>
  <c r="P554" i="1" s="1"/>
  <c r="Y553" i="1"/>
  <c r="AB553" i="1"/>
  <c r="V583" i="1"/>
  <c r="Q556" i="1"/>
  <c r="S600" i="1" l="1"/>
  <c r="Y554" i="1"/>
  <c r="O555" i="1"/>
  <c r="U584" i="1"/>
  <c r="AB556" i="1"/>
  <c r="P555" i="1" l="1"/>
  <c r="Q555" i="1" s="1"/>
  <c r="AB555" i="1" s="1"/>
  <c r="R601" i="1"/>
  <c r="V584" i="1"/>
  <c r="Q557" i="1"/>
  <c r="AB557" i="1" s="1"/>
  <c r="Y555" i="1" l="1"/>
  <c r="O556" i="1"/>
  <c r="P556" i="1" s="1"/>
  <c r="U585" i="1"/>
  <c r="S601" i="1"/>
  <c r="V585" i="1" l="1"/>
  <c r="O557" i="1"/>
  <c r="Y556" i="1"/>
  <c r="R602" i="1"/>
  <c r="U586" i="1" l="1"/>
  <c r="P557" i="1"/>
  <c r="Y557" i="1"/>
  <c r="S602" i="1"/>
  <c r="O558" i="1" l="1"/>
  <c r="V586" i="1"/>
  <c r="R603" i="1"/>
  <c r="P558" i="1" l="1"/>
  <c r="Q558" i="1" s="1"/>
  <c r="AB558" i="1" s="1"/>
  <c r="U587" i="1"/>
  <c r="S603" i="1"/>
  <c r="Y558" i="1" l="1"/>
  <c r="O559" i="1"/>
  <c r="V587" i="1"/>
  <c r="R604" i="1"/>
  <c r="S604" i="1" s="1"/>
  <c r="P559" i="1" l="1"/>
  <c r="Q559" i="1" s="1"/>
  <c r="AB559" i="1" s="1"/>
  <c r="U588" i="1"/>
  <c r="R605" i="1"/>
  <c r="S605" i="1" s="1"/>
  <c r="Q561" i="1"/>
  <c r="AB561" i="1" s="1"/>
  <c r="Y559" i="1" l="1"/>
  <c r="O560" i="1"/>
  <c r="P560" i="1" s="1"/>
  <c r="Q560" i="1" s="1"/>
  <c r="V588" i="1"/>
  <c r="R606" i="1"/>
  <c r="S606" i="1" s="1"/>
  <c r="U589" i="1" l="1"/>
  <c r="Y560" i="1"/>
  <c r="O561" i="1"/>
  <c r="AB560" i="1"/>
  <c r="R607" i="1"/>
  <c r="S607" i="1" s="1"/>
  <c r="V589" i="1" l="1"/>
  <c r="Y561" i="1"/>
  <c r="P561" i="1"/>
  <c r="R608" i="1"/>
  <c r="S608" i="1" s="1"/>
  <c r="U590" i="1" l="1"/>
  <c r="V590" i="1" s="1"/>
  <c r="O562" i="1"/>
  <c r="P562" i="1" s="1"/>
  <c r="Q562" i="1" s="1"/>
  <c r="AB562" i="1" s="1"/>
  <c r="R609" i="1"/>
  <c r="O563" i="1" l="1"/>
  <c r="Y562" i="1"/>
  <c r="U591" i="1"/>
  <c r="S609" i="1"/>
  <c r="V591" i="1" l="1"/>
  <c r="P563" i="1"/>
  <c r="Q563" i="1" s="1"/>
  <c r="AB563" i="1" s="1"/>
  <c r="R610" i="1"/>
  <c r="U592" i="1" l="1"/>
  <c r="Y563" i="1"/>
  <c r="O564" i="1"/>
  <c r="S610" i="1"/>
  <c r="V592" i="1" l="1"/>
  <c r="P564" i="1"/>
  <c r="Q564" i="1" s="1"/>
  <c r="AB564" i="1" s="1"/>
  <c r="R611" i="1"/>
  <c r="U593" i="1" l="1"/>
  <c r="Y564" i="1"/>
  <c r="O565" i="1"/>
  <c r="S611" i="1"/>
  <c r="V593" i="1" l="1"/>
  <c r="P565" i="1"/>
  <c r="Q565" i="1" s="1"/>
  <c r="AB565" i="1" s="1"/>
  <c r="R612" i="1"/>
  <c r="S612" i="1" s="1"/>
  <c r="U594" i="1" l="1"/>
  <c r="O566" i="1"/>
  <c r="Y565" i="1"/>
  <c r="R613" i="1"/>
  <c r="S613" i="1" s="1"/>
  <c r="V594" i="1" l="1"/>
  <c r="P566" i="1"/>
  <c r="Q566" i="1" s="1"/>
  <c r="AB566" i="1" s="1"/>
  <c r="R614" i="1"/>
  <c r="U595" i="1" l="1"/>
  <c r="O567" i="1"/>
  <c r="Y566" i="1"/>
  <c r="S614" i="1"/>
  <c r="V595" i="1" l="1"/>
  <c r="U596" i="1" s="1"/>
  <c r="P567" i="1"/>
  <c r="Q567" i="1" s="1"/>
  <c r="AB567" i="1" s="1"/>
  <c r="R615" i="1"/>
  <c r="S615" i="1" s="1"/>
  <c r="V596" i="1" l="1"/>
  <c r="U597" i="1" s="1"/>
  <c r="V597" i="1" s="1"/>
  <c r="O568" i="1"/>
  <c r="Y567" i="1"/>
  <c r="R616" i="1"/>
  <c r="P568" i="1" l="1"/>
  <c r="Q568" i="1" s="1"/>
  <c r="AB568" i="1" s="1"/>
  <c r="S616" i="1"/>
  <c r="R617" i="1" s="1"/>
  <c r="S617" i="1" s="1"/>
  <c r="U598" i="1"/>
  <c r="V598" i="1" s="1"/>
  <c r="Y568" i="1" l="1"/>
  <c r="O569" i="1"/>
  <c r="P569" i="1" s="1"/>
  <c r="Q569" i="1" s="1"/>
  <c r="AB569" i="1" s="1"/>
  <c r="R618" i="1"/>
  <c r="U599" i="1"/>
  <c r="Y569" i="1" l="1"/>
  <c r="O570" i="1"/>
  <c r="S618" i="1"/>
  <c r="V599" i="1"/>
  <c r="P570" i="1" l="1"/>
  <c r="Q570" i="1" s="1"/>
  <c r="AB570" i="1" s="1"/>
  <c r="R619" i="1"/>
  <c r="S619" i="1" s="1"/>
  <c r="U600" i="1"/>
  <c r="Y570" i="1" l="1"/>
  <c r="O571" i="1"/>
  <c r="R620" i="1"/>
  <c r="S620" i="1" s="1"/>
  <c r="V600" i="1"/>
  <c r="P571" i="1" l="1"/>
  <c r="Q571" i="1" s="1"/>
  <c r="AB571" i="1" s="1"/>
  <c r="R621" i="1"/>
  <c r="U601" i="1"/>
  <c r="Y571" i="1" l="1"/>
  <c r="O572" i="1"/>
  <c r="S621" i="1"/>
  <c r="V601" i="1"/>
  <c r="P572" i="1" l="1"/>
  <c r="Q572" i="1" s="1"/>
  <c r="R622" i="1"/>
  <c r="U602" i="1"/>
  <c r="V602" i="1" l="1"/>
  <c r="Y572" i="1"/>
  <c r="AB572" i="1"/>
  <c r="O573" i="1"/>
  <c r="S622" i="1"/>
  <c r="Q574" i="1"/>
  <c r="P573" i="1" l="1"/>
  <c r="Q573" i="1" s="1"/>
  <c r="U603" i="1"/>
  <c r="R623" i="1"/>
  <c r="AB574" i="1"/>
  <c r="O574" i="1" l="1"/>
  <c r="AB573" i="1"/>
  <c r="Y573" i="1"/>
  <c r="V603" i="1"/>
  <c r="S623" i="1"/>
  <c r="Y574" i="1" l="1"/>
  <c r="P574" i="1"/>
  <c r="U604" i="1"/>
  <c r="V604" i="1" s="1"/>
  <c r="R624" i="1"/>
  <c r="S624" i="1" s="1"/>
  <c r="O575" i="1" l="1"/>
  <c r="P575" i="1" s="1"/>
  <c r="Q575" i="1" s="1"/>
  <c r="AB575" i="1" s="1"/>
  <c r="U605" i="1"/>
  <c r="R625" i="1"/>
  <c r="V605" i="1" l="1"/>
  <c r="S625" i="1"/>
  <c r="O576" i="1"/>
  <c r="Y575" i="1"/>
  <c r="U606" i="1" l="1"/>
  <c r="R626" i="1"/>
  <c r="P576" i="1"/>
  <c r="Q576" i="1" s="1"/>
  <c r="AB576" i="1" s="1"/>
  <c r="V606" i="1" l="1"/>
  <c r="U607" i="1" s="1"/>
  <c r="V607" i="1" s="1"/>
  <c r="S626" i="1"/>
  <c r="R627" i="1" s="1"/>
  <c r="Y576" i="1"/>
  <c r="O577" i="1"/>
  <c r="U608" i="1" l="1"/>
  <c r="P577" i="1"/>
  <c r="Q577" i="1" s="1"/>
  <c r="AB577" i="1" s="1"/>
  <c r="S627" i="1"/>
  <c r="V608" i="1" l="1"/>
  <c r="Y577" i="1"/>
  <c r="O578" i="1"/>
  <c r="R628" i="1"/>
  <c r="Q579" i="1"/>
  <c r="AB579" i="1" s="1"/>
  <c r="P578" i="1" l="1"/>
  <c r="Q578" i="1" s="1"/>
  <c r="AB578" i="1" s="1"/>
  <c r="U609" i="1"/>
  <c r="S628" i="1"/>
  <c r="O579" i="1" l="1"/>
  <c r="P579" i="1" s="1"/>
  <c r="Y578" i="1"/>
  <c r="V609" i="1"/>
  <c r="U610" i="1" s="1"/>
  <c r="R629" i="1"/>
  <c r="S629" i="1" s="1"/>
  <c r="Q580" i="1"/>
  <c r="O580" i="1" l="1"/>
  <c r="Y579" i="1"/>
  <c r="V610" i="1"/>
  <c r="U611" i="1" s="1"/>
  <c r="R630" i="1"/>
  <c r="AB580" i="1"/>
  <c r="P580" i="1" l="1"/>
  <c r="Y580" i="1"/>
  <c r="V611" i="1"/>
  <c r="S630" i="1"/>
  <c r="O581" i="1" l="1"/>
  <c r="U612" i="1"/>
  <c r="R631" i="1"/>
  <c r="S631" i="1" s="1"/>
  <c r="P581" i="1" l="1"/>
  <c r="V612" i="1"/>
  <c r="R632" i="1"/>
  <c r="Q581" i="1" l="1"/>
  <c r="O582" i="1" s="1"/>
  <c r="P582" i="1" s="1"/>
  <c r="U613" i="1"/>
  <c r="V613" i="1" s="1"/>
  <c r="S632" i="1"/>
  <c r="AB581" i="1" l="1"/>
  <c r="M59" i="1" s="1"/>
  <c r="Y581" i="1"/>
  <c r="G55" i="1"/>
  <c r="J57" i="1" s="1"/>
  <c r="R633" i="1"/>
  <c r="S633" i="1" s="1"/>
  <c r="O583" i="1"/>
  <c r="U614" i="1"/>
  <c r="X582" i="1" l="1"/>
  <c r="X578" i="1"/>
  <c r="X577" i="1"/>
  <c r="X576" i="1"/>
  <c r="X575" i="1"/>
  <c r="X574" i="1"/>
  <c r="X573" i="1"/>
  <c r="X567" i="1"/>
  <c r="X561" i="1"/>
  <c r="X560" i="1"/>
  <c r="X559" i="1"/>
  <c r="X558" i="1"/>
  <c r="X557" i="1"/>
  <c r="X556" i="1"/>
  <c r="X555" i="1"/>
  <c r="X554" i="1"/>
  <c r="X553" i="1"/>
  <c r="X552" i="1"/>
  <c r="X72" i="1"/>
  <c r="X132" i="1"/>
  <c r="X551" i="1"/>
  <c r="X550" i="1"/>
  <c r="X549" i="1"/>
  <c r="X548" i="1"/>
  <c r="X448" i="1"/>
  <c r="X445" i="1"/>
  <c r="X389" i="1"/>
  <c r="X55" i="1"/>
  <c r="X568" i="1"/>
  <c r="X564" i="1"/>
  <c r="X547" i="1"/>
  <c r="X546" i="1"/>
  <c r="X545" i="1"/>
  <c r="X544" i="1"/>
  <c r="X543" i="1"/>
  <c r="X542" i="1"/>
  <c r="X541" i="1"/>
  <c r="X540" i="1"/>
  <c r="X539" i="1"/>
  <c r="X528" i="1"/>
  <c r="X526" i="1"/>
  <c r="X216" i="1"/>
  <c r="X108" i="1"/>
  <c r="X215" i="1"/>
  <c r="X538" i="1"/>
  <c r="X537" i="1"/>
  <c r="X536" i="1"/>
  <c r="X449" i="1"/>
  <c r="X446" i="1"/>
  <c r="X392" i="1"/>
  <c r="X580" i="1"/>
  <c r="X572" i="1"/>
  <c r="X566" i="1"/>
  <c r="X535" i="1"/>
  <c r="X534" i="1"/>
  <c r="X533" i="1"/>
  <c r="X532" i="1"/>
  <c r="X531" i="1"/>
  <c r="X530" i="1"/>
  <c r="X529" i="1"/>
  <c r="X527" i="1"/>
  <c r="X450" i="1"/>
  <c r="X447" i="1"/>
  <c r="X444" i="1"/>
  <c r="X570" i="1"/>
  <c r="X563" i="1"/>
  <c r="X387" i="1"/>
  <c r="X385" i="1"/>
  <c r="X383" i="1"/>
  <c r="X381" i="1"/>
  <c r="X379" i="1"/>
  <c r="X377" i="1"/>
  <c r="X375" i="1"/>
  <c r="X373" i="1"/>
  <c r="X371" i="1"/>
  <c r="X443" i="1"/>
  <c r="X442" i="1"/>
  <c r="X441" i="1"/>
  <c r="X440" i="1"/>
  <c r="X439" i="1"/>
  <c r="X438" i="1"/>
  <c r="X437" i="1"/>
  <c r="X581" i="1"/>
  <c r="X569" i="1"/>
  <c r="X562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322" i="1"/>
  <c r="X323" i="1"/>
  <c r="X324" i="1"/>
  <c r="X325" i="1"/>
  <c r="X326" i="1"/>
  <c r="X327" i="1"/>
  <c r="X328" i="1"/>
  <c r="X329" i="1"/>
  <c r="X330" i="1"/>
  <c r="X331" i="1"/>
  <c r="X332" i="1"/>
  <c r="X334" i="1"/>
  <c r="X579" i="1"/>
  <c r="X28" i="1"/>
  <c r="X261" i="1"/>
  <c r="X571" i="1"/>
  <c r="X565" i="1"/>
  <c r="X224" i="1"/>
  <c r="X246" i="1"/>
  <c r="X199" i="1"/>
  <c r="X525" i="1"/>
  <c r="X524" i="1"/>
  <c r="X523" i="1"/>
  <c r="X521" i="1"/>
  <c r="X519" i="1"/>
  <c r="X122" i="1"/>
  <c r="X209" i="1"/>
  <c r="X84" i="1"/>
  <c r="X260" i="1"/>
  <c r="X220" i="1"/>
  <c r="X513" i="1"/>
  <c r="X484" i="1"/>
  <c r="X478" i="1"/>
  <c r="X472" i="1"/>
  <c r="X466" i="1"/>
  <c r="X460" i="1"/>
  <c r="X455" i="1"/>
  <c r="X413" i="1"/>
  <c r="X401" i="1"/>
  <c r="X409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7" i="1"/>
  <c r="X479" i="1"/>
  <c r="X471" i="1"/>
  <c r="X464" i="1"/>
  <c r="X456" i="1"/>
  <c r="X412" i="1"/>
  <c r="X405" i="1"/>
  <c r="X400" i="1"/>
  <c r="X399" i="1"/>
  <c r="X398" i="1"/>
  <c r="X397" i="1"/>
  <c r="X396" i="1"/>
  <c r="X395" i="1"/>
  <c r="X394" i="1"/>
  <c r="X393" i="1"/>
  <c r="X391" i="1"/>
  <c r="X390" i="1"/>
  <c r="X388" i="1"/>
  <c r="X386" i="1"/>
  <c r="X384" i="1"/>
  <c r="X382" i="1"/>
  <c r="X380" i="1"/>
  <c r="X378" i="1"/>
  <c r="X376" i="1"/>
  <c r="X374" i="1"/>
  <c r="X372" i="1"/>
  <c r="X370" i="1"/>
  <c r="X127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73" i="1"/>
  <c r="X83" i="1"/>
  <c r="X56" i="1"/>
  <c r="X19" i="1"/>
  <c r="X121" i="1"/>
  <c r="X126" i="1"/>
  <c r="X146" i="1"/>
  <c r="X128" i="1"/>
  <c r="X152" i="1"/>
  <c r="X214" i="1"/>
  <c r="X113" i="1"/>
  <c r="X102" i="1"/>
  <c r="X157" i="1"/>
  <c r="X136" i="1"/>
  <c r="X244" i="1"/>
  <c r="X266" i="1"/>
  <c r="X269" i="1"/>
  <c r="X273" i="1"/>
  <c r="X277" i="1"/>
  <c r="X281" i="1"/>
  <c r="X284" i="1"/>
  <c r="X288" i="1"/>
  <c r="X291" i="1"/>
  <c r="X294" i="1"/>
  <c r="X297" i="1"/>
  <c r="X302" i="1"/>
  <c r="X304" i="1"/>
  <c r="X308" i="1"/>
  <c r="X68" i="1"/>
  <c r="X169" i="1"/>
  <c r="X172" i="1"/>
  <c r="X33" i="1"/>
  <c r="X187" i="1"/>
  <c r="X195" i="1"/>
  <c r="X236" i="1"/>
  <c r="X242" i="1"/>
  <c r="X248" i="1"/>
  <c r="X18" i="1"/>
  <c r="X76" i="1"/>
  <c r="X41" i="1"/>
  <c r="X119" i="1"/>
  <c r="X264" i="1"/>
  <c r="X280" i="1"/>
  <c r="X292" i="1"/>
  <c r="X303" i="1"/>
  <c r="X21" i="1"/>
  <c r="X190" i="1"/>
  <c r="X153" i="1"/>
  <c r="X58" i="1"/>
  <c r="X162" i="1"/>
  <c r="X228" i="1"/>
  <c r="X514" i="1"/>
  <c r="X482" i="1"/>
  <c r="X475" i="1"/>
  <c r="X469" i="1"/>
  <c r="X459" i="1"/>
  <c r="X453" i="1"/>
  <c r="X408" i="1"/>
  <c r="X402" i="1"/>
  <c r="X340" i="1"/>
  <c r="X339" i="1"/>
  <c r="X338" i="1"/>
  <c r="X337" i="1"/>
  <c r="X336" i="1"/>
  <c r="X335" i="1"/>
  <c r="X333" i="1"/>
  <c r="X256" i="1"/>
  <c r="X252" i="1"/>
  <c r="X20" i="1"/>
  <c r="X141" i="1"/>
  <c r="X202" i="1"/>
  <c r="X219" i="1"/>
  <c r="X6" i="1"/>
  <c r="X62" i="1"/>
  <c r="X259" i="1"/>
  <c r="X239" i="1"/>
  <c r="X265" i="1"/>
  <c r="X270" i="1"/>
  <c r="X274" i="1"/>
  <c r="X278" i="1"/>
  <c r="X282" i="1"/>
  <c r="X310" i="1"/>
  <c r="X311" i="1"/>
  <c r="X312" i="1"/>
  <c r="X313" i="1"/>
  <c r="X314" i="1"/>
  <c r="X315" i="1"/>
  <c r="X316" i="1"/>
  <c r="X318" i="1"/>
  <c r="X320" i="1"/>
  <c r="X26" i="1"/>
  <c r="X30" i="1"/>
  <c r="X35" i="1"/>
  <c r="X40" i="1"/>
  <c r="X44" i="1"/>
  <c r="X49" i="1"/>
  <c r="X54" i="1"/>
  <c r="X59" i="1"/>
  <c r="X75" i="1"/>
  <c r="X91" i="1"/>
  <c r="X100" i="1"/>
  <c r="X8" i="1"/>
  <c r="X29" i="1"/>
  <c r="X38" i="1"/>
  <c r="X258" i="1"/>
  <c r="X255" i="1"/>
  <c r="X250" i="1"/>
  <c r="X43" i="1"/>
  <c r="X48" i="1"/>
  <c r="X53" i="1"/>
  <c r="X57" i="1"/>
  <c r="X64" i="1"/>
  <c r="X93" i="1"/>
  <c r="X7" i="1"/>
  <c r="X12" i="1"/>
  <c r="X17" i="1"/>
  <c r="X22" i="1"/>
  <c r="X25" i="1"/>
  <c r="X133" i="1"/>
  <c r="X140" i="1"/>
  <c r="X148" i="1"/>
  <c r="X196" i="1"/>
  <c r="X200" i="1"/>
  <c r="X207" i="1"/>
  <c r="X213" i="1"/>
  <c r="X221" i="1"/>
  <c r="X201" i="1"/>
  <c r="X212" i="1"/>
  <c r="X225" i="1"/>
  <c r="X97" i="1"/>
  <c r="X104" i="1"/>
  <c r="X164" i="1"/>
  <c r="X27" i="1"/>
  <c r="X110" i="1"/>
  <c r="X99" i="1"/>
  <c r="X85" i="1"/>
  <c r="X71" i="1"/>
  <c r="X36" i="1"/>
  <c r="X117" i="1"/>
  <c r="X124" i="1"/>
  <c r="X142" i="1"/>
  <c r="X262" i="1"/>
  <c r="X135" i="1"/>
  <c r="X208" i="1"/>
  <c r="X226" i="1"/>
  <c r="X300" i="1"/>
  <c r="X306" i="1"/>
  <c r="X309" i="1"/>
  <c r="X163" i="1"/>
  <c r="X176" i="1"/>
  <c r="X180" i="1"/>
  <c r="X192" i="1"/>
  <c r="X234" i="1"/>
  <c r="X238" i="1"/>
  <c r="X139" i="1"/>
  <c r="X145" i="1"/>
  <c r="X205" i="1"/>
  <c r="X210" i="1"/>
  <c r="X42" i="1"/>
  <c r="X109" i="1"/>
  <c r="X101" i="1"/>
  <c r="X67" i="1"/>
  <c r="X47" i="1"/>
  <c r="X178" i="1"/>
  <c r="X268" i="1"/>
  <c r="X276" i="1"/>
  <c r="X289" i="1"/>
  <c r="X298" i="1"/>
  <c r="X305" i="1"/>
  <c r="X186" i="1"/>
  <c r="X227" i="1"/>
  <c r="X203" i="1"/>
  <c r="X151" i="1"/>
  <c r="X168" i="1"/>
  <c r="X191" i="1"/>
  <c r="X515" i="1"/>
  <c r="X485" i="1"/>
  <c r="X480" i="1"/>
  <c r="X474" i="1"/>
  <c r="X470" i="1"/>
  <c r="X465" i="1"/>
  <c r="X461" i="1"/>
  <c r="X457" i="1"/>
  <c r="X451" i="1"/>
  <c r="X410" i="1"/>
  <c r="X404" i="1"/>
  <c r="X222" i="1"/>
  <c r="X16" i="1"/>
  <c r="X98" i="1"/>
  <c r="X158" i="1"/>
  <c r="X251" i="1"/>
  <c r="X106" i="1"/>
  <c r="X161" i="1"/>
  <c r="X166" i="1"/>
  <c r="X167" i="1"/>
  <c r="X173" i="1"/>
  <c r="X253" i="1"/>
  <c r="X182" i="1"/>
  <c r="X185" i="1"/>
  <c r="X193" i="1"/>
  <c r="X233" i="1"/>
  <c r="X241" i="1"/>
  <c r="X245" i="1"/>
  <c r="X247" i="1"/>
  <c r="X130" i="1"/>
  <c r="X137" i="1"/>
  <c r="X143" i="1"/>
  <c r="X147" i="1"/>
  <c r="X150" i="1"/>
  <c r="X197" i="1"/>
  <c r="X206" i="1"/>
  <c r="X218" i="1"/>
  <c r="X155" i="1"/>
  <c r="X257" i="1"/>
  <c r="X2" i="1"/>
  <c r="AL2" i="1" s="1"/>
  <c r="X171" i="1"/>
  <c r="AL171" i="1" s="1"/>
  <c r="X111" i="1"/>
  <c r="X103" i="1"/>
  <c r="X89" i="1"/>
  <c r="X77" i="1"/>
  <c r="X50" i="1"/>
  <c r="X90" i="1"/>
  <c r="X66" i="1"/>
  <c r="X112" i="1"/>
  <c r="X92" i="1"/>
  <c r="X51" i="1"/>
  <c r="X116" i="1"/>
  <c r="X175" i="1"/>
  <c r="X237" i="1"/>
  <c r="X272" i="1"/>
  <c r="X285" i="1"/>
  <c r="X295" i="1"/>
  <c r="X301" i="1"/>
  <c r="X307" i="1"/>
  <c r="X183" i="1"/>
  <c r="X235" i="1"/>
  <c r="X240" i="1"/>
  <c r="X198" i="1"/>
  <c r="X115" i="1"/>
  <c r="X156" i="1"/>
  <c r="X63" i="1"/>
  <c r="X181" i="1"/>
  <c r="X517" i="1"/>
  <c r="X486" i="1"/>
  <c r="X481" i="1"/>
  <c r="X476" i="1"/>
  <c r="X473" i="1"/>
  <c r="X467" i="1"/>
  <c r="X462" i="1"/>
  <c r="X458" i="1"/>
  <c r="X452" i="1"/>
  <c r="X411" i="1"/>
  <c r="X406" i="1"/>
  <c r="X129" i="1"/>
  <c r="X134" i="1"/>
  <c r="X138" i="1"/>
  <c r="X144" i="1"/>
  <c r="X149" i="1"/>
  <c r="X154" i="1"/>
  <c r="X204" i="1"/>
  <c r="X211" i="1"/>
  <c r="X217" i="1"/>
  <c r="X223" i="1"/>
  <c r="X88" i="1"/>
  <c r="X114" i="1"/>
  <c r="X86" i="1"/>
  <c r="X160" i="1"/>
  <c r="X254" i="1"/>
  <c r="X80" i="1"/>
  <c r="X10" i="1"/>
  <c r="X165" i="1"/>
  <c r="X170" i="1"/>
  <c r="X174" i="1"/>
  <c r="X179" i="1"/>
  <c r="X249" i="1"/>
  <c r="X13" i="1"/>
  <c r="X184" i="1"/>
  <c r="X189" i="1"/>
  <c r="X194" i="1"/>
  <c r="X229" i="1"/>
  <c r="X230" i="1"/>
  <c r="X232" i="1"/>
  <c r="X243" i="1"/>
  <c r="X37" i="1"/>
  <c r="X9" i="1"/>
  <c r="X45" i="1"/>
  <c r="X23" i="1"/>
  <c r="X70" i="1"/>
  <c r="X32" i="1"/>
  <c r="X14" i="1"/>
  <c r="X60" i="1"/>
  <c r="X39" i="1"/>
  <c r="X94" i="1"/>
  <c r="X82" i="1"/>
  <c r="X74" i="1"/>
  <c r="X52" i="1"/>
  <c r="X4" i="1"/>
  <c r="X107" i="1"/>
  <c r="X95" i="1"/>
  <c r="X81" i="1"/>
  <c r="X69" i="1"/>
  <c r="X65" i="1"/>
  <c r="X34" i="1"/>
  <c r="X78" i="1"/>
  <c r="X3" i="1"/>
  <c r="X11" i="1"/>
  <c r="X5" i="1"/>
  <c r="X105" i="1"/>
  <c r="X96" i="1"/>
  <c r="X87" i="1"/>
  <c r="X79" i="1"/>
  <c r="X61" i="1"/>
  <c r="X46" i="1"/>
  <c r="X31" i="1"/>
  <c r="X15" i="1"/>
  <c r="X118" i="1"/>
  <c r="X120" i="1"/>
  <c r="X123" i="1"/>
  <c r="X125" i="1"/>
  <c r="X231" i="1"/>
  <c r="X263" i="1"/>
  <c r="X267" i="1"/>
  <c r="X271" i="1"/>
  <c r="X275" i="1"/>
  <c r="X279" i="1"/>
  <c r="X283" i="1"/>
  <c r="X286" i="1"/>
  <c r="X287" i="1"/>
  <c r="X290" i="1"/>
  <c r="X293" i="1"/>
  <c r="X296" i="1"/>
  <c r="X299" i="1"/>
  <c r="X317" i="1"/>
  <c r="X319" i="1"/>
  <c r="X321" i="1"/>
  <c r="X522" i="1"/>
  <c r="X520" i="1"/>
  <c r="X518" i="1"/>
  <c r="X131" i="1"/>
  <c r="X24" i="1"/>
  <c r="X159" i="1"/>
  <c r="X177" i="1"/>
  <c r="X188" i="1"/>
  <c r="X516" i="1"/>
  <c r="X488" i="1"/>
  <c r="X483" i="1"/>
  <c r="X477" i="1"/>
  <c r="X468" i="1"/>
  <c r="X463" i="1"/>
  <c r="X454" i="1"/>
  <c r="X414" i="1"/>
  <c r="X407" i="1"/>
  <c r="X403" i="1"/>
  <c r="AD243" i="1"/>
  <c r="AD242" i="1"/>
  <c r="AD236" i="1"/>
  <c r="AD230" i="1"/>
  <c r="AD20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80" i="1"/>
  <c r="AD74" i="1"/>
  <c r="AD121" i="1"/>
  <c r="AD99" i="1"/>
  <c r="AD51" i="1"/>
  <c r="AD45" i="1"/>
  <c r="AD221" i="1"/>
  <c r="AD205" i="1"/>
  <c r="AD200" i="1"/>
  <c r="AD113" i="1"/>
  <c r="AD107" i="1"/>
  <c r="AD98" i="1"/>
  <c r="AD46" i="1"/>
  <c r="AD39" i="1"/>
  <c r="AD176" i="1"/>
  <c r="AD106" i="1"/>
  <c r="AD202" i="1"/>
  <c r="AD182" i="1"/>
  <c r="AD78" i="1"/>
  <c r="AD222" i="1"/>
  <c r="AD192" i="1"/>
  <c r="AD86" i="1"/>
  <c r="AD63" i="1"/>
  <c r="AD131" i="1"/>
  <c r="AD244" i="1"/>
  <c r="AD237" i="1"/>
  <c r="AD229" i="1"/>
  <c r="AD220" i="1"/>
  <c r="AD197" i="1"/>
  <c r="AD191" i="1"/>
  <c r="AD190" i="1"/>
  <c r="AD92" i="1"/>
  <c r="AD91" i="1"/>
  <c r="AD122" i="1"/>
  <c r="AD119" i="1"/>
  <c r="AD249" i="1"/>
  <c r="AD250" i="1"/>
  <c r="AD231" i="1"/>
  <c r="AD223" i="1"/>
  <c r="AD332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70" i="1"/>
  <c r="AD374" i="1"/>
  <c r="AD380" i="1"/>
  <c r="AD386" i="1"/>
  <c r="AD392" i="1"/>
  <c r="AD398" i="1"/>
  <c r="AD403" i="1"/>
  <c r="AD405" i="1"/>
  <c r="AD466" i="1"/>
  <c r="AD468" i="1"/>
  <c r="AD470" i="1"/>
  <c r="AD472" i="1"/>
  <c r="AD474" i="1"/>
  <c r="AD476" i="1"/>
  <c r="AD478" i="1"/>
  <c r="AD480" i="1"/>
  <c r="AD482" i="1"/>
  <c r="AD484" i="1"/>
  <c r="AD486" i="1"/>
  <c r="AD488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266" i="1"/>
  <c r="AD261" i="1"/>
  <c r="AD256" i="1"/>
  <c r="AD253" i="1"/>
  <c r="AD252" i="1"/>
  <c r="AD196" i="1"/>
  <c r="AD111" i="1"/>
  <c r="AD50" i="1"/>
  <c r="AD37" i="1"/>
  <c r="AD84" i="1"/>
  <c r="AD43" i="1"/>
  <c r="AD36" i="1"/>
  <c r="AD88" i="1"/>
  <c r="AD64" i="1"/>
  <c r="AD224" i="1"/>
  <c r="AD104" i="1"/>
  <c r="AD72" i="1"/>
  <c r="AD114" i="1"/>
  <c r="AD241" i="1"/>
  <c r="AD235" i="1"/>
  <c r="AD228" i="1"/>
  <c r="AD207" i="1"/>
  <c r="AD251" i="1"/>
  <c r="AD247" i="1"/>
  <c r="AD90" i="1"/>
  <c r="AD89" i="1"/>
  <c r="AD186" i="1"/>
  <c r="AD181" i="1"/>
  <c r="AD175" i="1"/>
  <c r="AD126" i="1"/>
  <c r="AD373" i="1"/>
  <c r="AD379" i="1"/>
  <c r="AD385" i="1"/>
  <c r="AD391" i="1"/>
  <c r="AD396" i="1"/>
  <c r="AD402" i="1"/>
  <c r="AD404" i="1"/>
  <c r="AD465" i="1"/>
  <c r="AD467" i="1"/>
  <c r="AD469" i="1"/>
  <c r="AD471" i="1"/>
  <c r="AD473" i="1"/>
  <c r="AD475" i="1"/>
  <c r="AD477" i="1"/>
  <c r="AD479" i="1"/>
  <c r="AD481" i="1"/>
  <c r="AD483" i="1"/>
  <c r="AD485" i="1"/>
  <c r="AD487" i="1"/>
  <c r="AD489" i="1"/>
  <c r="AD491" i="1"/>
  <c r="AD492" i="1"/>
  <c r="AD87" i="1"/>
  <c r="AD85" i="1"/>
  <c r="AD81" i="1"/>
  <c r="AD77" i="1"/>
  <c r="AD75" i="1"/>
  <c r="AD73" i="1"/>
  <c r="AD67" i="1"/>
  <c r="AD65" i="1"/>
  <c r="AD62" i="1"/>
  <c r="AD61" i="1"/>
  <c r="AD60" i="1"/>
  <c r="AD59" i="1"/>
  <c r="AD58" i="1"/>
  <c r="AD57" i="1"/>
  <c r="AD56" i="1"/>
  <c r="AD55" i="1"/>
  <c r="AD54" i="1"/>
  <c r="AD53" i="1"/>
  <c r="AD52" i="1"/>
  <c r="AD210" i="1"/>
  <c r="AD265" i="1"/>
  <c r="AD260" i="1"/>
  <c r="AD208" i="1"/>
  <c r="AD188" i="1"/>
  <c r="AD169" i="1"/>
  <c r="AD164" i="1"/>
  <c r="AD158" i="1"/>
  <c r="AD156" i="1"/>
  <c r="AD152" i="1"/>
  <c r="AD147" i="1"/>
  <c r="AD116" i="1"/>
  <c r="AD112" i="1"/>
  <c r="AD199" i="1"/>
  <c r="AD141" i="1"/>
  <c r="AD136" i="1"/>
  <c r="AD134" i="1"/>
  <c r="AD129" i="1"/>
  <c r="AD124" i="1"/>
  <c r="AD118" i="1"/>
  <c r="AD108" i="1"/>
  <c r="AD420" i="1"/>
  <c r="AD422" i="1"/>
  <c r="AD424" i="1"/>
  <c r="AD426" i="1"/>
  <c r="AD428" i="1"/>
  <c r="AD430" i="1"/>
  <c r="AD433" i="1"/>
  <c r="AD434" i="1"/>
  <c r="AD436" i="1"/>
  <c r="AD438" i="1"/>
  <c r="AD440" i="1"/>
  <c r="AD441" i="1"/>
  <c r="AD444" i="1"/>
  <c r="AD446" i="1"/>
  <c r="AD448" i="1"/>
  <c r="AD450" i="1"/>
  <c r="AD451" i="1"/>
  <c r="AD453" i="1"/>
  <c r="AD455" i="1"/>
  <c r="AD490" i="1"/>
  <c r="AD493" i="1"/>
  <c r="AD456" i="1"/>
  <c r="AD457" i="1"/>
  <c r="AD458" i="1"/>
  <c r="AD459" i="1"/>
  <c r="AD460" i="1"/>
  <c r="AD461" i="1"/>
  <c r="AD462" i="1"/>
  <c r="AD463" i="1"/>
  <c r="AD464" i="1"/>
  <c r="AD550" i="1"/>
  <c r="AD268" i="1"/>
  <c r="AD262" i="1"/>
  <c r="AD259" i="1"/>
  <c r="AD255" i="1"/>
  <c r="AD132" i="1"/>
  <c r="AD189" i="1"/>
  <c r="AD178" i="1"/>
  <c r="AD168" i="1"/>
  <c r="AD165" i="1"/>
  <c r="AD161" i="1"/>
  <c r="AD157" i="1"/>
  <c r="AD153" i="1"/>
  <c r="AD150" i="1"/>
  <c r="AD76" i="1"/>
  <c r="AD128" i="1"/>
  <c r="AD41" i="1"/>
  <c r="AD219" i="1"/>
  <c r="AD209" i="1"/>
  <c r="AD146" i="1"/>
  <c r="AD144" i="1"/>
  <c r="AD140" i="1"/>
  <c r="AD137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1" i="1"/>
  <c r="AD423" i="1"/>
  <c r="AD425" i="1"/>
  <c r="AD427" i="1"/>
  <c r="AD429" i="1"/>
  <c r="AD431" i="1"/>
  <c r="AD432" i="1"/>
  <c r="AD435" i="1"/>
  <c r="AD437" i="1"/>
  <c r="AD439" i="1"/>
  <c r="AD442" i="1"/>
  <c r="AD443" i="1"/>
  <c r="AD445" i="1"/>
  <c r="AD447" i="1"/>
  <c r="AD449" i="1"/>
  <c r="AD452" i="1"/>
  <c r="AD454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79" i="1"/>
  <c r="AD377" i="1"/>
  <c r="AD384" i="1"/>
  <c r="AD390" i="1"/>
  <c r="AD397" i="1"/>
  <c r="AD576" i="1"/>
  <c r="AD263" i="1"/>
  <c r="AD183" i="1"/>
  <c r="AD166" i="1"/>
  <c r="AD133" i="1"/>
  <c r="AD139" i="1"/>
  <c r="AD125" i="1"/>
  <c r="AD123" i="1"/>
  <c r="AD100" i="1"/>
  <c r="AD97" i="1"/>
  <c r="AD264" i="1"/>
  <c r="AD257" i="1"/>
  <c r="AD127" i="1"/>
  <c r="AD171" i="1"/>
  <c r="AD187" i="1"/>
  <c r="AD170" i="1"/>
  <c r="AD167" i="1"/>
  <c r="AD163" i="1"/>
  <c r="AD160" i="1"/>
  <c r="AD155" i="1"/>
  <c r="AD151" i="1"/>
  <c r="AD148" i="1"/>
  <c r="AD66" i="1"/>
  <c r="AD47" i="1"/>
  <c r="AD204" i="1"/>
  <c r="AD145" i="1"/>
  <c r="AD142" i="1"/>
  <c r="AD138" i="1"/>
  <c r="AD217" i="1"/>
  <c r="AD206" i="1"/>
  <c r="AD120" i="1"/>
  <c r="AD115" i="1"/>
  <c r="AD105" i="1"/>
  <c r="AD94" i="1"/>
  <c r="AD331" i="1"/>
  <c r="AD68" i="1"/>
  <c r="AD71" i="1"/>
  <c r="AD238" i="1"/>
  <c r="AD185" i="1"/>
  <c r="AD212" i="1"/>
  <c r="AD93" i="1"/>
  <c r="AD174" i="1"/>
  <c r="AD227" i="1"/>
  <c r="AD44" i="1"/>
  <c r="AD35" i="1"/>
  <c r="AD274" i="1"/>
  <c r="AD273" i="1"/>
  <c r="AD272" i="1"/>
  <c r="AD271" i="1"/>
  <c r="AD270" i="1"/>
  <c r="AD269" i="1"/>
  <c r="AD267" i="1"/>
  <c r="AD215" i="1"/>
  <c r="AD95" i="1"/>
  <c r="AD184" i="1"/>
  <c r="AD101" i="1"/>
  <c r="AD214" i="1"/>
  <c r="AD198" i="1"/>
  <c r="AD48" i="1"/>
  <c r="AD103" i="1"/>
  <c r="AD33" i="1"/>
  <c r="AD177" i="1"/>
  <c r="AD34" i="1"/>
  <c r="AD225" i="1"/>
  <c r="AD117" i="1"/>
  <c r="AD109" i="1"/>
  <c r="AD333" i="1"/>
  <c r="AD69" i="1"/>
  <c r="AD40" i="1"/>
  <c r="AD173" i="1"/>
  <c r="AD233" i="1"/>
  <c r="AD234" i="1"/>
  <c r="AD42" i="1"/>
  <c r="AD193" i="1"/>
  <c r="AD195" i="1"/>
  <c r="AD232" i="1"/>
  <c r="AD245" i="1"/>
  <c r="AD216" i="1"/>
  <c r="AD240" i="1"/>
  <c r="AD580" i="1"/>
  <c r="AD179" i="1"/>
  <c r="AD246" i="1"/>
  <c r="AD226" i="1"/>
  <c r="AD49" i="1"/>
  <c r="AD213" i="1"/>
  <c r="AD82" i="1"/>
  <c r="AD239" i="1"/>
  <c r="AD83" i="1"/>
  <c r="AD2" i="1"/>
  <c r="AM2" i="1" s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8" i="1"/>
  <c r="AD378" i="1"/>
  <c r="AD383" i="1"/>
  <c r="AD389" i="1"/>
  <c r="AD395" i="1"/>
  <c r="AD400" i="1"/>
  <c r="AD578" i="1"/>
  <c r="AD254" i="1"/>
  <c r="AD172" i="1"/>
  <c r="AD154" i="1"/>
  <c r="AD96" i="1"/>
  <c r="AD143" i="1"/>
  <c r="AD110" i="1"/>
  <c r="AD203" i="1"/>
  <c r="AD376" i="1"/>
  <c r="AD382" i="1"/>
  <c r="AD388" i="1"/>
  <c r="AD394" i="1"/>
  <c r="AD401" i="1"/>
  <c r="AD579" i="1"/>
  <c r="AD130" i="1"/>
  <c r="AD162" i="1"/>
  <c r="AD149" i="1"/>
  <c r="AD218" i="1"/>
  <c r="AD135" i="1"/>
  <c r="AD211" i="1"/>
  <c r="AD32" i="1"/>
  <c r="AD248" i="1"/>
  <c r="AD375" i="1"/>
  <c r="AD381" i="1"/>
  <c r="AD387" i="1"/>
  <c r="AD393" i="1"/>
  <c r="AD399" i="1"/>
  <c r="AD577" i="1"/>
  <c r="AD258" i="1"/>
  <c r="AD159" i="1"/>
  <c r="AD180" i="1"/>
  <c r="AD194" i="1"/>
  <c r="AD102" i="1"/>
  <c r="AD581" i="1"/>
  <c r="Y582" i="1"/>
  <c r="R634" i="1"/>
  <c r="S634" i="1" s="1"/>
  <c r="P583" i="1"/>
  <c r="X583" i="1"/>
  <c r="V614" i="1"/>
  <c r="U615" i="1" s="1"/>
  <c r="V615" i="1" s="1"/>
  <c r="U616" i="1" s="1"/>
  <c r="AM3" i="1" l="1"/>
  <c r="AM4" i="1" s="1"/>
  <c r="AM5" i="1" s="1"/>
  <c r="AM6" i="1" s="1"/>
  <c r="AM7" i="1" s="1"/>
  <c r="AM8" i="1" s="1"/>
  <c r="AM9" i="1" s="1"/>
  <c r="AM10" i="1" s="1"/>
  <c r="AM11" i="1" s="1"/>
  <c r="AM12" i="1" s="1"/>
  <c r="AM13" i="1" s="1"/>
  <c r="AM14" i="1" s="1"/>
  <c r="AM15" i="1" s="1"/>
  <c r="AM16" i="1" s="1"/>
  <c r="AM17" i="1" s="1"/>
  <c r="AM18" i="1" s="1"/>
  <c r="AM19" i="1" s="1"/>
  <c r="AM20" i="1" s="1"/>
  <c r="AM21" i="1" s="1"/>
  <c r="AM22" i="1" s="1"/>
  <c r="AM23" i="1" s="1"/>
  <c r="AM24" i="1" s="1"/>
  <c r="AM25" i="1" s="1"/>
  <c r="AM26" i="1" s="1"/>
  <c r="AM27" i="1" s="1"/>
  <c r="AM28" i="1" s="1"/>
  <c r="AM29" i="1" s="1"/>
  <c r="AM30" i="1" s="1"/>
  <c r="AM31" i="1" s="1"/>
  <c r="AM32" i="1" s="1"/>
  <c r="AM33" i="1" s="1"/>
  <c r="AM34" i="1" s="1"/>
  <c r="AM35" i="1" s="1"/>
  <c r="AM36" i="1" s="1"/>
  <c r="AM37" i="1" s="1"/>
  <c r="AM38" i="1" s="1"/>
  <c r="AM39" i="1" s="1"/>
  <c r="AM40" i="1" s="1"/>
  <c r="AM41" i="1" s="1"/>
  <c r="AM42" i="1" s="1"/>
  <c r="AM43" i="1" s="1"/>
  <c r="AM44" i="1" s="1"/>
  <c r="AM45" i="1" s="1"/>
  <c r="AM46" i="1" s="1"/>
  <c r="AM47" i="1" s="1"/>
  <c r="AM48" i="1" s="1"/>
  <c r="AM49" i="1" s="1"/>
  <c r="AM50" i="1" s="1"/>
  <c r="AM51" i="1" s="1"/>
  <c r="AM52" i="1" s="1"/>
  <c r="AM53" i="1" s="1"/>
  <c r="AM54" i="1" s="1"/>
  <c r="AM55" i="1" s="1"/>
  <c r="AM56" i="1" s="1"/>
  <c r="AM57" i="1" s="1"/>
  <c r="AM58" i="1" s="1"/>
  <c r="AM59" i="1" s="1"/>
  <c r="AM60" i="1" s="1"/>
  <c r="AM61" i="1" s="1"/>
  <c r="AM62" i="1" s="1"/>
  <c r="AM63" i="1" s="1"/>
  <c r="AM64" i="1" s="1"/>
  <c r="AM65" i="1" s="1"/>
  <c r="AM66" i="1" s="1"/>
  <c r="AM67" i="1" s="1"/>
  <c r="AM68" i="1" s="1"/>
  <c r="AM69" i="1" s="1"/>
  <c r="AM70" i="1" s="1"/>
  <c r="AM71" i="1" s="1"/>
  <c r="AM72" i="1" s="1"/>
  <c r="AM73" i="1" s="1"/>
  <c r="AM74" i="1" s="1"/>
  <c r="AM75" i="1" s="1"/>
  <c r="AM76" i="1" s="1"/>
  <c r="AM77" i="1" s="1"/>
  <c r="AM78" i="1" s="1"/>
  <c r="AM79" i="1" s="1"/>
  <c r="AM80" i="1" s="1"/>
  <c r="AM81" i="1" s="1"/>
  <c r="AM82" i="1" s="1"/>
  <c r="AM83" i="1" s="1"/>
  <c r="AM84" i="1" s="1"/>
  <c r="AM85" i="1" s="1"/>
  <c r="AM86" i="1" s="1"/>
  <c r="AM87" i="1" s="1"/>
  <c r="AM88" i="1" s="1"/>
  <c r="AM89" i="1" s="1"/>
  <c r="AM90" i="1" s="1"/>
  <c r="AM91" i="1" s="1"/>
  <c r="AM92" i="1" s="1"/>
  <c r="AM93" i="1" s="1"/>
  <c r="AM94" i="1" s="1"/>
  <c r="AM95" i="1" s="1"/>
  <c r="AM96" i="1" s="1"/>
  <c r="AM97" i="1" s="1"/>
  <c r="AM98" i="1" s="1"/>
  <c r="AM99" i="1" s="1"/>
  <c r="AM100" i="1" s="1"/>
  <c r="AM101" i="1" s="1"/>
  <c r="AM102" i="1" s="1"/>
  <c r="AM103" i="1" s="1"/>
  <c r="AM104" i="1" s="1"/>
  <c r="AM105" i="1" s="1"/>
  <c r="AM106" i="1" s="1"/>
  <c r="AM107" i="1" s="1"/>
  <c r="AM108" i="1" s="1"/>
  <c r="AM109" i="1" s="1"/>
  <c r="AM110" i="1" s="1"/>
  <c r="AM111" i="1" s="1"/>
  <c r="AM112" i="1" s="1"/>
  <c r="AM113" i="1" s="1"/>
  <c r="AM114" i="1" s="1"/>
  <c r="AM115" i="1" s="1"/>
  <c r="AM116" i="1" s="1"/>
  <c r="AM117" i="1" s="1"/>
  <c r="AM118" i="1" s="1"/>
  <c r="AM119" i="1" s="1"/>
  <c r="AM120" i="1" s="1"/>
  <c r="AM121" i="1" s="1"/>
  <c r="AM122" i="1" s="1"/>
  <c r="AM123" i="1" s="1"/>
  <c r="AM124" i="1" s="1"/>
  <c r="AM125" i="1" s="1"/>
  <c r="AM126" i="1" s="1"/>
  <c r="AM127" i="1" s="1"/>
  <c r="AM128" i="1" s="1"/>
  <c r="AM129" i="1" s="1"/>
  <c r="AM130" i="1" s="1"/>
  <c r="AM131" i="1" s="1"/>
  <c r="AM132" i="1" s="1"/>
  <c r="AM133" i="1" s="1"/>
  <c r="AM134" i="1" s="1"/>
  <c r="AM135" i="1" s="1"/>
  <c r="AM136" i="1" s="1"/>
  <c r="AM137" i="1" s="1"/>
  <c r="AM138" i="1" s="1"/>
  <c r="AM139" i="1" s="1"/>
  <c r="AM140" i="1" s="1"/>
  <c r="AM141" i="1" s="1"/>
  <c r="AM142" i="1" s="1"/>
  <c r="AM143" i="1" s="1"/>
  <c r="AM144" i="1" s="1"/>
  <c r="AM145" i="1" s="1"/>
  <c r="AM146" i="1" s="1"/>
  <c r="AM147" i="1" s="1"/>
  <c r="AM148" i="1" s="1"/>
  <c r="AM149" i="1" s="1"/>
  <c r="AM150" i="1" s="1"/>
  <c r="AM151" i="1" s="1"/>
  <c r="AM152" i="1" s="1"/>
  <c r="AM153" i="1" s="1"/>
  <c r="AM154" i="1" s="1"/>
  <c r="AM155" i="1" s="1"/>
  <c r="AM156" i="1" s="1"/>
  <c r="AM157" i="1" s="1"/>
  <c r="AM158" i="1" s="1"/>
  <c r="AM159" i="1" s="1"/>
  <c r="AM160" i="1" s="1"/>
  <c r="AM161" i="1" s="1"/>
  <c r="AM162" i="1" s="1"/>
  <c r="AM163" i="1" s="1"/>
  <c r="AM164" i="1" s="1"/>
  <c r="AM165" i="1" s="1"/>
  <c r="AM166" i="1" s="1"/>
  <c r="AM167" i="1" s="1"/>
  <c r="AM168" i="1" s="1"/>
  <c r="AM169" i="1" s="1"/>
  <c r="AM170" i="1" s="1"/>
  <c r="AM171" i="1" s="1"/>
  <c r="AM172" i="1" s="1"/>
  <c r="AM173" i="1" s="1"/>
  <c r="AM174" i="1" s="1"/>
  <c r="AM175" i="1" s="1"/>
  <c r="AM176" i="1" s="1"/>
  <c r="AM177" i="1" s="1"/>
  <c r="AM178" i="1" s="1"/>
  <c r="AM179" i="1" s="1"/>
  <c r="AM180" i="1" s="1"/>
  <c r="AM181" i="1" s="1"/>
  <c r="AM182" i="1" s="1"/>
  <c r="AM183" i="1" s="1"/>
  <c r="AM184" i="1" s="1"/>
  <c r="AM185" i="1" s="1"/>
  <c r="AM186" i="1" s="1"/>
  <c r="AM187" i="1" s="1"/>
  <c r="AM188" i="1" s="1"/>
  <c r="AM189" i="1" s="1"/>
  <c r="AM190" i="1" s="1"/>
  <c r="AM191" i="1" s="1"/>
  <c r="AM192" i="1" s="1"/>
  <c r="AM193" i="1" s="1"/>
  <c r="AM194" i="1" s="1"/>
  <c r="AM195" i="1" s="1"/>
  <c r="AM196" i="1" s="1"/>
  <c r="AM197" i="1" s="1"/>
  <c r="AM198" i="1" s="1"/>
  <c r="AM199" i="1" s="1"/>
  <c r="AM200" i="1" s="1"/>
  <c r="AM201" i="1" s="1"/>
  <c r="AM202" i="1" s="1"/>
  <c r="AM203" i="1" s="1"/>
  <c r="AM204" i="1" s="1"/>
  <c r="AM205" i="1" s="1"/>
  <c r="AM206" i="1" s="1"/>
  <c r="AM207" i="1" s="1"/>
  <c r="AM208" i="1" s="1"/>
  <c r="AM209" i="1" s="1"/>
  <c r="AM210" i="1" s="1"/>
  <c r="AM211" i="1" s="1"/>
  <c r="AM212" i="1" s="1"/>
  <c r="AM213" i="1" s="1"/>
  <c r="AM214" i="1" s="1"/>
  <c r="AM215" i="1" s="1"/>
  <c r="AM216" i="1" s="1"/>
  <c r="AM217" i="1" s="1"/>
  <c r="AM218" i="1" s="1"/>
  <c r="AM219" i="1" s="1"/>
  <c r="AM220" i="1" s="1"/>
  <c r="AM221" i="1" s="1"/>
  <c r="AM222" i="1" s="1"/>
  <c r="AM223" i="1" s="1"/>
  <c r="AM224" i="1" s="1"/>
  <c r="AM225" i="1" s="1"/>
  <c r="AM226" i="1" s="1"/>
  <c r="AM227" i="1" s="1"/>
  <c r="AM228" i="1" s="1"/>
  <c r="AM229" i="1" s="1"/>
  <c r="AM230" i="1" s="1"/>
  <c r="AM231" i="1" s="1"/>
  <c r="AM232" i="1" s="1"/>
  <c r="AM233" i="1" s="1"/>
  <c r="AM234" i="1" s="1"/>
  <c r="AM235" i="1" s="1"/>
  <c r="AM236" i="1" s="1"/>
  <c r="AM237" i="1" s="1"/>
  <c r="AM238" i="1" s="1"/>
  <c r="AM239" i="1" s="1"/>
  <c r="AM240" i="1" s="1"/>
  <c r="AM241" i="1" s="1"/>
  <c r="AM242" i="1" s="1"/>
  <c r="AM243" i="1" s="1"/>
  <c r="AM244" i="1" s="1"/>
  <c r="AM245" i="1" s="1"/>
  <c r="AM246" i="1" s="1"/>
  <c r="AM247" i="1" s="1"/>
  <c r="AM248" i="1" s="1"/>
  <c r="AM249" i="1" s="1"/>
  <c r="AM250" i="1" s="1"/>
  <c r="AM251" i="1" s="1"/>
  <c r="AM252" i="1" s="1"/>
  <c r="AM253" i="1" s="1"/>
  <c r="AM254" i="1" s="1"/>
  <c r="AM255" i="1" s="1"/>
  <c r="AM256" i="1" s="1"/>
  <c r="AM257" i="1" s="1"/>
  <c r="AM258" i="1" s="1"/>
  <c r="AM259" i="1" s="1"/>
  <c r="AM260" i="1" s="1"/>
  <c r="AM261" i="1" s="1"/>
  <c r="AM262" i="1" s="1"/>
  <c r="AM263" i="1" s="1"/>
  <c r="AM264" i="1" s="1"/>
  <c r="AM265" i="1" s="1"/>
  <c r="AM266" i="1" s="1"/>
  <c r="AM267" i="1" s="1"/>
  <c r="AM268" i="1" s="1"/>
  <c r="AM269" i="1" s="1"/>
  <c r="AM270" i="1" s="1"/>
  <c r="AM271" i="1" s="1"/>
  <c r="AM272" i="1" s="1"/>
  <c r="AM273" i="1" s="1"/>
  <c r="AM274" i="1" s="1"/>
  <c r="AM275" i="1" s="1"/>
  <c r="AM276" i="1" s="1"/>
  <c r="AM277" i="1" s="1"/>
  <c r="AM278" i="1" s="1"/>
  <c r="AM279" i="1" s="1"/>
  <c r="AM280" i="1" s="1"/>
  <c r="AM281" i="1" s="1"/>
  <c r="AM282" i="1" s="1"/>
  <c r="AM283" i="1" s="1"/>
  <c r="AM284" i="1" s="1"/>
  <c r="AM285" i="1" s="1"/>
  <c r="AM286" i="1" s="1"/>
  <c r="AM287" i="1" s="1"/>
  <c r="AM288" i="1" s="1"/>
  <c r="AM289" i="1" s="1"/>
  <c r="AM290" i="1" s="1"/>
  <c r="AM291" i="1" s="1"/>
  <c r="AM292" i="1" s="1"/>
  <c r="AM293" i="1" s="1"/>
  <c r="AM294" i="1" s="1"/>
  <c r="AM295" i="1" s="1"/>
  <c r="AM296" i="1" s="1"/>
  <c r="AM297" i="1" s="1"/>
  <c r="AM298" i="1" s="1"/>
  <c r="AM299" i="1" s="1"/>
  <c r="AM300" i="1" s="1"/>
  <c r="AM301" i="1" s="1"/>
  <c r="AM302" i="1" s="1"/>
  <c r="AM303" i="1" s="1"/>
  <c r="AM304" i="1" s="1"/>
  <c r="AM305" i="1" s="1"/>
  <c r="AM306" i="1" s="1"/>
  <c r="AM307" i="1" s="1"/>
  <c r="AM308" i="1" s="1"/>
  <c r="AM309" i="1" s="1"/>
  <c r="AM310" i="1" s="1"/>
  <c r="AM311" i="1" s="1"/>
  <c r="AM312" i="1" s="1"/>
  <c r="AM313" i="1" s="1"/>
  <c r="AM314" i="1" s="1"/>
  <c r="AM315" i="1" s="1"/>
  <c r="AM316" i="1" s="1"/>
  <c r="AM317" i="1" s="1"/>
  <c r="AM318" i="1" s="1"/>
  <c r="AM319" i="1" s="1"/>
  <c r="AM320" i="1" s="1"/>
  <c r="AM321" i="1" s="1"/>
  <c r="AM322" i="1" s="1"/>
  <c r="AM323" i="1" s="1"/>
  <c r="AM324" i="1" s="1"/>
  <c r="AM325" i="1" s="1"/>
  <c r="AM326" i="1" s="1"/>
  <c r="AM327" i="1" s="1"/>
  <c r="AM328" i="1" s="1"/>
  <c r="AM329" i="1" s="1"/>
  <c r="AM330" i="1" s="1"/>
  <c r="AM331" i="1" s="1"/>
  <c r="AM332" i="1" s="1"/>
  <c r="AM333" i="1" s="1"/>
  <c r="AM334" i="1" s="1"/>
  <c r="AM335" i="1" s="1"/>
  <c r="AM336" i="1" s="1"/>
  <c r="AM337" i="1" s="1"/>
  <c r="AM338" i="1" s="1"/>
  <c r="AM339" i="1" s="1"/>
  <c r="AM340" i="1" s="1"/>
  <c r="AM341" i="1" s="1"/>
  <c r="AM342" i="1" s="1"/>
  <c r="AM343" i="1" s="1"/>
  <c r="AM344" i="1" s="1"/>
  <c r="AM345" i="1" s="1"/>
  <c r="AM346" i="1" s="1"/>
  <c r="AM347" i="1" s="1"/>
  <c r="AM348" i="1" s="1"/>
  <c r="AM349" i="1" s="1"/>
  <c r="AM350" i="1" s="1"/>
  <c r="AM351" i="1" s="1"/>
  <c r="AM352" i="1" s="1"/>
  <c r="AM353" i="1" s="1"/>
  <c r="AM354" i="1" s="1"/>
  <c r="AM355" i="1" s="1"/>
  <c r="AM356" i="1" s="1"/>
  <c r="AM357" i="1" s="1"/>
  <c r="AM358" i="1" s="1"/>
  <c r="AM359" i="1" s="1"/>
  <c r="AM360" i="1" s="1"/>
  <c r="AM361" i="1" s="1"/>
  <c r="AM362" i="1" s="1"/>
  <c r="AM363" i="1" s="1"/>
  <c r="AM364" i="1" s="1"/>
  <c r="AM365" i="1" s="1"/>
  <c r="AM366" i="1" s="1"/>
  <c r="AM367" i="1" s="1"/>
  <c r="AM368" i="1" s="1"/>
  <c r="AM369" i="1" s="1"/>
  <c r="AM370" i="1" s="1"/>
  <c r="AM371" i="1" s="1"/>
  <c r="AM372" i="1" s="1"/>
  <c r="AM373" i="1" s="1"/>
  <c r="AM374" i="1" s="1"/>
  <c r="AM375" i="1" s="1"/>
  <c r="AM376" i="1" s="1"/>
  <c r="AM377" i="1" s="1"/>
  <c r="AM378" i="1" s="1"/>
  <c r="AM379" i="1" s="1"/>
  <c r="AM380" i="1" s="1"/>
  <c r="AM381" i="1" s="1"/>
  <c r="AM382" i="1" s="1"/>
  <c r="AM383" i="1" s="1"/>
  <c r="AM384" i="1" s="1"/>
  <c r="AM385" i="1" s="1"/>
  <c r="AM386" i="1" s="1"/>
  <c r="AM387" i="1" s="1"/>
  <c r="AM388" i="1" s="1"/>
  <c r="AM389" i="1" s="1"/>
  <c r="AM390" i="1" s="1"/>
  <c r="AM391" i="1" s="1"/>
  <c r="AM392" i="1" s="1"/>
  <c r="AM393" i="1" s="1"/>
  <c r="AM394" i="1" s="1"/>
  <c r="AM395" i="1" s="1"/>
  <c r="AM396" i="1" s="1"/>
  <c r="AM397" i="1" s="1"/>
  <c r="AM398" i="1" s="1"/>
  <c r="AM399" i="1" s="1"/>
  <c r="AM400" i="1" s="1"/>
  <c r="AM401" i="1" s="1"/>
  <c r="AM402" i="1" s="1"/>
  <c r="AM403" i="1" s="1"/>
  <c r="AM404" i="1" s="1"/>
  <c r="AM405" i="1" s="1"/>
  <c r="AM406" i="1" s="1"/>
  <c r="AM407" i="1" s="1"/>
  <c r="AM408" i="1" s="1"/>
  <c r="AM409" i="1" s="1"/>
  <c r="AM410" i="1" s="1"/>
  <c r="AM411" i="1" s="1"/>
  <c r="AM412" i="1" s="1"/>
  <c r="AM413" i="1" s="1"/>
  <c r="AM414" i="1" s="1"/>
  <c r="AM415" i="1" s="1"/>
  <c r="AM416" i="1" s="1"/>
  <c r="AM417" i="1" s="1"/>
  <c r="AM418" i="1" s="1"/>
  <c r="AM419" i="1" s="1"/>
  <c r="AM420" i="1" s="1"/>
  <c r="AM421" i="1" s="1"/>
  <c r="AM422" i="1" s="1"/>
  <c r="AM423" i="1" s="1"/>
  <c r="AM424" i="1" s="1"/>
  <c r="AM425" i="1" s="1"/>
  <c r="AM426" i="1" s="1"/>
  <c r="AM427" i="1" s="1"/>
  <c r="AM428" i="1" s="1"/>
  <c r="AM429" i="1" s="1"/>
  <c r="AM430" i="1" s="1"/>
  <c r="AM431" i="1" s="1"/>
  <c r="AM432" i="1" s="1"/>
  <c r="AM433" i="1" s="1"/>
  <c r="AM434" i="1" s="1"/>
  <c r="AM435" i="1" s="1"/>
  <c r="AM436" i="1" s="1"/>
  <c r="AM437" i="1" s="1"/>
  <c r="AM438" i="1" s="1"/>
  <c r="AM439" i="1" s="1"/>
  <c r="AM440" i="1" s="1"/>
  <c r="AM441" i="1" s="1"/>
  <c r="AM442" i="1" s="1"/>
  <c r="AM443" i="1" s="1"/>
  <c r="AM444" i="1" s="1"/>
  <c r="AM445" i="1" s="1"/>
  <c r="AM446" i="1" s="1"/>
  <c r="AM447" i="1" s="1"/>
  <c r="AM448" i="1" s="1"/>
  <c r="AM449" i="1" s="1"/>
  <c r="AM450" i="1" s="1"/>
  <c r="AM451" i="1" s="1"/>
  <c r="AM452" i="1" s="1"/>
  <c r="AM453" i="1" s="1"/>
  <c r="AM454" i="1" s="1"/>
  <c r="AM455" i="1" s="1"/>
  <c r="AM456" i="1" s="1"/>
  <c r="AM457" i="1" s="1"/>
  <c r="AM458" i="1" s="1"/>
  <c r="AM459" i="1" s="1"/>
  <c r="AM460" i="1" s="1"/>
  <c r="AM461" i="1" s="1"/>
  <c r="AM462" i="1" s="1"/>
  <c r="AM463" i="1" s="1"/>
  <c r="AM464" i="1" s="1"/>
  <c r="AM465" i="1" s="1"/>
  <c r="AM466" i="1" s="1"/>
  <c r="AM467" i="1" s="1"/>
  <c r="AM468" i="1" s="1"/>
  <c r="AM469" i="1" s="1"/>
  <c r="AM470" i="1" s="1"/>
  <c r="AM471" i="1" s="1"/>
  <c r="AM472" i="1" s="1"/>
  <c r="AM473" i="1" s="1"/>
  <c r="AM474" i="1" s="1"/>
  <c r="AM475" i="1" s="1"/>
  <c r="AM476" i="1" s="1"/>
  <c r="AM477" i="1" s="1"/>
  <c r="AM478" i="1" s="1"/>
  <c r="AM479" i="1" s="1"/>
  <c r="AM480" i="1" s="1"/>
  <c r="AM481" i="1" s="1"/>
  <c r="AM482" i="1" s="1"/>
  <c r="AM483" i="1" s="1"/>
  <c r="AM484" i="1" s="1"/>
  <c r="AM485" i="1" s="1"/>
  <c r="AM486" i="1" s="1"/>
  <c r="AM487" i="1" s="1"/>
  <c r="AM488" i="1" s="1"/>
  <c r="AM489" i="1" s="1"/>
  <c r="AM490" i="1" s="1"/>
  <c r="AM491" i="1" s="1"/>
  <c r="AM492" i="1" s="1"/>
  <c r="AM493" i="1" s="1"/>
  <c r="AM494" i="1" s="1"/>
  <c r="AM495" i="1" s="1"/>
  <c r="AM496" i="1" s="1"/>
  <c r="AM497" i="1" s="1"/>
  <c r="AM498" i="1" s="1"/>
  <c r="AM499" i="1" s="1"/>
  <c r="AM500" i="1" s="1"/>
  <c r="AM501" i="1" s="1"/>
  <c r="AM502" i="1" s="1"/>
  <c r="AM503" i="1" s="1"/>
  <c r="AM504" i="1" s="1"/>
  <c r="AM505" i="1" s="1"/>
  <c r="AM506" i="1" s="1"/>
  <c r="AM507" i="1" s="1"/>
  <c r="AM508" i="1" s="1"/>
  <c r="AM509" i="1" s="1"/>
  <c r="AM510" i="1" s="1"/>
  <c r="AM511" i="1" s="1"/>
  <c r="AM512" i="1" s="1"/>
  <c r="AM513" i="1" s="1"/>
  <c r="AM514" i="1" s="1"/>
  <c r="AM515" i="1" s="1"/>
  <c r="AM516" i="1" s="1"/>
  <c r="AM517" i="1" s="1"/>
  <c r="AM518" i="1" s="1"/>
  <c r="AM519" i="1" s="1"/>
  <c r="AM520" i="1" s="1"/>
  <c r="AM521" i="1" s="1"/>
  <c r="AM522" i="1" s="1"/>
  <c r="AM523" i="1" s="1"/>
  <c r="AM524" i="1" s="1"/>
  <c r="AM525" i="1" s="1"/>
  <c r="AM526" i="1" s="1"/>
  <c r="AM527" i="1" s="1"/>
  <c r="AM528" i="1" s="1"/>
  <c r="AM529" i="1" s="1"/>
  <c r="AM530" i="1" s="1"/>
  <c r="AM531" i="1" s="1"/>
  <c r="AM532" i="1" s="1"/>
  <c r="AM533" i="1" s="1"/>
  <c r="AM534" i="1" s="1"/>
  <c r="AM535" i="1" s="1"/>
  <c r="AM536" i="1" s="1"/>
  <c r="AM537" i="1" s="1"/>
  <c r="AM538" i="1" s="1"/>
  <c r="AM539" i="1" s="1"/>
  <c r="AM540" i="1" s="1"/>
  <c r="AM541" i="1" s="1"/>
  <c r="AM542" i="1" s="1"/>
  <c r="AM543" i="1" s="1"/>
  <c r="AM544" i="1" s="1"/>
  <c r="AM545" i="1" s="1"/>
  <c r="AM546" i="1" s="1"/>
  <c r="AM547" i="1" s="1"/>
  <c r="AM548" i="1" s="1"/>
  <c r="AM549" i="1" s="1"/>
  <c r="AM550" i="1" s="1"/>
  <c r="AM551" i="1" s="1"/>
  <c r="AM552" i="1" s="1"/>
  <c r="AM553" i="1" s="1"/>
  <c r="AM554" i="1" s="1"/>
  <c r="AM555" i="1" s="1"/>
  <c r="AM556" i="1" s="1"/>
  <c r="AM557" i="1" s="1"/>
  <c r="AM558" i="1" s="1"/>
  <c r="AM559" i="1" s="1"/>
  <c r="AM560" i="1" s="1"/>
  <c r="AM561" i="1" s="1"/>
  <c r="AM562" i="1" s="1"/>
  <c r="AM563" i="1" s="1"/>
  <c r="AM564" i="1" s="1"/>
  <c r="AM565" i="1" s="1"/>
  <c r="AM566" i="1" s="1"/>
  <c r="AM567" i="1" s="1"/>
  <c r="AM568" i="1" s="1"/>
  <c r="AM569" i="1" s="1"/>
  <c r="AM570" i="1" s="1"/>
  <c r="AM571" i="1" s="1"/>
  <c r="AM572" i="1" s="1"/>
  <c r="AM573" i="1" s="1"/>
  <c r="AM574" i="1" s="1"/>
  <c r="AM575" i="1" s="1"/>
  <c r="AM576" i="1" s="1"/>
  <c r="AM577" i="1" s="1"/>
  <c r="AM578" i="1" s="1"/>
  <c r="AM579" i="1" s="1"/>
  <c r="AM580" i="1" s="1"/>
  <c r="AM581" i="1" s="1"/>
  <c r="AL111" i="1"/>
  <c r="AL103" i="1"/>
  <c r="AL89" i="1"/>
  <c r="AL77" i="1"/>
  <c r="AL50" i="1"/>
  <c r="AL90" i="1"/>
  <c r="AL66" i="1"/>
  <c r="AL112" i="1"/>
  <c r="AL92" i="1"/>
  <c r="AL51" i="1"/>
  <c r="AL116" i="1"/>
  <c r="AL175" i="1"/>
  <c r="AL237" i="1"/>
  <c r="AL15" i="1"/>
  <c r="AL118" i="1"/>
  <c r="AL120" i="1"/>
  <c r="AL123" i="1"/>
  <c r="AL125" i="1"/>
  <c r="AL231" i="1"/>
  <c r="AL263" i="1"/>
  <c r="AL267" i="1"/>
  <c r="AL271" i="1"/>
  <c r="AL275" i="1"/>
  <c r="AL279" i="1"/>
  <c r="AL283" i="1"/>
  <c r="AL286" i="1"/>
  <c r="AL287" i="1"/>
  <c r="AL290" i="1"/>
  <c r="AL293" i="1"/>
  <c r="AL296" i="1"/>
  <c r="AL299" i="1"/>
  <c r="AL317" i="1"/>
  <c r="AL319" i="1"/>
  <c r="AL321" i="1"/>
  <c r="AL522" i="1"/>
  <c r="AL520" i="1"/>
  <c r="AL518" i="1"/>
  <c r="AL131" i="1"/>
  <c r="AL24" i="1"/>
  <c r="AL159" i="1"/>
  <c r="AL177" i="1"/>
  <c r="AL188" i="1"/>
  <c r="AL516" i="1"/>
  <c r="AL488" i="1"/>
  <c r="AL483" i="1"/>
  <c r="AL477" i="1"/>
  <c r="AL272" i="1"/>
  <c r="AL285" i="1"/>
  <c r="AL295" i="1"/>
  <c r="AL301" i="1"/>
  <c r="AL307" i="1"/>
  <c r="AL183" i="1"/>
  <c r="AL235" i="1"/>
  <c r="AL240" i="1"/>
  <c r="AL198" i="1"/>
  <c r="AL115" i="1"/>
  <c r="AL156" i="1"/>
  <c r="AL63" i="1"/>
  <c r="AL181" i="1"/>
  <c r="AL517" i="1"/>
  <c r="AL486" i="1"/>
  <c r="AL481" i="1"/>
  <c r="AL476" i="1"/>
  <c r="AL473" i="1"/>
  <c r="AL467" i="1"/>
  <c r="AL462" i="1"/>
  <c r="AL458" i="1"/>
  <c r="AL452" i="1"/>
  <c r="AL411" i="1"/>
  <c r="AL406" i="1"/>
  <c r="AL129" i="1"/>
  <c r="AL134" i="1"/>
  <c r="AL138" i="1"/>
  <c r="AL144" i="1"/>
  <c r="AL149" i="1"/>
  <c r="AL154" i="1"/>
  <c r="AL204" i="1"/>
  <c r="AL211" i="1"/>
  <c r="AL217" i="1"/>
  <c r="AL223" i="1"/>
  <c r="AL88" i="1"/>
  <c r="AL114" i="1"/>
  <c r="AL86" i="1"/>
  <c r="AL160" i="1"/>
  <c r="AL254" i="1"/>
  <c r="AL80" i="1"/>
  <c r="AL10" i="1"/>
  <c r="AL165" i="1"/>
  <c r="AL170" i="1"/>
  <c r="AL174" i="1"/>
  <c r="AL179" i="1"/>
  <c r="AL249" i="1"/>
  <c r="AL13" i="1"/>
  <c r="AL184" i="1"/>
  <c r="AL189" i="1"/>
  <c r="AL194" i="1"/>
  <c r="AL229" i="1"/>
  <c r="AL230" i="1"/>
  <c r="AL232" i="1"/>
  <c r="AL243" i="1"/>
  <c r="AL37" i="1"/>
  <c r="AL9" i="1"/>
  <c r="AL45" i="1"/>
  <c r="AL23" i="1"/>
  <c r="AL70" i="1"/>
  <c r="AL32" i="1"/>
  <c r="AL14" i="1"/>
  <c r="AL60" i="1"/>
  <c r="AL39" i="1"/>
  <c r="AL94" i="1"/>
  <c r="AL82" i="1"/>
  <c r="AL74" i="1"/>
  <c r="AL52" i="1"/>
  <c r="AL4" i="1"/>
  <c r="AL107" i="1"/>
  <c r="AL95" i="1"/>
  <c r="AL81" i="1"/>
  <c r="AL69" i="1"/>
  <c r="AL65" i="1"/>
  <c r="AL34" i="1"/>
  <c r="AL78" i="1"/>
  <c r="AL3" i="1"/>
  <c r="AL11" i="1"/>
  <c r="AL5" i="1"/>
  <c r="AL105" i="1"/>
  <c r="AL96" i="1"/>
  <c r="AL87" i="1"/>
  <c r="AL79" i="1"/>
  <c r="AL61" i="1"/>
  <c r="AL46" i="1"/>
  <c r="AL31" i="1"/>
  <c r="AL468" i="1"/>
  <c r="AL463" i="1"/>
  <c r="AL454" i="1"/>
  <c r="AL414" i="1"/>
  <c r="AL407" i="1"/>
  <c r="AL403" i="1"/>
  <c r="AL440" i="1"/>
  <c r="AL437" i="1"/>
  <c r="AL562" i="1"/>
  <c r="AL433" i="1"/>
  <c r="AL430" i="1"/>
  <c r="AL427" i="1"/>
  <c r="AL423" i="1"/>
  <c r="AL420" i="1"/>
  <c r="AL417" i="1"/>
  <c r="AL322" i="1"/>
  <c r="AL325" i="1"/>
  <c r="AL328" i="1"/>
  <c r="AL331" i="1"/>
  <c r="AL579" i="1"/>
  <c r="AL571" i="1"/>
  <c r="AL224" i="1"/>
  <c r="AL523" i="1"/>
  <c r="AL519" i="1"/>
  <c r="AL84" i="1"/>
  <c r="AL513" i="1"/>
  <c r="AL472" i="1"/>
  <c r="AL455" i="1"/>
  <c r="AL401" i="1"/>
  <c r="AL292" i="1"/>
  <c r="AL190" i="1"/>
  <c r="AL514" i="1"/>
  <c r="AL469" i="1"/>
  <c r="AL402" i="1"/>
  <c r="AL337" i="1"/>
  <c r="AL6" i="1"/>
  <c r="AL265" i="1"/>
  <c r="AL282" i="1"/>
  <c r="AL313" i="1"/>
  <c r="AL318" i="1"/>
  <c r="AL35" i="1"/>
  <c r="AL54" i="1"/>
  <c r="AL91" i="1"/>
  <c r="AL258" i="1"/>
  <c r="AL250" i="1"/>
  <c r="AL93" i="1"/>
  <c r="AL17" i="1"/>
  <c r="AL167" i="1"/>
  <c r="AL185" i="1"/>
  <c r="AL233" i="1"/>
  <c r="AL137" i="1"/>
  <c r="AL361" i="1"/>
  <c r="AL360" i="1"/>
  <c r="AL359" i="1"/>
  <c r="AL358" i="1"/>
  <c r="AL357" i="1"/>
  <c r="AL356" i="1"/>
  <c r="AL355" i="1"/>
  <c r="AL354" i="1"/>
  <c r="AL353" i="1"/>
  <c r="AL352" i="1"/>
  <c r="AL351" i="1"/>
  <c r="AL350" i="1"/>
  <c r="AL349" i="1"/>
  <c r="AL348" i="1"/>
  <c r="AL347" i="1"/>
  <c r="AL346" i="1"/>
  <c r="AL345" i="1"/>
  <c r="AL344" i="1"/>
  <c r="AL343" i="1"/>
  <c r="AL342" i="1"/>
  <c r="AL341" i="1"/>
  <c r="AL73" i="1"/>
  <c r="AL83" i="1"/>
  <c r="AL56" i="1"/>
  <c r="AL19" i="1"/>
  <c r="AL121" i="1"/>
  <c r="AL126" i="1"/>
  <c r="AL146" i="1"/>
  <c r="AL128" i="1"/>
  <c r="AL152" i="1"/>
  <c r="AL214" i="1"/>
  <c r="AL113" i="1"/>
  <c r="AL102" i="1"/>
  <c r="AL157" i="1"/>
  <c r="AL136" i="1"/>
  <c r="AL244" i="1"/>
  <c r="AL266" i="1"/>
  <c r="AL269" i="1"/>
  <c r="AL273" i="1"/>
  <c r="AL277" i="1"/>
  <c r="AL281" i="1"/>
  <c r="AL284" i="1"/>
  <c r="AL288" i="1"/>
  <c r="AL291" i="1"/>
  <c r="AL294" i="1"/>
  <c r="AL297" i="1"/>
  <c r="AL302" i="1"/>
  <c r="AL304" i="1"/>
  <c r="AL308" i="1"/>
  <c r="AL68" i="1"/>
  <c r="AL169" i="1"/>
  <c r="AL172" i="1"/>
  <c r="AL33" i="1"/>
  <c r="AL187" i="1"/>
  <c r="AL195" i="1"/>
  <c r="AL236" i="1"/>
  <c r="AL242" i="1"/>
  <c r="AL248" i="1"/>
  <c r="AL18" i="1"/>
  <c r="AL76" i="1"/>
  <c r="AL41" i="1"/>
  <c r="AL119" i="1"/>
  <c r="AL264" i="1"/>
  <c r="AL280" i="1"/>
  <c r="AL153" i="1"/>
  <c r="AL228" i="1"/>
  <c r="AL459" i="1"/>
  <c r="AL339" i="1"/>
  <c r="AL336" i="1"/>
  <c r="AL219" i="1"/>
  <c r="AL259" i="1"/>
  <c r="AL278" i="1"/>
  <c r="AL311" i="1"/>
  <c r="AL315" i="1"/>
  <c r="AL30" i="1"/>
  <c r="AL49" i="1"/>
  <c r="AL100" i="1"/>
  <c r="AL38" i="1"/>
  <c r="AL48" i="1"/>
  <c r="AL64" i="1"/>
  <c r="AL22" i="1"/>
  <c r="AL173" i="1"/>
  <c r="AL130" i="1"/>
  <c r="AL150" i="1"/>
  <c r="AL25" i="1"/>
  <c r="AL133" i="1"/>
  <c r="AL140" i="1"/>
  <c r="AL148" i="1"/>
  <c r="AL196" i="1"/>
  <c r="AL200" i="1"/>
  <c r="AL207" i="1"/>
  <c r="AL213" i="1"/>
  <c r="AL221" i="1"/>
  <c r="AL201" i="1"/>
  <c r="AL212" i="1"/>
  <c r="AL225" i="1"/>
  <c r="AL97" i="1"/>
  <c r="AL104" i="1"/>
  <c r="AL164" i="1"/>
  <c r="AL27" i="1"/>
  <c r="AL110" i="1"/>
  <c r="AL99" i="1"/>
  <c r="AL85" i="1"/>
  <c r="AL71" i="1"/>
  <c r="AL36" i="1"/>
  <c r="AL117" i="1"/>
  <c r="AL124" i="1"/>
  <c r="AL142" i="1"/>
  <c r="AL262" i="1"/>
  <c r="AL135" i="1"/>
  <c r="AL208" i="1"/>
  <c r="AL226" i="1"/>
  <c r="AL300" i="1"/>
  <c r="AL306" i="1"/>
  <c r="AL309" i="1"/>
  <c r="AL163" i="1"/>
  <c r="AL176" i="1"/>
  <c r="AL180" i="1"/>
  <c r="AL192" i="1"/>
  <c r="AL234" i="1"/>
  <c r="AL238" i="1"/>
  <c r="AL139" i="1"/>
  <c r="AL145" i="1"/>
  <c r="AL205" i="1"/>
  <c r="AL210" i="1"/>
  <c r="AL42" i="1"/>
  <c r="AL109" i="1"/>
  <c r="AL101" i="1"/>
  <c r="AL67" i="1"/>
  <c r="AL47" i="1"/>
  <c r="AL178" i="1"/>
  <c r="AL268" i="1"/>
  <c r="AL276" i="1"/>
  <c r="AL289" i="1"/>
  <c r="AL298" i="1"/>
  <c r="AL305" i="1"/>
  <c r="AL186" i="1"/>
  <c r="AL227" i="1"/>
  <c r="AL203" i="1"/>
  <c r="AL151" i="1"/>
  <c r="AL168" i="1"/>
  <c r="AL191" i="1"/>
  <c r="AL515" i="1"/>
  <c r="AL485" i="1"/>
  <c r="AL480" i="1"/>
  <c r="AL474" i="1"/>
  <c r="AL470" i="1"/>
  <c r="AL465" i="1"/>
  <c r="AL461" i="1"/>
  <c r="AL457" i="1"/>
  <c r="AL451" i="1"/>
  <c r="AL410" i="1"/>
  <c r="AL404" i="1"/>
  <c r="AL222" i="1"/>
  <c r="AL16" i="1"/>
  <c r="AL98" i="1"/>
  <c r="AL158" i="1"/>
  <c r="AL251" i="1"/>
  <c r="AL161" i="1"/>
  <c r="AL253" i="1"/>
  <c r="AL241" i="1"/>
  <c r="AL143" i="1"/>
  <c r="AL583" i="1"/>
  <c r="AL441" i="1"/>
  <c r="AL438" i="1"/>
  <c r="AL569" i="1"/>
  <c r="AL434" i="1"/>
  <c r="AL432" i="1"/>
  <c r="AL428" i="1"/>
  <c r="AL425" i="1"/>
  <c r="AL422" i="1"/>
  <c r="AL419" i="1"/>
  <c r="AL416" i="1"/>
  <c r="AL323" i="1"/>
  <c r="AL326" i="1"/>
  <c r="AL330" i="1"/>
  <c r="AL334" i="1"/>
  <c r="AL261" i="1"/>
  <c r="AL199" i="1"/>
  <c r="AL524" i="1"/>
  <c r="AL122" i="1"/>
  <c r="AL260" i="1"/>
  <c r="AL484" i="1"/>
  <c r="AL466" i="1"/>
  <c r="AL303" i="1"/>
  <c r="AL162" i="1"/>
  <c r="AL482" i="1"/>
  <c r="AL453" i="1"/>
  <c r="AL340" i="1"/>
  <c r="AL62" i="1"/>
  <c r="AL274" i="1"/>
  <c r="AL310" i="1"/>
  <c r="AL314" i="1"/>
  <c r="AL26" i="1"/>
  <c r="AL44" i="1"/>
  <c r="AL75" i="1"/>
  <c r="AL29" i="1"/>
  <c r="AL43" i="1"/>
  <c r="AL57" i="1"/>
  <c r="AL12" i="1"/>
  <c r="AL106" i="1"/>
  <c r="AL182" i="1"/>
  <c r="AL247" i="1"/>
  <c r="AL439" i="1"/>
  <c r="AL581" i="1"/>
  <c r="AL436" i="1"/>
  <c r="AL435" i="1"/>
  <c r="AL431" i="1"/>
  <c r="AL429" i="1"/>
  <c r="AL426" i="1"/>
  <c r="AL424" i="1"/>
  <c r="AL421" i="1"/>
  <c r="AL418" i="1"/>
  <c r="AL415" i="1"/>
  <c r="AL324" i="1"/>
  <c r="AL327" i="1"/>
  <c r="AL329" i="1"/>
  <c r="AL332" i="1"/>
  <c r="AL28" i="1"/>
  <c r="AL565" i="1"/>
  <c r="AL246" i="1"/>
  <c r="AL525" i="1"/>
  <c r="AL521" i="1"/>
  <c r="AL209" i="1"/>
  <c r="AL220" i="1"/>
  <c r="AL478" i="1"/>
  <c r="AL460" i="1"/>
  <c r="AL413" i="1"/>
  <c r="AL21" i="1"/>
  <c r="AL58" i="1"/>
  <c r="AL475" i="1"/>
  <c r="AL408" i="1"/>
  <c r="AL338" i="1"/>
  <c r="AL202" i="1"/>
  <c r="AL239" i="1"/>
  <c r="AL270" i="1"/>
  <c r="AL312" i="1"/>
  <c r="AL316" i="1"/>
  <c r="AL320" i="1"/>
  <c r="AL40" i="1"/>
  <c r="AL59" i="1"/>
  <c r="AL8" i="1"/>
  <c r="AL255" i="1"/>
  <c r="AL53" i="1"/>
  <c r="AL7" i="1"/>
  <c r="AL166" i="1"/>
  <c r="AL193" i="1"/>
  <c r="AL245" i="1"/>
  <c r="AL147" i="1"/>
  <c r="AL580" i="1"/>
  <c r="AL444" i="1"/>
  <c r="AL387" i="1"/>
  <c r="AL379" i="1"/>
  <c r="AL375" i="1"/>
  <c r="AL371" i="1"/>
  <c r="AL409" i="1"/>
  <c r="AL512" i="1"/>
  <c r="AL511" i="1"/>
  <c r="AL510" i="1"/>
  <c r="AL509" i="1"/>
  <c r="AL508" i="1"/>
  <c r="AL507" i="1"/>
  <c r="AL506" i="1"/>
  <c r="AL505" i="1"/>
  <c r="AL504" i="1"/>
  <c r="AL503" i="1"/>
  <c r="AL502" i="1"/>
  <c r="AL501" i="1"/>
  <c r="AL500" i="1"/>
  <c r="AL499" i="1"/>
  <c r="AL498" i="1"/>
  <c r="AL497" i="1"/>
  <c r="AL496" i="1"/>
  <c r="AL495" i="1"/>
  <c r="AL494" i="1"/>
  <c r="AL493" i="1"/>
  <c r="AL492" i="1"/>
  <c r="AL491" i="1"/>
  <c r="AL490" i="1"/>
  <c r="AL489" i="1"/>
  <c r="AL487" i="1"/>
  <c r="AL479" i="1"/>
  <c r="AL471" i="1"/>
  <c r="AL464" i="1"/>
  <c r="AL456" i="1"/>
  <c r="AL412" i="1"/>
  <c r="AL405" i="1"/>
  <c r="AL400" i="1"/>
  <c r="AL399" i="1"/>
  <c r="AL398" i="1"/>
  <c r="AL397" i="1"/>
  <c r="AL396" i="1"/>
  <c r="AL395" i="1"/>
  <c r="AL394" i="1"/>
  <c r="AL393" i="1"/>
  <c r="AL391" i="1"/>
  <c r="AL390" i="1"/>
  <c r="AL388" i="1"/>
  <c r="AL386" i="1"/>
  <c r="AL384" i="1"/>
  <c r="AL382" i="1"/>
  <c r="AL380" i="1"/>
  <c r="AL378" i="1"/>
  <c r="AL376" i="1"/>
  <c r="AL374" i="1"/>
  <c r="AL372" i="1"/>
  <c r="AL370" i="1"/>
  <c r="AL127" i="1"/>
  <c r="AL369" i="1"/>
  <c r="AL368" i="1"/>
  <c r="AL367" i="1"/>
  <c r="AL366" i="1"/>
  <c r="AL365" i="1"/>
  <c r="AL364" i="1"/>
  <c r="AL363" i="1"/>
  <c r="AL362" i="1"/>
  <c r="AL335" i="1"/>
  <c r="AL333" i="1"/>
  <c r="AL256" i="1"/>
  <c r="AL252" i="1"/>
  <c r="AL20" i="1"/>
  <c r="AL141" i="1"/>
  <c r="AL197" i="1"/>
  <c r="AL206" i="1"/>
  <c r="AL218" i="1"/>
  <c r="AL155" i="1"/>
  <c r="AL257" i="1"/>
  <c r="AL392" i="1"/>
  <c r="AL535" i="1"/>
  <c r="AL532" i="1"/>
  <c r="AL530" i="1"/>
  <c r="AL527" i="1"/>
  <c r="AL447" i="1"/>
  <c r="AL563" i="1"/>
  <c r="AL383" i="1"/>
  <c r="AL377" i="1"/>
  <c r="AL373" i="1"/>
  <c r="AL443" i="1"/>
  <c r="AL582" i="1"/>
  <c r="AL578" i="1"/>
  <c r="AL577" i="1"/>
  <c r="AL576" i="1"/>
  <c r="AL575" i="1"/>
  <c r="AL574" i="1"/>
  <c r="AL573" i="1"/>
  <c r="AL567" i="1"/>
  <c r="AL561" i="1"/>
  <c r="AL560" i="1"/>
  <c r="AL559" i="1"/>
  <c r="AL558" i="1"/>
  <c r="AL557" i="1"/>
  <c r="AL556" i="1"/>
  <c r="AL555" i="1"/>
  <c r="AL554" i="1"/>
  <c r="AL553" i="1"/>
  <c r="AL552" i="1"/>
  <c r="AL72" i="1"/>
  <c r="AL132" i="1"/>
  <c r="AL551" i="1"/>
  <c r="AL550" i="1"/>
  <c r="AL549" i="1"/>
  <c r="AL548" i="1"/>
  <c r="AL448" i="1"/>
  <c r="AL445" i="1"/>
  <c r="AL389" i="1"/>
  <c r="AL55" i="1"/>
  <c r="AL568" i="1"/>
  <c r="AL564" i="1"/>
  <c r="AL547" i="1"/>
  <c r="AL546" i="1"/>
  <c r="AL545" i="1"/>
  <c r="AL544" i="1"/>
  <c r="AL543" i="1"/>
  <c r="AL542" i="1"/>
  <c r="AL541" i="1"/>
  <c r="AL540" i="1"/>
  <c r="AL539" i="1"/>
  <c r="AL528" i="1"/>
  <c r="AL526" i="1"/>
  <c r="AL216" i="1"/>
  <c r="AL108" i="1"/>
  <c r="AL215" i="1"/>
  <c r="AL538" i="1"/>
  <c r="AL537" i="1"/>
  <c r="AL536" i="1"/>
  <c r="AL449" i="1"/>
  <c r="AL446" i="1"/>
  <c r="AL572" i="1"/>
  <c r="AL566" i="1"/>
  <c r="AL534" i="1"/>
  <c r="AL533" i="1"/>
  <c r="AL531" i="1"/>
  <c r="AL529" i="1"/>
  <c r="AL450" i="1"/>
  <c r="AL570" i="1"/>
  <c r="AL385" i="1"/>
  <c r="AL381" i="1"/>
  <c r="AL442" i="1"/>
  <c r="Y583" i="1"/>
  <c r="AD582" i="1"/>
  <c r="R635" i="1"/>
  <c r="S635" i="1" s="1"/>
  <c r="O584" i="1"/>
  <c r="V616" i="1"/>
  <c r="AM582" i="1" l="1"/>
  <c r="AD583" i="1"/>
  <c r="Y584" i="1"/>
  <c r="R636" i="1"/>
  <c r="S636" i="1" s="1"/>
  <c r="P584" i="1"/>
  <c r="X584" i="1"/>
  <c r="AL584" i="1" s="1"/>
  <c r="U617" i="1"/>
  <c r="V617" i="1" s="1"/>
  <c r="AM583" i="1" l="1"/>
  <c r="Y585" i="1"/>
  <c r="AD584" i="1"/>
  <c r="R637" i="1"/>
  <c r="O585" i="1"/>
  <c r="U618" i="1"/>
  <c r="V618" i="1" s="1"/>
  <c r="AM584" i="1" l="1"/>
  <c r="Y586" i="1"/>
  <c r="AD585" i="1"/>
  <c r="S637" i="1"/>
  <c r="X585" i="1"/>
  <c r="AL585" i="1" s="1"/>
  <c r="P585" i="1"/>
  <c r="U619" i="1"/>
  <c r="AM585" i="1" l="1"/>
  <c r="AD586" i="1"/>
  <c r="Y587" i="1"/>
  <c r="R638" i="1"/>
  <c r="O586" i="1"/>
  <c r="V619" i="1"/>
  <c r="AM586" i="1" l="1"/>
  <c r="AD587" i="1"/>
  <c r="Y588" i="1"/>
  <c r="S638" i="1"/>
  <c r="P586" i="1"/>
  <c r="X586" i="1"/>
  <c r="AL586" i="1" s="1"/>
  <c r="U620" i="1"/>
  <c r="V620" i="1" s="1"/>
  <c r="AM587" i="1" l="1"/>
  <c r="AD588" i="1"/>
  <c r="Y589" i="1"/>
  <c r="R639" i="1"/>
  <c r="S639" i="1" s="1"/>
  <c r="O587" i="1"/>
  <c r="U621" i="1"/>
  <c r="AM588" i="1" l="1"/>
  <c r="Y590" i="1"/>
  <c r="AD589" i="1"/>
  <c r="R640" i="1"/>
  <c r="X587" i="1"/>
  <c r="AL587" i="1" s="1"/>
  <c r="P587" i="1"/>
  <c r="O588" i="1" s="1"/>
  <c r="V621" i="1"/>
  <c r="AM589" i="1" l="1"/>
  <c r="AD590" i="1"/>
  <c r="Y591" i="1"/>
  <c r="S640" i="1"/>
  <c r="X588" i="1"/>
  <c r="AL588" i="1" s="1"/>
  <c r="P588" i="1"/>
  <c r="U622" i="1"/>
  <c r="V622" i="1" s="1"/>
  <c r="AM590" i="1" l="1"/>
  <c r="AD591" i="1"/>
  <c r="Y592" i="1"/>
  <c r="R641" i="1"/>
  <c r="O589" i="1"/>
  <c r="P589" i="1" s="1"/>
  <c r="U623" i="1"/>
  <c r="V623" i="1" s="1"/>
  <c r="AM591" i="1" l="1"/>
  <c r="Y593" i="1"/>
  <c r="AD592" i="1"/>
  <c r="S641" i="1"/>
  <c r="X589" i="1"/>
  <c r="AL589" i="1" s="1"/>
  <c r="O590" i="1"/>
  <c r="U624" i="1"/>
  <c r="V624" i="1" s="1"/>
  <c r="AM592" i="1" l="1"/>
  <c r="Y594" i="1"/>
  <c r="AD593" i="1"/>
  <c r="R642" i="1"/>
  <c r="X590" i="1"/>
  <c r="AL590" i="1" s="1"/>
  <c r="P590" i="1"/>
  <c r="U625" i="1"/>
  <c r="V625" i="1" s="1"/>
  <c r="AM593" i="1" l="1"/>
  <c r="AD594" i="1"/>
  <c r="Y595" i="1"/>
  <c r="S642" i="1"/>
  <c r="O591" i="1"/>
  <c r="X591" i="1" s="1"/>
  <c r="AL591" i="1" s="1"/>
  <c r="U626" i="1"/>
  <c r="V626" i="1" s="1"/>
  <c r="AM594" i="1" l="1"/>
  <c r="Y596" i="1"/>
  <c r="AD595" i="1"/>
  <c r="R643" i="1"/>
  <c r="U627" i="1"/>
  <c r="P591" i="1"/>
  <c r="AM595" i="1" l="1"/>
  <c r="Y597" i="1"/>
  <c r="AD596" i="1"/>
  <c r="S643" i="1"/>
  <c r="V627" i="1"/>
  <c r="O592" i="1"/>
  <c r="AM596" i="1" l="1"/>
  <c r="AD597" i="1"/>
  <c r="Y598" i="1"/>
  <c r="R644" i="1"/>
  <c r="S644" i="1" s="1"/>
  <c r="U628" i="1"/>
  <c r="P592" i="1"/>
  <c r="O593" i="1" s="1"/>
  <c r="X592" i="1"/>
  <c r="AL592" i="1" s="1"/>
  <c r="AM597" i="1" l="1"/>
  <c r="Y599" i="1"/>
  <c r="AD598" i="1"/>
  <c r="V628" i="1"/>
  <c r="P593" i="1"/>
  <c r="O594" i="1" s="1"/>
  <c r="X593" i="1"/>
  <c r="AL593" i="1" s="1"/>
  <c r="R645" i="1"/>
  <c r="AM598" i="1" l="1"/>
  <c r="AD599" i="1"/>
  <c r="Y600" i="1"/>
  <c r="U629" i="1"/>
  <c r="X594" i="1"/>
  <c r="AL594" i="1" s="1"/>
  <c r="P594" i="1"/>
  <c r="S645" i="1"/>
  <c r="AM599" i="1" l="1"/>
  <c r="Y601" i="1"/>
  <c r="AD600" i="1"/>
  <c r="O595" i="1"/>
  <c r="P595" i="1" s="1"/>
  <c r="V629" i="1"/>
  <c r="U630" i="1" s="1"/>
  <c r="V630" i="1" s="1"/>
  <c r="R646" i="1"/>
  <c r="AM600" i="1" l="1"/>
  <c r="AD601" i="1"/>
  <c r="Y602" i="1"/>
  <c r="X595" i="1"/>
  <c r="AL595" i="1" s="1"/>
  <c r="O596" i="1"/>
  <c r="S646" i="1"/>
  <c r="U631" i="1"/>
  <c r="AM601" i="1" l="1"/>
  <c r="AD602" i="1"/>
  <c r="Y603" i="1"/>
  <c r="P596" i="1"/>
  <c r="O597" i="1" s="1"/>
  <c r="X596" i="1"/>
  <c r="AL596" i="1" s="1"/>
  <c r="R647" i="1"/>
  <c r="V631" i="1"/>
  <c r="AM602" i="1" l="1"/>
  <c r="Y604" i="1"/>
  <c r="AD603" i="1"/>
  <c r="P597" i="1"/>
  <c r="X597" i="1"/>
  <c r="AL597" i="1" s="1"/>
  <c r="S647" i="1"/>
  <c r="U632" i="1"/>
  <c r="V632" i="1" s="1"/>
  <c r="AM603" i="1" l="1"/>
  <c r="Y605" i="1"/>
  <c r="AD604" i="1"/>
  <c r="O598" i="1"/>
  <c r="R648" i="1"/>
  <c r="U633" i="1"/>
  <c r="V633" i="1" s="1"/>
  <c r="AM604" i="1" l="1"/>
  <c r="Y606" i="1"/>
  <c r="AD605" i="1"/>
  <c r="S648" i="1"/>
  <c r="X598" i="1"/>
  <c r="AL598" i="1" s="1"/>
  <c r="P598" i="1"/>
  <c r="U634" i="1"/>
  <c r="AM605" i="1" l="1"/>
  <c r="Y607" i="1"/>
  <c r="AD606" i="1"/>
  <c r="O599" i="1"/>
  <c r="R649" i="1"/>
  <c r="S649" i="1" s="1"/>
  <c r="V634" i="1"/>
  <c r="AM606" i="1" l="1"/>
  <c r="AD607" i="1"/>
  <c r="Y608" i="1"/>
  <c r="X599" i="1"/>
  <c r="AL599" i="1" s="1"/>
  <c r="P599" i="1"/>
  <c r="O600" i="1" s="1"/>
  <c r="R650" i="1"/>
  <c r="S650" i="1" s="1"/>
  <c r="U635" i="1"/>
  <c r="V635" i="1" s="1"/>
  <c r="AM607" i="1" l="1"/>
  <c r="Y609" i="1"/>
  <c r="AD608" i="1"/>
  <c r="X600" i="1"/>
  <c r="AL600" i="1" s="1"/>
  <c r="P600" i="1"/>
  <c r="R651" i="1"/>
  <c r="U636" i="1"/>
  <c r="AM608" i="1" l="1"/>
  <c r="Y610" i="1"/>
  <c r="AD609" i="1"/>
  <c r="O601" i="1"/>
  <c r="S651" i="1"/>
  <c r="V636" i="1"/>
  <c r="AM609" i="1" l="1"/>
  <c r="Y611" i="1"/>
  <c r="AD610" i="1"/>
  <c r="P601" i="1"/>
  <c r="X601" i="1"/>
  <c r="AL601" i="1" s="1"/>
  <c r="R652" i="1"/>
  <c r="U637" i="1"/>
  <c r="AM610" i="1" l="1"/>
  <c r="Y612" i="1"/>
  <c r="AD611" i="1"/>
  <c r="O602" i="1"/>
  <c r="S652" i="1"/>
  <c r="V637" i="1"/>
  <c r="AM611" i="1" l="1"/>
  <c r="AD612" i="1"/>
  <c r="Y613" i="1"/>
  <c r="P602" i="1"/>
  <c r="X602" i="1"/>
  <c r="AL602" i="1" s="1"/>
  <c r="R653" i="1"/>
  <c r="U638" i="1"/>
  <c r="AM612" i="1" l="1"/>
  <c r="Y614" i="1"/>
  <c r="AD613" i="1"/>
  <c r="O603" i="1"/>
  <c r="S653" i="1"/>
  <c r="V638" i="1"/>
  <c r="AM613" i="1" l="1"/>
  <c r="Y615" i="1"/>
  <c r="AD614" i="1"/>
  <c r="X603" i="1"/>
  <c r="AL603" i="1" s="1"/>
  <c r="P603" i="1"/>
  <c r="R654" i="1"/>
  <c r="U639" i="1"/>
  <c r="V639" i="1" s="1"/>
  <c r="AM614" i="1" l="1"/>
  <c r="Y616" i="1"/>
  <c r="AD615" i="1"/>
  <c r="O604" i="1"/>
  <c r="S654" i="1"/>
  <c r="U640" i="1"/>
  <c r="AM615" i="1" l="1"/>
  <c r="AD616" i="1"/>
  <c r="Y617" i="1"/>
  <c r="P604" i="1"/>
  <c r="X604" i="1"/>
  <c r="AL604" i="1" s="1"/>
  <c r="R655" i="1"/>
  <c r="V640" i="1"/>
  <c r="AM616" i="1" l="1"/>
  <c r="Y618" i="1"/>
  <c r="AD617" i="1"/>
  <c r="O605" i="1"/>
  <c r="S655" i="1"/>
  <c r="U641" i="1"/>
  <c r="V641" i="1" s="1"/>
  <c r="AM617" i="1" l="1"/>
  <c r="Y619" i="1"/>
  <c r="AD618" i="1"/>
  <c r="X605" i="1"/>
  <c r="AL605" i="1" s="1"/>
  <c r="P605" i="1"/>
  <c r="R656" i="1"/>
  <c r="U642" i="1"/>
  <c r="AM618" i="1" l="1"/>
  <c r="Y620" i="1"/>
  <c r="AD619" i="1"/>
  <c r="O606" i="1"/>
  <c r="S656" i="1"/>
  <c r="R657" i="1" s="1"/>
  <c r="S657" i="1" s="1"/>
  <c r="V642" i="1"/>
  <c r="AM619" i="1" l="1"/>
  <c r="Y621" i="1"/>
  <c r="AD620" i="1"/>
  <c r="P606" i="1"/>
  <c r="X606" i="1"/>
  <c r="AL606" i="1" s="1"/>
  <c r="R658" i="1"/>
  <c r="U643" i="1"/>
  <c r="AM620" i="1" l="1"/>
  <c r="Y622" i="1"/>
  <c r="AD621" i="1"/>
  <c r="O607" i="1"/>
  <c r="S658" i="1"/>
  <c r="V643" i="1"/>
  <c r="AM621" i="1" l="1"/>
  <c r="P607" i="1"/>
  <c r="O608" i="1" s="1"/>
  <c r="X607" i="1"/>
  <c r="AL607" i="1" s="1"/>
  <c r="Y623" i="1"/>
  <c r="AD622" i="1"/>
  <c r="R659" i="1"/>
  <c r="U644" i="1"/>
  <c r="AM622" i="1" l="1"/>
  <c r="AD623" i="1"/>
  <c r="Y624" i="1"/>
  <c r="X608" i="1"/>
  <c r="AL608" i="1" s="1"/>
  <c r="S659" i="1"/>
  <c r="R660" i="1" s="1"/>
  <c r="P608" i="1"/>
  <c r="V644" i="1"/>
  <c r="AM623" i="1" l="1"/>
  <c r="AD624" i="1"/>
  <c r="Y625" i="1"/>
  <c r="O609" i="1"/>
  <c r="U645" i="1"/>
  <c r="S660" i="1"/>
  <c r="AM624" i="1" l="1"/>
  <c r="Y626" i="1"/>
  <c r="AD625" i="1"/>
  <c r="P609" i="1"/>
  <c r="X609" i="1"/>
  <c r="AL609" i="1" s="1"/>
  <c r="V645" i="1"/>
  <c r="R661" i="1"/>
  <c r="S661" i="1" s="1"/>
  <c r="AM625" i="1" l="1"/>
  <c r="Y627" i="1"/>
  <c r="AD626" i="1"/>
  <c r="AM626" i="1" s="1"/>
  <c r="O610" i="1"/>
  <c r="U646" i="1"/>
  <c r="R662" i="1"/>
  <c r="AD627" i="1" l="1"/>
  <c r="AM627" i="1" s="1"/>
  <c r="Y628" i="1"/>
  <c r="X610" i="1"/>
  <c r="AL610" i="1" s="1"/>
  <c r="P610" i="1"/>
  <c r="V646" i="1"/>
  <c r="S662" i="1"/>
  <c r="AD628" i="1" l="1"/>
  <c r="AM628" i="1" s="1"/>
  <c r="Y629" i="1"/>
  <c r="O611" i="1"/>
  <c r="U647" i="1"/>
  <c r="V647" i="1" s="1"/>
  <c r="R663" i="1"/>
  <c r="AD629" i="1" l="1"/>
  <c r="AM629" i="1" s="1"/>
  <c r="Y630" i="1"/>
  <c r="P611" i="1"/>
  <c r="O612" i="1" s="1"/>
  <c r="X611" i="1"/>
  <c r="AL611" i="1" s="1"/>
  <c r="U648" i="1"/>
  <c r="S663" i="1"/>
  <c r="X612" i="1" l="1"/>
  <c r="AL612" i="1" s="1"/>
  <c r="P612" i="1"/>
  <c r="O613" i="1" s="1"/>
  <c r="P613" i="1" s="1"/>
  <c r="Y631" i="1"/>
  <c r="AD630" i="1"/>
  <c r="AM630" i="1" s="1"/>
  <c r="V648" i="1"/>
  <c r="R664" i="1"/>
  <c r="S664" i="1" s="1"/>
  <c r="Y632" i="1" l="1"/>
  <c r="AD631" i="1"/>
  <c r="AM631" i="1" s="1"/>
  <c r="U649" i="1"/>
  <c r="X613" i="1"/>
  <c r="AL613" i="1" s="1"/>
  <c r="O614" i="1"/>
  <c r="R665" i="1"/>
  <c r="AD632" i="1" l="1"/>
  <c r="AM632" i="1" s="1"/>
  <c r="Y633" i="1"/>
  <c r="V649" i="1"/>
  <c r="X614" i="1"/>
  <c r="AL614" i="1" s="1"/>
  <c r="P614" i="1"/>
  <c r="O615" i="1" s="1"/>
  <c r="S665" i="1"/>
  <c r="AD633" i="1" l="1"/>
  <c r="AM633" i="1" s="1"/>
  <c r="Y634" i="1"/>
  <c r="U650" i="1"/>
  <c r="V650" i="1" s="1"/>
  <c r="P615" i="1"/>
  <c r="O616" i="1" s="1"/>
  <c r="X615" i="1"/>
  <c r="AL615" i="1" s="1"/>
  <c r="R666" i="1"/>
  <c r="Y635" i="1" l="1"/>
  <c r="AD634" i="1"/>
  <c r="AM634" i="1" s="1"/>
  <c r="U651" i="1"/>
  <c r="V651" i="1" s="1"/>
  <c r="P616" i="1"/>
  <c r="X616" i="1"/>
  <c r="AL616" i="1" s="1"/>
  <c r="S666" i="1"/>
  <c r="Y636" i="1" l="1"/>
  <c r="AD635" i="1"/>
  <c r="AM635" i="1" s="1"/>
  <c r="U652" i="1"/>
  <c r="V652" i="1" s="1"/>
  <c r="O617" i="1"/>
  <c r="R667" i="1"/>
  <c r="S667" i="1" s="1"/>
  <c r="Y637" i="1" l="1"/>
  <c r="AD636" i="1"/>
  <c r="AM636" i="1" s="1"/>
  <c r="U653" i="1"/>
  <c r="P617" i="1"/>
  <c r="X617" i="1"/>
  <c r="AL617" i="1" s="1"/>
  <c r="R668" i="1"/>
  <c r="Y638" i="1" l="1"/>
  <c r="AD637" i="1"/>
  <c r="AM637" i="1" s="1"/>
  <c r="V653" i="1"/>
  <c r="U654" i="1" s="1"/>
  <c r="V654" i="1" s="1"/>
  <c r="S668" i="1"/>
  <c r="O618" i="1"/>
  <c r="AD638" i="1" l="1"/>
  <c r="AM638" i="1" s="1"/>
  <c r="Y639" i="1"/>
  <c r="P618" i="1"/>
  <c r="X618" i="1"/>
  <c r="AL618" i="1" s="1"/>
  <c r="R669" i="1"/>
  <c r="S669" i="1" s="1"/>
  <c r="U655" i="1"/>
  <c r="AD639" i="1" l="1"/>
  <c r="AM639" i="1" s="1"/>
  <c r="Y640" i="1"/>
  <c r="O619" i="1"/>
  <c r="X619" i="1" s="1"/>
  <c r="AL619" i="1" s="1"/>
  <c r="R670" i="1"/>
  <c r="V655" i="1"/>
  <c r="Y641" i="1" l="1"/>
  <c r="AD640" i="1"/>
  <c r="AM640" i="1" s="1"/>
  <c r="P619" i="1"/>
  <c r="S670" i="1"/>
  <c r="R671" i="1" s="1"/>
  <c r="S671" i="1" s="1"/>
  <c r="U656" i="1"/>
  <c r="V656" i="1" s="1"/>
  <c r="Y642" i="1" l="1"/>
  <c r="AD641" i="1"/>
  <c r="AM641" i="1" s="1"/>
  <c r="O620" i="1"/>
  <c r="X620" i="1" s="1"/>
  <c r="AL620" i="1" s="1"/>
  <c r="R672" i="1"/>
  <c r="U657" i="1"/>
  <c r="Y643" i="1" l="1"/>
  <c r="AD642" i="1"/>
  <c r="AM642" i="1" s="1"/>
  <c r="P620" i="1"/>
  <c r="S672" i="1"/>
  <c r="V657" i="1"/>
  <c r="Y644" i="1" l="1"/>
  <c r="AD643" i="1"/>
  <c r="AM643" i="1" s="1"/>
  <c r="O621" i="1"/>
  <c r="R673" i="1"/>
  <c r="U658" i="1"/>
  <c r="V658" i="1" s="1"/>
  <c r="Y645" i="1" l="1"/>
  <c r="AD644" i="1"/>
  <c r="AM644" i="1" s="1"/>
  <c r="P621" i="1"/>
  <c r="O622" i="1" s="1"/>
  <c r="X621" i="1"/>
  <c r="AL621" i="1" s="1"/>
  <c r="S673" i="1"/>
  <c r="U659" i="1"/>
  <c r="X622" i="1" l="1"/>
  <c r="AL622" i="1" s="1"/>
  <c r="P622" i="1"/>
  <c r="O623" i="1" s="1"/>
  <c r="AD645" i="1"/>
  <c r="AM645" i="1" s="1"/>
  <c r="Y646" i="1"/>
  <c r="R674" i="1"/>
  <c r="S674" i="1" s="1"/>
  <c r="V659" i="1"/>
  <c r="U660" i="1" s="1"/>
  <c r="X623" i="1" l="1"/>
  <c r="AL623" i="1" s="1"/>
  <c r="P623" i="1"/>
  <c r="O624" i="1" s="1"/>
  <c r="Y647" i="1"/>
  <c r="AD646" i="1"/>
  <c r="AM646" i="1" s="1"/>
  <c r="R675" i="1"/>
  <c r="V660" i="1"/>
  <c r="Y648" i="1" l="1"/>
  <c r="AD647" i="1"/>
  <c r="AM647" i="1" s="1"/>
  <c r="P624" i="1"/>
  <c r="X624" i="1"/>
  <c r="AL624" i="1" s="1"/>
  <c r="S675" i="1"/>
  <c r="U661" i="1"/>
  <c r="Y649" i="1" l="1"/>
  <c r="AD648" i="1"/>
  <c r="AM648" i="1" s="1"/>
  <c r="O625" i="1"/>
  <c r="X625" i="1" s="1"/>
  <c r="AL625" i="1" s="1"/>
  <c r="R676" i="1"/>
  <c r="S676" i="1" s="1"/>
  <c r="V661" i="1"/>
  <c r="AD649" i="1" l="1"/>
  <c r="AM649" i="1" s="1"/>
  <c r="Y650" i="1"/>
  <c r="P625" i="1"/>
  <c r="R677" i="1"/>
  <c r="U662" i="1"/>
  <c r="AD650" i="1" l="1"/>
  <c r="AM650" i="1" s="1"/>
  <c r="Y651" i="1"/>
  <c r="O626" i="1"/>
  <c r="P626" i="1" s="1"/>
  <c r="S677" i="1"/>
  <c r="V662" i="1"/>
  <c r="AD651" i="1" l="1"/>
  <c r="AM651" i="1" s="1"/>
  <c r="Y652" i="1"/>
  <c r="X626" i="1"/>
  <c r="AL626" i="1" s="1"/>
  <c r="O627" i="1"/>
  <c r="R678" i="1"/>
  <c r="U663" i="1"/>
  <c r="V663" i="1" s="1"/>
  <c r="Y653" i="1" l="1"/>
  <c r="AD652" i="1"/>
  <c r="AM652" i="1" s="1"/>
  <c r="P627" i="1"/>
  <c r="X627" i="1"/>
  <c r="AL627" i="1" s="1"/>
  <c r="S678" i="1"/>
  <c r="R679" i="1" s="1"/>
  <c r="U664" i="1"/>
  <c r="V664" i="1" s="1"/>
  <c r="Y654" i="1" l="1"/>
  <c r="AD653" i="1"/>
  <c r="AM653" i="1" s="1"/>
  <c r="O628" i="1"/>
  <c r="X628" i="1" s="1"/>
  <c r="AL628" i="1" s="1"/>
  <c r="S679" i="1"/>
  <c r="U665" i="1"/>
  <c r="V665" i="1" s="1"/>
  <c r="Y655" i="1" l="1"/>
  <c r="AD654" i="1"/>
  <c r="AM654" i="1" s="1"/>
  <c r="P628" i="1"/>
  <c r="R680" i="1"/>
  <c r="S680" i="1" s="1"/>
  <c r="U666" i="1"/>
  <c r="Y656" i="1" l="1"/>
  <c r="AD655" i="1"/>
  <c r="AM655" i="1" s="1"/>
  <c r="O629" i="1"/>
  <c r="R681" i="1"/>
  <c r="V666" i="1"/>
  <c r="P629" i="1" l="1"/>
  <c r="O630" i="1" s="1"/>
  <c r="X629" i="1"/>
  <c r="AL629" i="1" s="1"/>
  <c r="Y657" i="1"/>
  <c r="AD656" i="1"/>
  <c r="AM656" i="1" s="1"/>
  <c r="S681" i="1"/>
  <c r="U667" i="1"/>
  <c r="V667" i="1" s="1"/>
  <c r="P630" i="1" l="1"/>
  <c r="O631" i="1" s="1"/>
  <c r="X630" i="1"/>
  <c r="AL630" i="1" s="1"/>
  <c r="AD657" i="1"/>
  <c r="AM657" i="1" s="1"/>
  <c r="Y658" i="1"/>
  <c r="R682" i="1"/>
  <c r="U668" i="1"/>
  <c r="X631" i="1" l="1"/>
  <c r="AL631" i="1" s="1"/>
  <c r="P631" i="1"/>
  <c r="O632" i="1" s="1"/>
  <c r="Y659" i="1"/>
  <c r="AD658" i="1"/>
  <c r="AM658" i="1" s="1"/>
  <c r="S682" i="1"/>
  <c r="R683" i="1" s="1"/>
  <c r="V668" i="1"/>
  <c r="AD659" i="1" l="1"/>
  <c r="AM659" i="1" s="1"/>
  <c r="Y660" i="1"/>
  <c r="P632" i="1"/>
  <c r="X632" i="1"/>
  <c r="AL632" i="1" s="1"/>
  <c r="S683" i="1"/>
  <c r="U669" i="1"/>
  <c r="Y661" i="1" l="1"/>
  <c r="AD660" i="1"/>
  <c r="AM660" i="1" s="1"/>
  <c r="O633" i="1"/>
  <c r="X633" i="1" s="1"/>
  <c r="AL633" i="1" s="1"/>
  <c r="R684" i="1"/>
  <c r="V669" i="1"/>
  <c r="AD661" i="1" l="1"/>
  <c r="AM661" i="1" s="1"/>
  <c r="Y662" i="1"/>
  <c r="P633" i="1"/>
  <c r="O634" i="1" s="1"/>
  <c r="S684" i="1"/>
  <c r="U670" i="1"/>
  <c r="Y663" i="1" l="1"/>
  <c r="AD662" i="1"/>
  <c r="AM662" i="1" s="1"/>
  <c r="P634" i="1"/>
  <c r="O635" i="1" s="1"/>
  <c r="X634" i="1"/>
  <c r="AL634" i="1" s="1"/>
  <c r="R685" i="1"/>
  <c r="V670" i="1"/>
  <c r="P635" i="1" l="1"/>
  <c r="O636" i="1" s="1"/>
  <c r="X635" i="1"/>
  <c r="AL635" i="1" s="1"/>
  <c r="Y664" i="1"/>
  <c r="AD663" i="1"/>
  <c r="AM663" i="1" s="1"/>
  <c r="S685" i="1"/>
  <c r="U671" i="1"/>
  <c r="V671" i="1" s="1"/>
  <c r="Y665" i="1" l="1"/>
  <c r="AD664" i="1"/>
  <c r="AM664" i="1" s="1"/>
  <c r="X636" i="1"/>
  <c r="AL636" i="1" s="1"/>
  <c r="P636" i="1"/>
  <c r="O637" i="1" s="1"/>
  <c r="R686" i="1"/>
  <c r="U672" i="1"/>
  <c r="Y666" i="1" l="1"/>
  <c r="AD665" i="1"/>
  <c r="AM665" i="1" s="1"/>
  <c r="P637" i="1"/>
  <c r="X637" i="1"/>
  <c r="AL637" i="1" s="1"/>
  <c r="S686" i="1"/>
  <c r="R687" i="1" s="1"/>
  <c r="V672" i="1"/>
  <c r="Y667" i="1" l="1"/>
  <c r="AD666" i="1"/>
  <c r="AM666" i="1" s="1"/>
  <c r="O638" i="1"/>
  <c r="U673" i="1"/>
  <c r="S687" i="1"/>
  <c r="Y668" i="1" l="1"/>
  <c r="AD667" i="1"/>
  <c r="AM667" i="1" s="1"/>
  <c r="X638" i="1"/>
  <c r="AL638" i="1" s="1"/>
  <c r="P638" i="1"/>
  <c r="O639" i="1" s="1"/>
  <c r="V673" i="1"/>
  <c r="R688" i="1"/>
  <c r="Y669" i="1" l="1"/>
  <c r="AD668" i="1"/>
  <c r="AM668" i="1" s="1"/>
  <c r="X639" i="1"/>
  <c r="AL639" i="1" s="1"/>
  <c r="P639" i="1"/>
  <c r="S688" i="1"/>
  <c r="U674" i="1"/>
  <c r="V674" i="1" s="1"/>
  <c r="Y670" i="1" l="1"/>
  <c r="AD669" i="1"/>
  <c r="AM669" i="1" s="1"/>
  <c r="O640" i="1"/>
  <c r="X640" i="1" s="1"/>
  <c r="AL640" i="1" s="1"/>
  <c r="U675" i="1"/>
  <c r="R689" i="1"/>
  <c r="AD670" i="1" l="1"/>
  <c r="AM670" i="1" s="1"/>
  <c r="Y671" i="1"/>
  <c r="P640" i="1"/>
  <c r="V675" i="1"/>
  <c r="S689" i="1"/>
  <c r="Y672" i="1" l="1"/>
  <c r="AD671" i="1"/>
  <c r="AM671" i="1" s="1"/>
  <c r="O641" i="1"/>
  <c r="P641" i="1" s="1"/>
  <c r="O642" i="1" s="1"/>
  <c r="U676" i="1"/>
  <c r="R690" i="1"/>
  <c r="Y673" i="1" l="1"/>
  <c r="AD672" i="1"/>
  <c r="AM672" i="1" s="1"/>
  <c r="X641" i="1"/>
  <c r="AL641" i="1" s="1"/>
  <c r="S690" i="1"/>
  <c r="X642" i="1"/>
  <c r="AL642" i="1" s="1"/>
  <c r="P642" i="1"/>
  <c r="V676" i="1"/>
  <c r="Y674" i="1" l="1"/>
  <c r="AD673" i="1"/>
  <c r="AM673" i="1" s="1"/>
  <c r="O643" i="1"/>
  <c r="P643" i="1" s="1"/>
  <c r="R691" i="1"/>
  <c r="U677" i="1"/>
  <c r="Y675" i="1" l="1"/>
  <c r="AD674" i="1"/>
  <c r="AM674" i="1" s="1"/>
  <c r="O644" i="1"/>
  <c r="X643" i="1"/>
  <c r="AL643" i="1" s="1"/>
  <c r="S691" i="1"/>
  <c r="V677" i="1"/>
  <c r="AD675" i="1" l="1"/>
  <c r="AM675" i="1" s="1"/>
  <c r="Y676" i="1"/>
  <c r="X644" i="1"/>
  <c r="AL644" i="1" s="1"/>
  <c r="P644" i="1"/>
  <c r="R692" i="1"/>
  <c r="U678" i="1"/>
  <c r="Y677" i="1" l="1"/>
  <c r="AD676" i="1"/>
  <c r="AM676" i="1" s="1"/>
  <c r="O645" i="1"/>
  <c r="S692" i="1"/>
  <c r="V678" i="1"/>
  <c r="Y678" i="1" l="1"/>
  <c r="AD677" i="1"/>
  <c r="AM677" i="1" s="1"/>
  <c r="X645" i="1"/>
  <c r="AL645" i="1" s="1"/>
  <c r="P645" i="1"/>
  <c r="O646" i="1" s="1"/>
  <c r="R693" i="1"/>
  <c r="U679" i="1"/>
  <c r="Y679" i="1" l="1"/>
  <c r="AD678" i="1"/>
  <c r="AM678" i="1" s="1"/>
  <c r="X646" i="1"/>
  <c r="AL646" i="1" s="1"/>
  <c r="P646" i="1"/>
  <c r="S693" i="1"/>
  <c r="V679" i="1"/>
  <c r="Y680" i="1" l="1"/>
  <c r="AD679" i="1"/>
  <c r="AM679" i="1" s="1"/>
  <c r="O647" i="1"/>
  <c r="R694" i="1"/>
  <c r="U680" i="1"/>
  <c r="V680" i="1" s="1"/>
  <c r="AD680" i="1" l="1"/>
  <c r="AM680" i="1" s="1"/>
  <c r="Y681" i="1"/>
  <c r="X647" i="1"/>
  <c r="AL647" i="1" s="1"/>
  <c r="P647" i="1"/>
  <c r="O648" i="1" s="1"/>
  <c r="S694" i="1"/>
  <c r="U681" i="1"/>
  <c r="AD681" i="1" l="1"/>
  <c r="AM681" i="1" s="1"/>
  <c r="Y682" i="1"/>
  <c r="X648" i="1"/>
  <c r="AL648" i="1" s="1"/>
  <c r="P648" i="1"/>
  <c r="R695" i="1"/>
  <c r="S695" i="1" s="1"/>
  <c r="V681" i="1"/>
  <c r="AD682" i="1" l="1"/>
  <c r="AM682" i="1" s="1"/>
  <c r="Y683" i="1"/>
  <c r="O649" i="1"/>
  <c r="R696" i="1"/>
  <c r="U682" i="1"/>
  <c r="V682" i="1" s="1"/>
  <c r="AD683" i="1" l="1"/>
  <c r="AM683" i="1" s="1"/>
  <c r="Y684" i="1"/>
  <c r="X649" i="1"/>
  <c r="AL649" i="1" s="1"/>
  <c r="P649" i="1"/>
  <c r="S696" i="1"/>
  <c r="U683" i="1"/>
  <c r="AD684" i="1" l="1"/>
  <c r="AM684" i="1" s="1"/>
  <c r="Y685" i="1"/>
  <c r="R697" i="1"/>
  <c r="O650" i="1"/>
  <c r="V683" i="1"/>
  <c r="Y686" i="1" l="1"/>
  <c r="AD685" i="1"/>
  <c r="AM685" i="1" s="1"/>
  <c r="S697" i="1"/>
  <c r="X650" i="1"/>
  <c r="AL650" i="1" s="1"/>
  <c r="P650" i="1"/>
  <c r="U684" i="1"/>
  <c r="Y687" i="1" l="1"/>
  <c r="AD686" i="1"/>
  <c r="AM686" i="1" s="1"/>
  <c r="R698" i="1"/>
  <c r="S698" i="1" s="1"/>
  <c r="O651" i="1"/>
  <c r="V684" i="1"/>
  <c r="AD687" i="1" l="1"/>
  <c r="AM687" i="1" s="1"/>
  <c r="Y688" i="1"/>
  <c r="R699" i="1"/>
  <c r="S699" i="1" s="1"/>
  <c r="P651" i="1"/>
  <c r="X651" i="1"/>
  <c r="AL651" i="1" s="1"/>
  <c r="U685" i="1"/>
  <c r="V685" i="1" s="1"/>
  <c r="U686" i="1" s="1"/>
  <c r="V686" i="1" s="1"/>
  <c r="Y689" i="1" l="1"/>
  <c r="AD688" i="1"/>
  <c r="AM688" i="1" s="1"/>
  <c r="R700" i="1"/>
  <c r="S700" i="1" s="1"/>
  <c r="O652" i="1"/>
  <c r="U687" i="1"/>
  <c r="Y690" i="1" l="1"/>
  <c r="AD689" i="1"/>
  <c r="AM689" i="1" s="1"/>
  <c r="X652" i="1"/>
  <c r="AL652" i="1" s="1"/>
  <c r="P652" i="1"/>
  <c r="V687" i="1"/>
  <c r="R701" i="1"/>
  <c r="S701" i="1" s="1"/>
  <c r="Y691" i="1" l="1"/>
  <c r="AD690" i="1"/>
  <c r="AM690" i="1" s="1"/>
  <c r="O653" i="1"/>
  <c r="U688" i="1"/>
  <c r="V688" i="1" s="1"/>
  <c r="R702" i="1"/>
  <c r="Y692" i="1" l="1"/>
  <c r="AD691" i="1"/>
  <c r="AM691" i="1" s="1"/>
  <c r="U689" i="1"/>
  <c r="V689" i="1" s="1"/>
  <c r="X653" i="1"/>
  <c r="AL653" i="1" s="1"/>
  <c r="P653" i="1"/>
  <c r="O654" i="1" s="1"/>
  <c r="S702" i="1"/>
  <c r="AD692" i="1" l="1"/>
  <c r="AM692" i="1" s="1"/>
  <c r="Y693" i="1"/>
  <c r="P654" i="1"/>
  <c r="U690" i="1"/>
  <c r="V690" i="1" s="1"/>
  <c r="X654" i="1"/>
  <c r="AL654" i="1" s="1"/>
  <c r="R703" i="1"/>
  <c r="S703" i="1" s="1"/>
  <c r="Y694" i="1" l="1"/>
  <c r="AD693" i="1"/>
  <c r="AM693" i="1" s="1"/>
  <c r="O655" i="1"/>
  <c r="U691" i="1"/>
  <c r="R704" i="1"/>
  <c r="S704" i="1" s="1"/>
  <c r="Y695" i="1" l="1"/>
  <c r="AD694" i="1"/>
  <c r="AM694" i="1" s="1"/>
  <c r="X655" i="1"/>
  <c r="AL655" i="1" s="1"/>
  <c r="P655" i="1"/>
  <c r="V691" i="1"/>
  <c r="R705" i="1"/>
  <c r="S705" i="1" s="1"/>
  <c r="Y696" i="1" l="1"/>
  <c r="AD695" i="1"/>
  <c r="AM695" i="1" s="1"/>
  <c r="O656" i="1"/>
  <c r="P656" i="1" s="1"/>
  <c r="O657" i="1" s="1"/>
  <c r="U692" i="1"/>
  <c r="V692" i="1" s="1"/>
  <c r="R706" i="1"/>
  <c r="S706" i="1" s="1"/>
  <c r="Y697" i="1" l="1"/>
  <c r="AD696" i="1"/>
  <c r="AM696" i="1" s="1"/>
  <c r="X656" i="1"/>
  <c r="AL656" i="1" s="1"/>
  <c r="U693" i="1"/>
  <c r="V693" i="1" s="1"/>
  <c r="P657" i="1"/>
  <c r="X657" i="1"/>
  <c r="AL657" i="1" s="1"/>
  <c r="R707" i="1"/>
  <c r="Y698" i="1" l="1"/>
  <c r="AD697" i="1"/>
  <c r="AM697" i="1" s="1"/>
  <c r="U694" i="1"/>
  <c r="V694" i="1" s="1"/>
  <c r="O658" i="1"/>
  <c r="S707" i="1"/>
  <c r="Y699" i="1" l="1"/>
  <c r="AD698" i="1"/>
  <c r="AM698" i="1" s="1"/>
  <c r="U695" i="1"/>
  <c r="V695" i="1" s="1"/>
  <c r="P658" i="1"/>
  <c r="O659" i="1" s="1"/>
  <c r="X658" i="1"/>
  <c r="AL658" i="1" s="1"/>
  <c r="R708" i="1"/>
  <c r="AD699" i="1" l="1"/>
  <c r="AM699" i="1" s="1"/>
  <c r="Y700" i="1"/>
  <c r="U696" i="1"/>
  <c r="X659" i="1"/>
  <c r="AL659" i="1" s="1"/>
  <c r="P659" i="1"/>
  <c r="S708" i="1"/>
  <c r="AD700" i="1" l="1"/>
  <c r="AM700" i="1" s="1"/>
  <c r="Y701" i="1"/>
  <c r="V696" i="1"/>
  <c r="O660" i="1"/>
  <c r="P660" i="1" s="1"/>
  <c r="O661" i="1" s="1"/>
  <c r="R709" i="1"/>
  <c r="Y702" i="1" l="1"/>
  <c r="AD701" i="1"/>
  <c r="AM701" i="1" s="1"/>
  <c r="U697" i="1"/>
  <c r="X660" i="1"/>
  <c r="AL660" i="1" s="1"/>
  <c r="P661" i="1"/>
  <c r="O662" i="1" s="1"/>
  <c r="X661" i="1"/>
  <c r="AL661" i="1" s="1"/>
  <c r="S709" i="1"/>
  <c r="Y703" i="1" l="1"/>
  <c r="AD702" i="1"/>
  <c r="AM702" i="1" s="1"/>
  <c r="V697" i="1"/>
  <c r="P662" i="1"/>
  <c r="X662" i="1"/>
  <c r="AL662" i="1" s="1"/>
  <c r="R710" i="1"/>
  <c r="Y704" i="1" l="1"/>
  <c r="AD703" i="1"/>
  <c r="AM703" i="1" s="1"/>
  <c r="U698" i="1"/>
  <c r="V698" i="1" s="1"/>
  <c r="O663" i="1"/>
  <c r="S710" i="1"/>
  <c r="Y705" i="1" l="1"/>
  <c r="AD704" i="1"/>
  <c r="AM704" i="1" s="1"/>
  <c r="P663" i="1"/>
  <c r="O664" i="1" s="1"/>
  <c r="U699" i="1"/>
  <c r="X663" i="1"/>
  <c r="AL663" i="1" s="1"/>
  <c r="R711" i="1"/>
  <c r="Y706" i="1" l="1"/>
  <c r="AD705" i="1"/>
  <c r="AM705" i="1" s="1"/>
  <c r="V699" i="1"/>
  <c r="X664" i="1"/>
  <c r="AL664" i="1" s="1"/>
  <c r="P664" i="1"/>
  <c r="S711" i="1"/>
  <c r="Y707" i="1" l="1"/>
  <c r="AD706" i="1"/>
  <c r="AM706" i="1" s="1"/>
  <c r="U700" i="1"/>
  <c r="O665" i="1"/>
  <c r="R712" i="1"/>
  <c r="S712" i="1" s="1"/>
  <c r="AD707" i="1" l="1"/>
  <c r="AM707" i="1" s="1"/>
  <c r="Y708" i="1"/>
  <c r="V700" i="1"/>
  <c r="P665" i="1"/>
  <c r="X665" i="1"/>
  <c r="AL665" i="1" s="1"/>
  <c r="R713" i="1"/>
  <c r="S713" i="1" s="1"/>
  <c r="R714" i="1" s="1"/>
  <c r="Y709" i="1" l="1"/>
  <c r="AD708" i="1"/>
  <c r="AM708" i="1" s="1"/>
  <c r="U701" i="1"/>
  <c r="O666" i="1"/>
  <c r="S714" i="1"/>
  <c r="Y710" i="1" l="1"/>
  <c r="AD709" i="1"/>
  <c r="AM709" i="1" s="1"/>
  <c r="V701" i="1"/>
  <c r="P666" i="1"/>
  <c r="X666" i="1"/>
  <c r="AL666" i="1" s="1"/>
  <c r="R715" i="1"/>
  <c r="S715" i="1" s="1"/>
  <c r="Y711" i="1" l="1"/>
  <c r="AD710" i="1"/>
  <c r="AM710" i="1" s="1"/>
  <c r="U702" i="1"/>
  <c r="V702" i="1" s="1"/>
  <c r="O667" i="1"/>
  <c r="R716" i="1"/>
  <c r="S716" i="1" s="1"/>
  <c r="AD711" i="1" l="1"/>
  <c r="AM711" i="1" s="1"/>
  <c r="Y712" i="1"/>
  <c r="U703" i="1"/>
  <c r="P667" i="1"/>
  <c r="O668" i="1" s="1"/>
  <c r="X667" i="1"/>
  <c r="AL667" i="1" s="1"/>
  <c r="R717" i="1"/>
  <c r="AD712" i="1" l="1"/>
  <c r="AM712" i="1" s="1"/>
  <c r="Y713" i="1"/>
  <c r="P668" i="1"/>
  <c r="O669" i="1" s="1"/>
  <c r="X668" i="1"/>
  <c r="AL668" i="1" s="1"/>
  <c r="V703" i="1"/>
  <c r="S717" i="1"/>
  <c r="AD713" i="1" l="1"/>
  <c r="AM713" i="1" s="1"/>
  <c r="Y714" i="1"/>
  <c r="X669" i="1"/>
  <c r="AL669" i="1" s="1"/>
  <c r="P669" i="1"/>
  <c r="U704" i="1"/>
  <c r="V704" i="1" s="1"/>
  <c r="R718" i="1"/>
  <c r="S718" i="1" s="1"/>
  <c r="Y715" i="1" l="1"/>
  <c r="AD714" i="1"/>
  <c r="AM714" i="1" s="1"/>
  <c r="O670" i="1"/>
  <c r="P670" i="1" s="1"/>
  <c r="R719" i="1"/>
  <c r="S719" i="1" s="1"/>
  <c r="U705" i="1"/>
  <c r="AD715" i="1" l="1"/>
  <c r="AM715" i="1" s="1"/>
  <c r="Y716" i="1"/>
  <c r="O671" i="1"/>
  <c r="X670" i="1"/>
  <c r="AL670" i="1" s="1"/>
  <c r="R720" i="1"/>
  <c r="V705" i="1"/>
  <c r="AD716" i="1" l="1"/>
  <c r="AM716" i="1" s="1"/>
  <c r="Y717" i="1"/>
  <c r="P671" i="1"/>
  <c r="O672" i="1" s="1"/>
  <c r="X671" i="1"/>
  <c r="AL671" i="1" s="1"/>
  <c r="S720" i="1"/>
  <c r="U706" i="1"/>
  <c r="V706" i="1" s="1"/>
  <c r="P672" i="1" l="1"/>
  <c r="O673" i="1" s="1"/>
  <c r="X672" i="1"/>
  <c r="AL672" i="1" s="1"/>
  <c r="AD717" i="1"/>
  <c r="AM717" i="1" s="1"/>
  <c r="Y718" i="1"/>
  <c r="R721" i="1"/>
  <c r="U707" i="1"/>
  <c r="V707" i="1" s="1"/>
  <c r="P673" i="1" l="1"/>
  <c r="O674" i="1" s="1"/>
  <c r="X673" i="1"/>
  <c r="AL673" i="1" s="1"/>
  <c r="Y719" i="1"/>
  <c r="AD718" i="1"/>
  <c r="AM718" i="1" s="1"/>
  <c r="S721" i="1"/>
  <c r="U708" i="1"/>
  <c r="Y720" i="1" l="1"/>
  <c r="AD719" i="1"/>
  <c r="AM719" i="1" s="1"/>
  <c r="P674" i="1"/>
  <c r="X674" i="1"/>
  <c r="AL674" i="1" s="1"/>
  <c r="R722" i="1"/>
  <c r="V708" i="1"/>
  <c r="AD720" i="1" l="1"/>
  <c r="AM720" i="1" s="1"/>
  <c r="Y721" i="1"/>
  <c r="O675" i="1"/>
  <c r="X675" i="1" s="1"/>
  <c r="AL675" i="1" s="1"/>
  <c r="S722" i="1"/>
  <c r="U709" i="1"/>
  <c r="V709" i="1" s="1"/>
  <c r="AD721" i="1" l="1"/>
  <c r="AM721" i="1" s="1"/>
  <c r="Y722" i="1"/>
  <c r="P675" i="1"/>
  <c r="R723" i="1"/>
  <c r="U710" i="1"/>
  <c r="V710" i="1" s="1"/>
  <c r="AD722" i="1" l="1"/>
  <c r="AM722" i="1" s="1"/>
  <c r="Y723" i="1"/>
  <c r="O676" i="1"/>
  <c r="U711" i="1"/>
  <c r="V711" i="1" s="1"/>
  <c r="S723" i="1"/>
  <c r="AD723" i="1" l="1"/>
  <c r="AM723" i="1" s="1"/>
  <c r="Y724" i="1"/>
  <c r="X676" i="1"/>
  <c r="AL676" i="1" s="1"/>
  <c r="P676" i="1"/>
  <c r="O677" i="1" s="1"/>
  <c r="U712" i="1"/>
  <c r="V712" i="1" s="1"/>
  <c r="R724" i="1"/>
  <c r="S724" i="1" s="1"/>
  <c r="Y725" i="1" l="1"/>
  <c r="AD724" i="1"/>
  <c r="AM724" i="1" s="1"/>
  <c r="X677" i="1"/>
  <c r="AL677" i="1" s="1"/>
  <c r="P677" i="1"/>
  <c r="U713" i="1"/>
  <c r="R725" i="1"/>
  <c r="S725" i="1" s="1"/>
  <c r="AD725" i="1" l="1"/>
  <c r="AM725" i="1" s="1"/>
  <c r="Y726" i="1"/>
  <c r="O678" i="1"/>
  <c r="X678" i="1" s="1"/>
  <c r="AL678" i="1" s="1"/>
  <c r="V713" i="1"/>
  <c r="R726" i="1"/>
  <c r="Y727" i="1" l="1"/>
  <c r="AD726" i="1"/>
  <c r="AM726" i="1" s="1"/>
  <c r="P678" i="1"/>
  <c r="O679" i="1" s="1"/>
  <c r="P679" i="1" s="1"/>
  <c r="U714" i="1"/>
  <c r="S726" i="1"/>
  <c r="Y728" i="1" l="1"/>
  <c r="AD727" i="1"/>
  <c r="AM727" i="1" s="1"/>
  <c r="X679" i="1"/>
  <c r="AL679" i="1" s="1"/>
  <c r="V714" i="1"/>
  <c r="O680" i="1"/>
  <c r="R727" i="1"/>
  <c r="X680" i="1" l="1"/>
  <c r="AL680" i="1" s="1"/>
  <c r="P680" i="1"/>
  <c r="O681" i="1" s="1"/>
  <c r="P681" i="1" s="1"/>
  <c r="AD728" i="1"/>
  <c r="AM728" i="1" s="1"/>
  <c r="Y729" i="1"/>
  <c r="U715" i="1"/>
  <c r="S727" i="1"/>
  <c r="Y730" i="1" l="1"/>
  <c r="AD729" i="1"/>
  <c r="AM729" i="1" s="1"/>
  <c r="V715" i="1"/>
  <c r="X681" i="1"/>
  <c r="AL681" i="1" s="1"/>
  <c r="O682" i="1"/>
  <c r="R728" i="1"/>
  <c r="S728" i="1" s="1"/>
  <c r="AD730" i="1" l="1"/>
  <c r="AM730" i="1" s="1"/>
  <c r="Y731" i="1"/>
  <c r="U716" i="1"/>
  <c r="V716" i="1" s="1"/>
  <c r="X682" i="1"/>
  <c r="AL682" i="1" s="1"/>
  <c r="P682" i="1"/>
  <c r="O683" i="1" s="1"/>
  <c r="R729" i="1"/>
  <c r="Y732" i="1" l="1"/>
  <c r="AD731" i="1"/>
  <c r="AM731" i="1" s="1"/>
  <c r="P683" i="1"/>
  <c r="O684" i="1" s="1"/>
  <c r="X683" i="1"/>
  <c r="AL683" i="1" s="1"/>
  <c r="S729" i="1"/>
  <c r="U717" i="1"/>
  <c r="Y733" i="1" l="1"/>
  <c r="AD732" i="1"/>
  <c r="AM732" i="1" s="1"/>
  <c r="X684" i="1"/>
  <c r="AL684" i="1" s="1"/>
  <c r="P684" i="1"/>
  <c r="O685" i="1" s="1"/>
  <c r="R730" i="1"/>
  <c r="V717" i="1"/>
  <c r="Y734" i="1" l="1"/>
  <c r="AD733" i="1"/>
  <c r="AM733" i="1" s="1"/>
  <c r="S730" i="1"/>
  <c r="P685" i="1"/>
  <c r="X685" i="1"/>
  <c r="AL685" i="1" s="1"/>
  <c r="U718" i="1"/>
  <c r="Y735" i="1" l="1"/>
  <c r="AD734" i="1"/>
  <c r="AM734" i="1" s="1"/>
  <c r="R731" i="1"/>
  <c r="O686" i="1"/>
  <c r="V718" i="1"/>
  <c r="AD735" i="1" l="1"/>
  <c r="AM735" i="1" s="1"/>
  <c r="Y736" i="1"/>
  <c r="S731" i="1"/>
  <c r="P686" i="1"/>
  <c r="X686" i="1"/>
  <c r="AL686" i="1" s="1"/>
  <c r="U719" i="1"/>
  <c r="AD736" i="1" l="1"/>
  <c r="AM736" i="1" s="1"/>
  <c r="Y737" i="1"/>
  <c r="R732" i="1"/>
  <c r="S732" i="1" s="1"/>
  <c r="O687" i="1"/>
  <c r="X687" i="1" s="1"/>
  <c r="AL687" i="1" s="1"/>
  <c r="V719" i="1"/>
  <c r="Y738" i="1" l="1"/>
  <c r="AD737" i="1"/>
  <c r="AM737" i="1" s="1"/>
  <c r="P687" i="1"/>
  <c r="O688" i="1" s="1"/>
  <c r="R733" i="1"/>
  <c r="U720" i="1"/>
  <c r="Y739" i="1" l="1"/>
  <c r="AD738" i="1"/>
  <c r="AM738" i="1" s="1"/>
  <c r="X688" i="1"/>
  <c r="AL688" i="1" s="1"/>
  <c r="P688" i="1"/>
  <c r="S733" i="1"/>
  <c r="V720" i="1"/>
  <c r="Y740" i="1" l="1"/>
  <c r="AD739" i="1"/>
  <c r="AM739" i="1" s="1"/>
  <c r="O689" i="1"/>
  <c r="P689" i="1" s="1"/>
  <c r="R734" i="1"/>
  <c r="S734" i="1" s="1"/>
  <c r="U721" i="1"/>
  <c r="Y741" i="1" l="1"/>
  <c r="AD740" i="1"/>
  <c r="AM740" i="1" s="1"/>
  <c r="O690" i="1"/>
  <c r="P690" i="1" s="1"/>
  <c r="O691" i="1" s="1"/>
  <c r="X689" i="1"/>
  <c r="AL689" i="1" s="1"/>
  <c r="R735" i="1"/>
  <c r="S735" i="1" s="1"/>
  <c r="V721" i="1"/>
  <c r="AD741" i="1" l="1"/>
  <c r="AM741" i="1" s="1"/>
  <c r="Y742" i="1"/>
  <c r="X690" i="1"/>
  <c r="AL690" i="1" s="1"/>
  <c r="P691" i="1"/>
  <c r="O692" i="1" s="1"/>
  <c r="X691" i="1"/>
  <c r="AL691" i="1" s="1"/>
  <c r="R736" i="1"/>
  <c r="U722" i="1"/>
  <c r="V722" i="1" s="1"/>
  <c r="Y743" i="1" l="1"/>
  <c r="AD742" i="1"/>
  <c r="AM742" i="1" s="1"/>
  <c r="P692" i="1"/>
  <c r="X692" i="1"/>
  <c r="AL692" i="1" s="1"/>
  <c r="S736" i="1"/>
  <c r="U723" i="1"/>
  <c r="Y744" i="1" l="1"/>
  <c r="AD743" i="1"/>
  <c r="AM743" i="1" s="1"/>
  <c r="O693" i="1"/>
  <c r="P693" i="1" s="1"/>
  <c r="O694" i="1" s="1"/>
  <c r="R737" i="1"/>
  <c r="V723" i="1"/>
  <c r="Y745" i="1" l="1"/>
  <c r="AD744" i="1"/>
  <c r="AM744" i="1" s="1"/>
  <c r="X693" i="1"/>
  <c r="AL693" i="1" s="1"/>
  <c r="S737" i="1"/>
  <c r="P694" i="1"/>
  <c r="O695" i="1" s="1"/>
  <c r="X694" i="1"/>
  <c r="AL694" i="1" s="1"/>
  <c r="U724" i="1"/>
  <c r="AD745" i="1" l="1"/>
  <c r="AM745" i="1" s="1"/>
  <c r="Y746" i="1"/>
  <c r="X695" i="1"/>
  <c r="AL695" i="1" s="1"/>
  <c r="R738" i="1"/>
  <c r="P695" i="1"/>
  <c r="V724" i="1"/>
  <c r="Y747" i="1" l="1"/>
  <c r="AD746" i="1"/>
  <c r="AM746" i="1" s="1"/>
  <c r="S738" i="1"/>
  <c r="R739" i="1" s="1"/>
  <c r="S739" i="1" s="1"/>
  <c r="O696" i="1"/>
  <c r="U725" i="1"/>
  <c r="V725" i="1" s="1"/>
  <c r="Y748" i="1" l="1"/>
  <c r="AD747" i="1"/>
  <c r="AM747" i="1" s="1"/>
  <c r="X696" i="1"/>
  <c r="AL696" i="1" s="1"/>
  <c r="P696" i="1"/>
  <c r="R740" i="1"/>
  <c r="U726" i="1"/>
  <c r="Y749" i="1" l="1"/>
  <c r="AD748" i="1"/>
  <c r="AM748" i="1" s="1"/>
  <c r="O697" i="1"/>
  <c r="S740" i="1"/>
  <c r="V726" i="1"/>
  <c r="Y750" i="1" l="1"/>
  <c r="AD749" i="1"/>
  <c r="AM749" i="1" s="1"/>
  <c r="U727" i="1"/>
  <c r="P697" i="1"/>
  <c r="X697" i="1"/>
  <c r="AL697" i="1" s="1"/>
  <c r="R741" i="1"/>
  <c r="S741" i="1" s="1"/>
  <c r="AD750" i="1" l="1"/>
  <c r="AM750" i="1" s="1"/>
  <c r="Y751" i="1"/>
  <c r="V727" i="1"/>
  <c r="O698" i="1"/>
  <c r="R742" i="1"/>
  <c r="Y752" i="1" l="1"/>
  <c r="AD752" i="1" s="1"/>
  <c r="AD751" i="1"/>
  <c r="AM751" i="1" s="1"/>
  <c r="X698" i="1"/>
  <c r="AL698" i="1" s="1"/>
  <c r="P698" i="1"/>
  <c r="U728" i="1"/>
  <c r="V728" i="1" s="1"/>
  <c r="S742" i="1"/>
  <c r="AM752" i="1" l="1"/>
  <c r="O699" i="1"/>
  <c r="U729" i="1"/>
  <c r="R743" i="1"/>
  <c r="X699" i="1" l="1"/>
  <c r="AL699" i="1" s="1"/>
  <c r="P699" i="1"/>
  <c r="O700" i="1" s="1"/>
  <c r="V729" i="1"/>
  <c r="U730" i="1" s="1"/>
  <c r="V730" i="1" s="1"/>
  <c r="S743" i="1"/>
  <c r="P700" i="1" l="1"/>
  <c r="O701" i="1" s="1"/>
  <c r="X700" i="1"/>
  <c r="AL700" i="1" s="1"/>
  <c r="U731" i="1"/>
  <c r="V731" i="1" s="1"/>
  <c r="R744" i="1"/>
  <c r="P701" i="1" l="1"/>
  <c r="X701" i="1"/>
  <c r="AL701" i="1" s="1"/>
  <c r="S744" i="1"/>
  <c r="U732" i="1"/>
  <c r="O702" i="1" l="1"/>
  <c r="R745" i="1"/>
  <c r="S745" i="1" s="1"/>
  <c r="V732" i="1"/>
  <c r="X702" i="1" l="1"/>
  <c r="AL702" i="1" s="1"/>
  <c r="P702" i="1"/>
  <c r="O703" i="1" s="1"/>
  <c r="P703" i="1" s="1"/>
  <c r="O704" i="1" s="1"/>
  <c r="U733" i="1"/>
  <c r="R746" i="1"/>
  <c r="S746" i="1" s="1"/>
  <c r="X703" i="1" l="1"/>
  <c r="AL703" i="1" s="1"/>
  <c r="V733" i="1"/>
  <c r="P704" i="1"/>
  <c r="X704" i="1"/>
  <c r="AL704" i="1" s="1"/>
  <c r="R747" i="1"/>
  <c r="S747" i="1" s="1"/>
  <c r="R748" i="1" s="1"/>
  <c r="S748" i="1" s="1"/>
  <c r="U734" i="1" l="1"/>
  <c r="O705" i="1"/>
  <c r="R749" i="1"/>
  <c r="V734" i="1" l="1"/>
  <c r="P705" i="1"/>
  <c r="X705" i="1"/>
  <c r="AL705" i="1" s="1"/>
  <c r="S749" i="1"/>
  <c r="U735" i="1" l="1"/>
  <c r="R750" i="1"/>
  <c r="S750" i="1" s="1"/>
  <c r="O706" i="1"/>
  <c r="V735" i="1" l="1"/>
  <c r="R751" i="1"/>
  <c r="X706" i="1"/>
  <c r="AL706" i="1" s="1"/>
  <c r="P706" i="1"/>
  <c r="U736" i="1" l="1"/>
  <c r="S751" i="1"/>
  <c r="O707" i="1"/>
  <c r="V736" i="1" l="1"/>
  <c r="R752" i="1"/>
  <c r="S752" i="1" s="1"/>
  <c r="P707" i="1"/>
  <c r="O708" i="1" s="1"/>
  <c r="X707" i="1"/>
  <c r="AL707" i="1" s="1"/>
  <c r="U737" i="1" l="1"/>
  <c r="P708" i="1"/>
  <c r="X708" i="1"/>
  <c r="AL708" i="1" s="1"/>
  <c r="V737" i="1" l="1"/>
  <c r="O709" i="1"/>
  <c r="U738" i="1" l="1"/>
  <c r="P709" i="1"/>
  <c r="O710" i="1" s="1"/>
  <c r="X709" i="1"/>
  <c r="AL709" i="1" s="1"/>
  <c r="V738" i="1" l="1"/>
  <c r="P710" i="1"/>
  <c r="X710" i="1"/>
  <c r="AL710" i="1" s="1"/>
  <c r="U739" i="1" l="1"/>
  <c r="V739" i="1" s="1"/>
  <c r="O711" i="1"/>
  <c r="U740" i="1" l="1"/>
  <c r="P711" i="1"/>
  <c r="X711" i="1"/>
  <c r="AL711" i="1" s="1"/>
  <c r="V740" i="1" l="1"/>
  <c r="U741" i="1" s="1"/>
  <c r="O712" i="1"/>
  <c r="P712" i="1" s="1"/>
  <c r="O713" i="1" s="1"/>
  <c r="V741" i="1" l="1"/>
  <c r="U742" i="1" s="1"/>
  <c r="X712" i="1"/>
  <c r="AL712" i="1" s="1"/>
  <c r="P713" i="1"/>
  <c r="X713" i="1"/>
  <c r="AL713" i="1" s="1"/>
  <c r="V742" i="1" l="1"/>
  <c r="U743" i="1" s="1"/>
  <c r="O714" i="1"/>
  <c r="V743" i="1" l="1"/>
  <c r="U744" i="1" s="1"/>
  <c r="X714" i="1"/>
  <c r="AL714" i="1" s="1"/>
  <c r="P714" i="1"/>
  <c r="V744" i="1" l="1"/>
  <c r="U745" i="1" s="1"/>
  <c r="V745" i="1" s="1"/>
  <c r="O715" i="1"/>
  <c r="X715" i="1" l="1"/>
  <c r="AL715" i="1" s="1"/>
  <c r="P715" i="1"/>
  <c r="U746" i="1"/>
  <c r="O716" i="1" l="1"/>
  <c r="V746" i="1"/>
  <c r="P716" i="1" l="1"/>
  <c r="X716" i="1"/>
  <c r="AL716" i="1" s="1"/>
  <c r="U747" i="1"/>
  <c r="V747" i="1" s="1"/>
  <c r="O717" i="1" l="1"/>
  <c r="U748" i="1"/>
  <c r="V748" i="1" s="1"/>
  <c r="X717" i="1" l="1"/>
  <c r="AL717" i="1" s="1"/>
  <c r="P717" i="1"/>
  <c r="O718" i="1" s="1"/>
  <c r="U749" i="1"/>
  <c r="V749" i="1" s="1"/>
  <c r="X718" i="1" l="1"/>
  <c r="AL718" i="1" s="1"/>
  <c r="P718" i="1"/>
  <c r="U750" i="1"/>
  <c r="O719" i="1" l="1"/>
  <c r="V750" i="1"/>
  <c r="X719" i="1" l="1"/>
  <c r="AL719" i="1" s="1"/>
  <c r="P719" i="1"/>
  <c r="O720" i="1" s="1"/>
  <c r="U751" i="1"/>
  <c r="V751" i="1" s="1"/>
  <c r="X720" i="1" l="1"/>
  <c r="AL720" i="1" s="1"/>
  <c r="P720" i="1"/>
  <c r="O721" i="1" s="1"/>
  <c r="U752" i="1"/>
  <c r="V752" i="1" s="1"/>
  <c r="X721" i="1" l="1"/>
  <c r="AL721" i="1" s="1"/>
  <c r="P721" i="1"/>
  <c r="O722" i="1" l="1"/>
  <c r="X722" i="1" s="1"/>
  <c r="AL722" i="1" s="1"/>
  <c r="P722" i="1" l="1"/>
  <c r="O723" i="1" l="1"/>
  <c r="X723" i="1" s="1"/>
  <c r="AL723" i="1" s="1"/>
  <c r="P723" i="1" l="1"/>
  <c r="O724" i="1" s="1"/>
  <c r="X724" i="1" l="1"/>
  <c r="AL724" i="1" s="1"/>
  <c r="P724" i="1"/>
  <c r="O725" i="1" s="1"/>
  <c r="P725" i="1" l="1"/>
  <c r="O726" i="1" s="1"/>
  <c r="X725" i="1"/>
  <c r="AL725" i="1" s="1"/>
  <c r="P726" i="1" l="1"/>
  <c r="X726" i="1"/>
  <c r="AL726" i="1" s="1"/>
  <c r="O727" i="1" l="1"/>
  <c r="X727" i="1" l="1"/>
  <c r="AL727" i="1" s="1"/>
  <c r="P727" i="1"/>
  <c r="O728" i="1" l="1"/>
  <c r="X728" i="1" l="1"/>
  <c r="AL728" i="1" s="1"/>
  <c r="P728" i="1"/>
  <c r="O729" i="1" s="1"/>
  <c r="X729" i="1" l="1"/>
  <c r="AL729" i="1" s="1"/>
  <c r="P729" i="1"/>
  <c r="O730" i="1" l="1"/>
  <c r="X730" i="1" l="1"/>
  <c r="AL730" i="1" s="1"/>
  <c r="P730" i="1"/>
  <c r="O731" i="1" l="1"/>
  <c r="P731" i="1" s="1"/>
  <c r="X731" i="1" l="1"/>
  <c r="AL731" i="1" s="1"/>
  <c r="O732" i="1"/>
  <c r="P732" i="1" s="1"/>
  <c r="O733" i="1" s="1"/>
  <c r="X732" i="1" l="1"/>
  <c r="AL732" i="1" s="1"/>
  <c r="X733" i="1"/>
  <c r="AL733" i="1" s="1"/>
  <c r="P733" i="1"/>
  <c r="O734" i="1" l="1"/>
  <c r="X734" i="1" l="1"/>
  <c r="AL734" i="1" s="1"/>
  <c r="P734" i="1"/>
  <c r="O735" i="1" l="1"/>
  <c r="X735" i="1" l="1"/>
  <c r="AL735" i="1" s="1"/>
  <c r="P735" i="1"/>
  <c r="O736" i="1" s="1"/>
  <c r="P736" i="1" l="1"/>
  <c r="X736" i="1"/>
  <c r="AL736" i="1" s="1"/>
  <c r="O737" i="1" l="1"/>
  <c r="X737" i="1" s="1"/>
  <c r="AL737" i="1" s="1"/>
  <c r="P737" i="1" l="1"/>
  <c r="O738" i="1" l="1"/>
  <c r="P738" i="1" l="1"/>
  <c r="X738" i="1"/>
  <c r="AL738" i="1" s="1"/>
  <c r="O739" i="1" l="1"/>
  <c r="P739" i="1" l="1"/>
  <c r="X739" i="1"/>
  <c r="AL739" i="1" s="1"/>
  <c r="O740" i="1" l="1"/>
  <c r="P740" i="1" l="1"/>
  <c r="X740" i="1"/>
  <c r="AL740" i="1" s="1"/>
  <c r="O741" i="1" l="1"/>
  <c r="P741" i="1" l="1"/>
  <c r="X741" i="1"/>
  <c r="AL741" i="1" s="1"/>
  <c r="O742" i="1" l="1"/>
  <c r="P742" i="1" l="1"/>
  <c r="O743" i="1" s="1"/>
  <c r="X742" i="1"/>
  <c r="AL742" i="1" s="1"/>
  <c r="X743" i="1" l="1"/>
  <c r="AL743" i="1" s="1"/>
  <c r="P743" i="1"/>
  <c r="O744" i="1" l="1"/>
  <c r="P744" i="1" l="1"/>
  <c r="X744" i="1"/>
  <c r="AL744" i="1" s="1"/>
  <c r="O745" i="1" l="1"/>
  <c r="P745" i="1" l="1"/>
  <c r="X745" i="1"/>
  <c r="AL745" i="1" s="1"/>
  <c r="O746" i="1" l="1"/>
  <c r="P746" i="1" l="1"/>
  <c r="X746" i="1"/>
  <c r="AL746" i="1" s="1"/>
  <c r="O747" i="1" l="1"/>
  <c r="P747" i="1" l="1"/>
  <c r="O748" i="1" s="1"/>
  <c r="X747" i="1"/>
  <c r="AL747" i="1" s="1"/>
  <c r="X748" i="1" l="1"/>
  <c r="AL748" i="1" s="1"/>
  <c r="P748" i="1"/>
  <c r="O749" i="1" l="1"/>
  <c r="P749" i="1" l="1"/>
  <c r="O750" i="1" s="1"/>
  <c r="X749" i="1"/>
  <c r="AL749" i="1" s="1"/>
  <c r="X750" i="1" l="1"/>
  <c r="AL750" i="1" s="1"/>
  <c r="P750" i="1"/>
  <c r="O751" i="1" s="1"/>
  <c r="X751" i="1" s="1"/>
  <c r="AL751" i="1" s="1"/>
  <c r="P751" i="1" l="1"/>
  <c r="O752" i="1" l="1"/>
  <c r="P752" i="1" l="1"/>
  <c r="X752" i="1"/>
  <c r="AL752" i="1" s="1"/>
</calcChain>
</file>

<file path=xl/sharedStrings.xml><?xml version="1.0" encoding="utf-8"?>
<sst xmlns="http://schemas.openxmlformats.org/spreadsheetml/2006/main" count="376" uniqueCount="68">
  <si>
    <t>VAX-STATUS (REAL)</t>
  </si>
  <si>
    <t>VACCINATED</t>
  </si>
  <si>
    <t>A PRIORI HEALTH STATUS (REAL)</t>
  </si>
  <si>
    <t>+</t>
  </si>
  <si>
    <t>-</t>
  </si>
  <si>
    <t>=</t>
  </si>
  <si>
    <t>UNVACCINATED</t>
  </si>
  <si>
    <t>sum:</t>
  </si>
  <si>
    <t>PROPORTION IN POPULATION</t>
  </si>
  <si>
    <t>total sum:</t>
  </si>
  <si>
    <t>PROPORTION IN EXP. GROUP</t>
  </si>
  <si>
    <t>NUMBER OF PEOPLE</t>
  </si>
  <si>
    <t>diff:</t>
  </si>
  <si>
    <t>NUMBER OF PEOPLE AT START</t>
  </si>
  <si>
    <t>SEEMINGLY UNVACCINATED</t>
  </si>
  <si>
    <t>NA</t>
  </si>
  <si>
    <t>DAY</t>
  </si>
  <si>
    <t>VACCINATED REGISTERED +</t>
  </si>
  <si>
    <t>VACCINATED REGISTERED =</t>
  </si>
  <si>
    <t>VACCINATED REGISTERED -</t>
  </si>
  <si>
    <t>VACCINATED UNREGISTERED +</t>
  </si>
  <si>
    <t>VACCINATED UNREGISTERED =</t>
  </si>
  <si>
    <t>VACCINATED UNREGISTERED -</t>
  </si>
  <si>
    <t>UNVACCINATED +</t>
  </si>
  <si>
    <t>UNVACCINATED =</t>
  </si>
  <si>
    <t>UNVACCINATED -</t>
  </si>
  <si>
    <t>SEEMINGLY VACCINATED</t>
  </si>
  <si>
    <t>PROB. OF DEATH PER DAY NORMAL</t>
  </si>
  <si>
    <t>PROB. OF VAX REGISTRATION NORMAL</t>
  </si>
  <si>
    <t>SHORT PERIOD:</t>
  </si>
  <si>
    <t>EXTRA PROB. OF DEATH PER DAY  SHORT</t>
  </si>
  <si>
    <t>DEAD</t>
  </si>
  <si>
    <t>EXTRA PROB. OF VAX MISSING WHEN DEAD, SHORT</t>
  </si>
  <si>
    <t>TOTAL SUM DEAD UNREGISTERED</t>
  </si>
  <si>
    <t>VACCINATED UNREGISTERED DEAD EXTRA</t>
  </si>
  <si>
    <t>DEAD EXTRA UNREGISTERED +</t>
  </si>
  <si>
    <t>DEAD EXTRA UNREGISTERED =</t>
  </si>
  <si>
    <t>DEAD EXTRA UNREGISTERED -</t>
  </si>
  <si>
    <t>TOTAL SUM DEAD UNREGISTERED (OTHER CALC)</t>
  </si>
  <si>
    <t>timeline</t>
  </si>
  <si>
    <t>MEASURED ACM Unvaccinated</t>
  </si>
  <si>
    <t>MEASURED ACM Vaccinated</t>
  </si>
  <si>
    <t>SCENARIO 1</t>
  </si>
  <si>
    <t>HIGH VULN RATIO</t>
  </si>
  <si>
    <t>SCENARIO 2</t>
  </si>
  <si>
    <t>Pure, extreme HVE</t>
  </si>
  <si>
    <t>SCENARIO 3</t>
  </si>
  <si>
    <t>SCENARIO 4</t>
  </si>
  <si>
    <t>HVE+ misclass, extra after death, no short term damage</t>
  </si>
  <si>
    <t>no intrinsic HVE, huge misclass, extra misclass after death (bad fit)</t>
  </si>
  <si>
    <t>no intrinsic HVE, huge misclass, extra misclass after death, + huge covid damage short-term for unvaccinated ALSO IN NON-COVID cause of death (reasonable fit)</t>
  </si>
  <si>
    <t>no intrinsic HVE, no misclass, no extra misclass after death, + large covid damage short-term for unvaccinated ALSO IN NON-COVID cause of death (bad fit)</t>
  </si>
  <si>
    <t>SCENARIO 5</t>
  </si>
  <si>
    <t>SCENARIO 6</t>
  </si>
  <si>
    <t>SCENARIO 7</t>
  </si>
  <si>
    <t>SCENARIO 8</t>
  </si>
  <si>
    <t>IFR in this short period:</t>
  </si>
  <si>
    <t>Mix of effects: HVE + misclass. + some short-term damage (both in vaccinated and unvaccinated group)</t>
  </si>
  <si>
    <t>HIGH+MED VULN RATIO</t>
  </si>
  <si>
    <t>SIMULATED ACM Vaccinated</t>
  </si>
  <si>
    <t>SIMULATED ACM Unvaccinated</t>
  </si>
  <si>
    <t>limted but some intrinsic HVE, no misclass bias, no extra misclass after death, + huge covid damage short-term for unvaccinated ALSO IN NON-COVID cause of death (reasonable fit)</t>
  </si>
  <si>
    <t>Death rate per day:</t>
  </si>
  <si>
    <t>IFR PER DAY (EXTRA):</t>
  </si>
  <si>
    <t>no intrinsic HVE, huge misclass, extra misclass after death (reasonable fit)</t>
  </si>
  <si>
    <t>SCENARIO 9</t>
  </si>
  <si>
    <t>no HVE, no misclass bias, no extra misclass after death, + huge covid damage short-term for unvaccinated ALSO IN NON-COVID cause of death (reasonable fit)</t>
  </si>
  <si>
    <t>IFR EXTRA in this short period: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</si>
</sst>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 applyAlignment="1">
      <alignment horizontal="right"/>
    </xf>
    <xf numFmtId="1" fontId="0" fillId="0" borderId="0" xfId="0" applyNumberFormat="1"/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0" fillId="5" borderId="0" xfId="0" applyFill="1"/>
    <xf numFmtId="164" fontId="0" fillId="0" borderId="0" xfId="0" applyNumberFormat="1"/>
    <xf numFmtId="164" fontId="0" fillId="5" borderId="0" xfId="0" applyNumberFormat="1" applyFill="1"/>
    <xf numFmtId="0" fontId="3" fillId="0" borderId="0" xfId="0" applyFont="1" applyAlignment="1">
      <alignment horizontal="right"/>
    </xf>
    <xf numFmtId="0" fontId="1" fillId="6" borderId="0" xfId="0" applyFont="1" applyFill="1" applyAlignment="1">
      <alignment wrapText="1"/>
    </xf>
    <xf numFmtId="164" fontId="1" fillId="6" borderId="0" xfId="0" applyNumberFormat="1" applyFont="1" applyFill="1" applyAlignment="1">
      <alignment wrapText="1"/>
    </xf>
    <xf numFmtId="0" fontId="3" fillId="0" borderId="0" xfId="0" applyFont="1"/>
    <xf numFmtId="0" fontId="2" fillId="0" borderId="0" xfId="0" applyFont="1" applyAlignment="1">
      <alignment horizontal="right" wrapText="1"/>
    </xf>
    <xf numFmtId="165" fontId="0" fillId="2" borderId="0" xfId="0" applyNumberFormat="1" applyFill="1"/>
    <xf numFmtId="165" fontId="0" fillId="5" borderId="0" xfId="0" applyNumberForma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Sheet1!$AL$1</c:f>
              <c:strCache>
                <c:ptCount val="1"/>
                <c:pt idx="0">
                  <c:v>SIMULATED ACM Vaccinated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Sheet1!$AL$2:$AL$752</c:f>
              <c:numCache>
                <c:formatCode>General</c:formatCode>
                <c:ptCount val="751"/>
                <c:pt idx="0">
                  <c:v>1</c:v>
                </c:pt>
                <c:pt idx="1">
                  <c:v>0.99971119333333336</c:v>
                </c:pt>
                <c:pt idx="2">
                  <c:v>0.99945262434699988</c:v>
                </c:pt>
                <c:pt idx="3">
                  <c:v>0.99921979162967589</c:v>
                </c:pt>
                <c:pt idx="4">
                  <c:v>0.99900886877850426</c:v>
                </c:pt>
                <c:pt idx="5">
                  <c:v>0.99881660314904486</c:v>
                </c:pt>
                <c:pt idx="6">
                  <c:v>0.99864022979272304</c:v>
                </c:pt>
                <c:pt idx="7">
                  <c:v>0.99847739830365489</c:v>
                </c:pt>
                <c:pt idx="8">
                  <c:v>0.99832611063844157</c:v>
                </c:pt>
                <c:pt idx="9">
                  <c:v>0.99818466826298546</c:v>
                </c:pt>
                <c:pt idx="10">
                  <c:v>0.99805162722728025</c:v>
                </c:pt>
                <c:pt idx="11">
                  <c:v>0.99792575997897026</c:v>
                </c:pt>
                <c:pt idx="12">
                  <c:v>0.99780602290487541</c:v>
                </c:pt>
                <c:pt idx="13">
                  <c:v>0.99769152874127398</c:v>
                </c:pt>
                <c:pt idx="14">
                  <c:v>0.99758152312263992</c:v>
                </c:pt>
                <c:pt idx="15">
                  <c:v>0.99747536464806241</c:v>
                </c:pt>
                <c:pt idx="16">
                  <c:v>0.99737250793769228</c:v>
                </c:pt>
                <c:pt idx="17">
                  <c:v>0.9972724892307202</c:v>
                </c:pt>
                <c:pt idx="18">
                  <c:v>0.99717491414364645</c:v>
                </c:pt>
                <c:pt idx="19">
                  <c:v>0.99707944726480469</c:v>
                </c:pt>
                <c:pt idx="20">
                  <c:v>0.99698580330970232</c:v>
                </c:pt>
                <c:pt idx="21">
                  <c:v>0.99689373960305216</c:v>
                </c:pt>
                <c:pt idx="22">
                  <c:v>0.99680304968848943</c:v>
                </c:pt>
                <c:pt idx="23">
                  <c:v>0.99671355789683125</c:v>
                </c:pt>
                <c:pt idx="24">
                  <c:v>0.99662511472908399</c:v>
                </c:pt>
                <c:pt idx="25">
                  <c:v>0.99653759293199828</c:v>
                </c:pt>
                <c:pt idx="26">
                  <c:v>0.99645088416228</c:v>
                </c:pt>
                <c:pt idx="27">
                  <c:v>0.99636489615116497</c:v>
                </c:pt>
                <c:pt idx="28">
                  <c:v>0.99627955029430304</c:v>
                </c:pt>
                <c:pt idx="29">
                  <c:v>0.99619477960314939</c:v>
                </c:pt>
                <c:pt idx="30">
                  <c:v>0.99611052696364433</c:v>
                </c:pt>
                <c:pt idx="31">
                  <c:v>0.99602674365608146</c:v>
                </c:pt>
                <c:pt idx="32">
                  <c:v>0.99594338809699234</c:v>
                </c:pt>
                <c:pt idx="33">
                  <c:v>0.99586042476974024</c:v>
                </c:pt>
                <c:pt idx="34">
                  <c:v>0.99577782331552067</c:v>
                </c:pt>
                <c:pt idx="35">
                  <c:v>0.99569555776070229</c:v>
                </c:pt>
                <c:pt idx="36">
                  <c:v>0.9956136058600652</c:v>
                </c:pt>
                <c:pt idx="37">
                  <c:v>0.99553194853854232</c:v>
                </c:pt>
                <c:pt idx="38">
                  <c:v>0.99545056941669852</c:v>
                </c:pt>
                <c:pt idx="39">
                  <c:v>0.99536945440737845</c:v>
                </c:pt>
                <c:pt idx="40">
                  <c:v>0.99528859137285119</c:v>
                </c:pt>
                <c:pt idx="41">
                  <c:v>0.99520796983338078</c:v>
                </c:pt>
                <c:pt idx="42">
                  <c:v>0.99512758071950069</c:v>
                </c:pt>
                <c:pt idx="43">
                  <c:v>0.99504741616144443</c:v>
                </c:pt>
                <c:pt idx="44">
                  <c:v>0.99496746931015445</c:v>
                </c:pt>
                <c:pt idx="45">
                  <c:v>0.99488773418513488</c:v>
                </c:pt>
                <c:pt idx="46">
                  <c:v>0.99480820554511873</c:v>
                </c:pt>
                <c:pt idx="47">
                  <c:v>0.99472887877813188</c:v>
                </c:pt>
                <c:pt idx="48">
                  <c:v>0.99464974980803955</c:v>
                </c:pt>
                <c:pt idx="49">
                  <c:v>0.9945708150151058</c:v>
                </c:pt>
                <c:pt idx="50">
                  <c:v>0.99449207116846483</c:v>
                </c:pt>
                <c:pt idx="51">
                  <c:v>0.99441351536871403</c:v>
                </c:pt>
                <c:pt idx="52">
                  <c:v>0.99433514499911324</c:v>
                </c:pt>
                <c:pt idx="53">
                  <c:v>0.99425695768409939</c:v>
                </c:pt>
                <c:pt idx="54">
                  <c:v>0.99417895125401767</c:v>
                </c:pt>
                <c:pt idx="55">
                  <c:v>0.99410112371513737</c:v>
                </c:pt>
                <c:pt idx="56">
                  <c:v>0.99402347322416051</c:v>
                </c:pt>
                <c:pt idx="57">
                  <c:v>0.99394599806654882</c:v>
                </c:pt>
                <c:pt idx="58">
                  <c:v>0.99386869663809607</c:v>
                </c:pt>
                <c:pt idx="59">
                  <c:v>0.99379156742925834</c:v>
                </c:pt>
                <c:pt idx="60">
                  <c:v>0.99371460901183206</c:v>
                </c:pt>
                <c:pt idx="61">
                  <c:v>0.99363782002762158</c:v>
                </c:pt>
                <c:pt idx="62">
                  <c:v>0.99356119917880403</c:v>
                </c:pt>
                <c:pt idx="63">
                  <c:v>0.99348474521973473</c:v>
                </c:pt>
                <c:pt idx="64">
                  <c:v>0.99340845694997248</c:v>
                </c:pt>
                <c:pt idx="65">
                  <c:v>0.99333233320835101</c:v>
                </c:pt>
                <c:pt idx="66">
                  <c:v>0.99325637286793189</c:v>
                </c:pt>
                <c:pt idx="67">
                  <c:v>0.9931805748317093</c:v>
                </c:pt>
                <c:pt idx="68">
                  <c:v>0.99310493802895583</c:v>
                </c:pt>
                <c:pt idx="69">
                  <c:v>0.9930294614121089</c:v>
                </c:pt>
                <c:pt idx="70">
                  <c:v>0.9929541439541214</c:v>
                </c:pt>
                <c:pt idx="71">
                  <c:v>0.99287898464620405</c:v>
                </c:pt>
                <c:pt idx="72">
                  <c:v>0.99280398249590074</c:v>
                </c:pt>
                <c:pt idx="73">
                  <c:v>0.99272913652544936</c:v>
                </c:pt>
                <c:pt idx="74">
                  <c:v>0.99265444577038153</c:v>
                </c:pt>
                <c:pt idx="75">
                  <c:v>0.99257990927832951</c:v>
                </c:pt>
                <c:pt idx="76">
                  <c:v>0.99250552610800602</c:v>
                </c:pt>
                <c:pt idx="77">
                  <c:v>0.99243129532833285</c:v>
                </c:pt>
                <c:pt idx="78">
                  <c:v>0.99235721601769455</c:v>
                </c:pt>
                <c:pt idx="79">
                  <c:v>0.99228328726330206</c:v>
                </c:pt>
                <c:pt idx="80">
                  <c:v>0.99220950816064268</c:v>
                </c:pt>
                <c:pt idx="81">
                  <c:v>0.99213587781301205</c:v>
                </c:pt>
                <c:pt idx="82">
                  <c:v>0.99206239533110963</c:v>
                </c:pt>
                <c:pt idx="83">
                  <c:v>0.99198905983269026</c:v>
                </c:pt>
                <c:pt idx="84">
                  <c:v>0.99191587044226337</c:v>
                </c:pt>
                <c:pt idx="85">
                  <c:v>0.99184282629083498</c:v>
                </c:pt>
                <c:pt idx="86">
                  <c:v>0.99176992651568019</c:v>
                </c:pt>
                <c:pt idx="87">
                  <c:v>0.99169717026014803</c:v>
                </c:pt>
                <c:pt idx="88">
                  <c:v>0.9916245566734897</c:v>
                </c:pt>
                <c:pt idx="89">
                  <c:v>0.99155208491071045</c:v>
                </c:pt>
                <c:pt idx="90">
                  <c:v>0.9914797541324345</c:v>
                </c:pt>
                <c:pt idx="91">
                  <c:v>0.99140756350479142</c:v>
                </c:pt>
                <c:pt idx="92">
                  <c:v>0.99133551219931171</c:v>
                </c:pt>
                <c:pt idx="93">
                  <c:v>0.99126359939283426</c:v>
                </c:pt>
                <c:pt idx="94">
                  <c:v>0.99119182426742525</c:v>
                </c:pt>
                <c:pt idx="95">
                  <c:v>0.99112018601030105</c:v>
                </c:pt>
                <c:pt idx="96">
                  <c:v>0.99104868381376299</c:v>
                </c:pt>
                <c:pt idx="97">
                  <c:v>0.99097731687513424</c:v>
                </c:pt>
                <c:pt idx="98">
                  <c:v>0.99090608439670347</c:v>
                </c:pt>
                <c:pt idx="99">
                  <c:v>0.99083498558567307</c:v>
                </c:pt>
                <c:pt idx="100">
                  <c:v>0.99076401965411021</c:v>
                </c:pt>
                <c:pt idx="101">
                  <c:v>0.99069318581890031</c:v>
                </c:pt>
                <c:pt idx="102">
                  <c:v>0.99062248330170599</c:v>
                </c:pt>
                <c:pt idx="103">
                  <c:v>0.99055191132892595</c:v>
                </c:pt>
                <c:pt idx="104">
                  <c:v>0.9904814691316558</c:v>
                </c:pt>
                <c:pt idx="105">
                  <c:v>0.99041115594565221</c:v>
                </c:pt>
                <c:pt idx="106">
                  <c:v>0.99034097101129803</c:v>
                </c:pt>
                <c:pt idx="107">
                  <c:v>0.99027091357356722</c:v>
                </c:pt>
                <c:pt idx="108">
                  <c:v>0.99020098288199343</c:v>
                </c:pt>
                <c:pt idx="109">
                  <c:v>0.99013117819063723</c:v>
                </c:pt>
                <c:pt idx="110">
                  <c:v>0.99006149875805449</c:v>
                </c:pt>
                <c:pt idx="111">
                  <c:v>0.98999194384726907</c:v>
                </c:pt>
                <c:pt idx="112">
                  <c:v>0.98992251272574028</c:v>
                </c:pt>
                <c:pt idx="113">
                  <c:v>0.989853204665335</c:v>
                </c:pt>
                <c:pt idx="114">
                  <c:v>0.98978401894229939</c:v>
                </c:pt>
                <c:pt idx="115">
                  <c:v>0.98971495483723115</c:v>
                </c:pt>
                <c:pt idx="116">
                  <c:v>0.98964601163505184</c:v>
                </c:pt>
                <c:pt idx="117">
                  <c:v>0.98957718862497934</c:v>
                </c:pt>
                <c:pt idx="118">
                  <c:v>0.98950848510050116</c:v>
                </c:pt>
                <c:pt idx="119">
                  <c:v>0.98943990035934837</c:v>
                </c:pt>
                <c:pt idx="120">
                  <c:v>0.98937143370346947</c:v>
                </c:pt>
                <c:pt idx="121">
                  <c:v>0.98930308443900306</c:v>
                </c:pt>
                <c:pt idx="122">
                  <c:v>0.98923485187625415</c:v>
                </c:pt>
                <c:pt idx="123">
                  <c:v>0.98916673532966759</c:v>
                </c:pt>
                <c:pt idx="124">
                  <c:v>0.98909873411780269</c:v>
                </c:pt>
                <c:pt idx="125">
                  <c:v>0.98903084756330917</c:v>
                </c:pt>
                <c:pt idx="126">
                  <c:v>0.98896307499290104</c:v>
                </c:pt>
                <c:pt idx="127">
                  <c:v>0.98889541573733264</c:v>
                </c:pt>
                <c:pt idx="128">
                  <c:v>0.9888278691313751</c:v>
                </c:pt>
                <c:pt idx="129">
                  <c:v>0.98876043451379003</c:v>
                </c:pt>
                <c:pt idx="130">
                  <c:v>0.98869311122730719</c:v>
                </c:pt>
                <c:pt idx="131">
                  <c:v>0.98862589861859995</c:v>
                </c:pt>
                <c:pt idx="132">
                  <c:v>0.98855879603826136</c:v>
                </c:pt>
                <c:pt idx="133">
                  <c:v>0.98849180284078031</c:v>
                </c:pt>
                <c:pt idx="134">
                  <c:v>0.98842491838451907</c:v>
                </c:pt>
                <c:pt idx="135">
                  <c:v>0.98835814203168937</c:v>
                </c:pt>
                <c:pt idx="136">
                  <c:v>0.98829147314832877</c:v>
                </c:pt>
                <c:pt idx="137">
                  <c:v>0.98822491110427824</c:v>
                </c:pt>
                <c:pt idx="138">
                  <c:v>0.98815845527315982</c:v>
                </c:pt>
                <c:pt idx="139">
                  <c:v>0.98809210503235201</c:v>
                </c:pt>
                <c:pt idx="140">
                  <c:v>0.98802585976297008</c:v>
                </c:pt>
                <c:pt idx="141">
                  <c:v>0.98795971884984091</c:v>
                </c:pt>
                <c:pt idx="142">
                  <c:v>0.98789368168148173</c:v>
                </c:pt>
                <c:pt idx="143">
                  <c:v>0.98782774765007886</c:v>
                </c:pt>
                <c:pt idx="144">
                  <c:v>0.98776191615146425</c:v>
                </c:pt>
                <c:pt idx="145">
                  <c:v>0.98769618658509439</c:v>
                </c:pt>
                <c:pt idx="146">
                  <c:v>0.98763055835402813</c:v>
                </c:pt>
                <c:pt idx="147">
                  <c:v>0.98756503086490532</c:v>
                </c:pt>
                <c:pt idx="148">
                  <c:v>0.98749960352792554</c:v>
                </c:pt>
                <c:pt idx="149">
                  <c:v>0.98743427575682674</c:v>
                </c:pt>
                <c:pt idx="150">
                  <c:v>0.98736904696886307</c:v>
                </c:pt>
                <c:pt idx="151">
                  <c:v>0.98730391658478445</c:v>
                </c:pt>
                <c:pt idx="152">
                  <c:v>0.98723888402881654</c:v>
                </c:pt>
                <c:pt idx="153">
                  <c:v>0.98717394872863751</c:v>
                </c:pt>
                <c:pt idx="154">
                  <c:v>0.98710911011536007</c:v>
                </c:pt>
                <c:pt idx="155">
                  <c:v>0.98704436762350878</c:v>
                </c:pt>
                <c:pt idx="156">
                  <c:v>0.98697972069100059</c:v>
                </c:pt>
                <c:pt idx="157">
                  <c:v>0.986915168759124</c:v>
                </c:pt>
                <c:pt idx="158">
                  <c:v>0.98685071127251933</c:v>
                </c:pt>
                <c:pt idx="159">
                  <c:v>0.98678634767915829</c:v>
                </c:pt>
                <c:pt idx="160">
                  <c:v>0.98672207743032403</c:v>
                </c:pt>
                <c:pt idx="161">
                  <c:v>0.98665789998059106</c:v>
                </c:pt>
                <c:pt idx="162">
                  <c:v>0.98659381478780583</c:v>
                </c:pt>
                <c:pt idx="163">
                  <c:v>0.98652982131306699</c:v>
                </c:pt>
                <c:pt idx="164">
                  <c:v>0.98646591902070602</c:v>
                </c:pt>
                <c:pt idx="165">
                  <c:v>0.98640210737826761</c:v>
                </c:pt>
                <c:pt idx="166">
                  <c:v>0.98633838585649025</c:v>
                </c:pt>
                <c:pt idx="167">
                  <c:v>0.98627475392928743</c:v>
                </c:pt>
                <c:pt idx="168">
                  <c:v>0.98621121107372889</c:v>
                </c:pt>
                <c:pt idx="169">
                  <c:v>0.98614775677001987</c:v>
                </c:pt>
                <c:pt idx="170">
                  <c:v>0.98608439050148522</c:v>
                </c:pt>
                <c:pt idx="171">
                  <c:v>0.98602111175454832</c:v>
                </c:pt>
                <c:pt idx="172">
                  <c:v>0.98595792001871285</c:v>
                </c:pt>
                <c:pt idx="173">
                  <c:v>0.98589481478654628</c:v>
                </c:pt>
                <c:pt idx="174">
                  <c:v>0.98583179555365785</c:v>
                </c:pt>
                <c:pt idx="175">
                  <c:v>0.98576886181868439</c:v>
                </c:pt>
                <c:pt idx="176">
                  <c:v>0.98570601308326844</c:v>
                </c:pt>
                <c:pt idx="177">
                  <c:v>0.98564324885204357</c:v>
                </c:pt>
                <c:pt idx="178">
                  <c:v>0.98558056863261345</c:v>
                </c:pt>
                <c:pt idx="179">
                  <c:v>0.98551797193553625</c:v>
                </c:pt>
                <c:pt idx="180">
                  <c:v>0.98545545827430581</c:v>
                </c:pt>
                <c:pt idx="181">
                  <c:v>0.98539302716533417</c:v>
                </c:pt>
                <c:pt idx="182">
                  <c:v>0.98533067812793462</c:v>
                </c:pt>
                <c:pt idx="183">
                  <c:v>0.98526841068430304</c:v>
                </c:pt>
                <c:pt idx="184">
                  <c:v>0.98520622435950211</c:v>
                </c:pt>
                <c:pt idx="185">
                  <c:v>0.98514411868144292</c:v>
                </c:pt>
                <c:pt idx="186">
                  <c:v>0.98508209318086848</c:v>
                </c:pt>
                <c:pt idx="187">
                  <c:v>0.98502014739133714</c:v>
                </c:pt>
                <c:pt idx="188">
                  <c:v>0.98495828084920434</c:v>
                </c:pt>
                <c:pt idx="189">
                  <c:v>0.98489649309360727</c:v>
                </c:pt>
                <c:pt idx="190">
                  <c:v>0.9848347836664475</c:v>
                </c:pt>
                <c:pt idx="191">
                  <c:v>0.98477315211237404</c:v>
                </c:pt>
                <c:pt idx="192">
                  <c:v>0.98471159797876762</c:v>
                </c:pt>
                <c:pt idx="193">
                  <c:v>0.98465012081572378</c:v>
                </c:pt>
                <c:pt idx="194">
                  <c:v>0.98458872017603694</c:v>
                </c:pt>
                <c:pt idx="195">
                  <c:v>0.98452739561518432</c:v>
                </c:pt>
                <c:pt idx="196">
                  <c:v>0.98446614669130839</c:v>
                </c:pt>
                <c:pt idx="197">
                  <c:v>0.98440497296520346</c:v>
                </c:pt>
                <c:pt idx="198">
                  <c:v>0.98434387400029744</c:v>
                </c:pt>
                <c:pt idx="199">
                  <c:v>0.98428284936263721</c:v>
                </c:pt>
                <c:pt idx="200">
                  <c:v>0.9842218986208725</c:v>
                </c:pt>
                <c:pt idx="201">
                  <c:v>0.98416102134624073</c:v>
                </c:pt>
                <c:pt idx="202">
                  <c:v>0.98410021711255091</c:v>
                </c:pt>
                <c:pt idx="203">
                  <c:v>0.98403948549616849</c:v>
                </c:pt>
                <c:pt idx="204">
                  <c:v>0.98397882607600018</c:v>
                </c:pt>
                <c:pt idx="205">
                  <c:v>0.98391823843347803</c:v>
                </c:pt>
                <c:pt idx="206">
                  <c:v>0.98385772215254541</c:v>
                </c:pt>
                <c:pt idx="207">
                  <c:v>0.98379727681964091</c:v>
                </c:pt>
                <c:pt idx="208">
                  <c:v>0.98373690202368391</c:v>
                </c:pt>
                <c:pt idx="209">
                  <c:v>0.98367659735605917</c:v>
                </c:pt>
                <c:pt idx="210">
                  <c:v>0.98361636241060313</c:v>
                </c:pt>
                <c:pt idx="211">
                  <c:v>0.98355619678358763</c:v>
                </c:pt>
                <c:pt idx="212">
                  <c:v>0.98349610007370725</c:v>
                </c:pt>
                <c:pt idx="213">
                  <c:v>0.98343607188206261</c:v>
                </c:pt>
                <c:pt idx="214">
                  <c:v>0.98337611181214712</c:v>
                </c:pt>
                <c:pt idx="215">
                  <c:v>0.98331621946983316</c:v>
                </c:pt>
                <c:pt idx="216">
                  <c:v>0.98325639446335678</c:v>
                </c:pt>
                <c:pt idx="217">
                  <c:v>0.98319663640330357</c:v>
                </c:pt>
                <c:pt idx="218">
                  <c:v>0.98313694490259518</c:v>
                </c:pt>
                <c:pt idx="219">
                  <c:v>0.98307731957647526</c:v>
                </c:pt>
                <c:pt idx="220">
                  <c:v>0.98301776004249497</c:v>
                </c:pt>
                <c:pt idx="221">
                  <c:v>0.98295826592049929</c:v>
                </c:pt>
                <c:pt idx="222">
                  <c:v>0.98289883683261381</c:v>
                </c:pt>
                <c:pt idx="223">
                  <c:v>0.98283947240323022</c:v>
                </c:pt>
                <c:pt idx="224">
                  <c:v>0.98278017225899339</c:v>
                </c:pt>
                <c:pt idx="225">
                  <c:v>0.98272093602878741</c:v>
                </c:pt>
                <c:pt idx="226">
                  <c:v>0.98266176334372246</c:v>
                </c:pt>
                <c:pt idx="227">
                  <c:v>0.98260265383712142</c:v>
                </c:pt>
                <c:pt idx="228">
                  <c:v>0.98254360714450617</c:v>
                </c:pt>
                <c:pt idx="229">
                  <c:v>0.9824846229035854</c:v>
                </c:pt>
                <c:pt idx="230">
                  <c:v>0.98242570075423985</c:v>
                </c:pt>
                <c:pt idx="231">
                  <c:v>0.98236684033851074</c:v>
                </c:pt>
                <c:pt idx="232">
                  <c:v>0.98230804130058691</c:v>
                </c:pt>
                <c:pt idx="233">
                  <c:v>0.98224930328679039</c:v>
                </c:pt>
                <c:pt idx="234">
                  <c:v>0.98219062594556494</c:v>
                </c:pt>
                <c:pt idx="235">
                  <c:v>0.98213200892746289</c:v>
                </c:pt>
                <c:pt idx="236">
                  <c:v>0.98207345188513262</c:v>
                </c:pt>
                <c:pt idx="237">
                  <c:v>0.98201495447330567</c:v>
                </c:pt>
                <c:pt idx="238">
                  <c:v>0.98195651634878489</c:v>
                </c:pt>
                <c:pt idx="239">
                  <c:v>0.98189813717043084</c:v>
                </c:pt>
                <c:pt idx="240">
                  <c:v>0.98183981659915109</c:v>
                </c:pt>
                <c:pt idx="241">
                  <c:v>0.98178155429788638</c:v>
                </c:pt>
                <c:pt idx="242">
                  <c:v>0.98172334993159938</c:v>
                </c:pt>
                <c:pt idx="243">
                  <c:v>0.98166520316726225</c:v>
                </c:pt>
                <c:pt idx="244">
                  <c:v>0.98160711367384434</c:v>
                </c:pt>
                <c:pt idx="245">
                  <c:v>0.98154908112230044</c:v>
                </c:pt>
                <c:pt idx="246">
                  <c:v>0.98149110518555926</c:v>
                </c:pt>
                <c:pt idx="247">
                  <c:v>0.98143318553851111</c:v>
                </c:pt>
                <c:pt idx="248">
                  <c:v>0.98137532185799614</c:v>
                </c:pt>
                <c:pt idx="249">
                  <c:v>0.98131751382279264</c:v>
                </c:pt>
                <c:pt idx="250">
                  <c:v>0.98125976111360558</c:v>
                </c:pt>
                <c:pt idx="251">
                  <c:v>0.98120206341305471</c:v>
                </c:pt>
                <c:pt idx="252">
                  <c:v>0.98114442040566396</c:v>
                </c:pt>
                <c:pt idx="253">
                  <c:v>0.98108683177784917</c:v>
                </c:pt>
                <c:pt idx="254">
                  <c:v>0.98102929721790633</c:v>
                </c:pt>
                <c:pt idx="255">
                  <c:v>0.98097181641600151</c:v>
                </c:pt>
                <c:pt idx="256">
                  <c:v>0.98091438906415906</c:v>
                </c:pt>
                <c:pt idx="257">
                  <c:v>0.98085701485625054</c:v>
                </c:pt>
                <c:pt idx="258">
                  <c:v>0.98079969348798302</c:v>
                </c:pt>
                <c:pt idx="259">
                  <c:v>0.98074242465688899</c:v>
                </c:pt>
                <c:pt idx="260">
                  <c:v>0.98068520806231518</c:v>
                </c:pt>
                <c:pt idx="261">
                  <c:v>0.9806280434054111</c:v>
                </c:pt>
                <c:pt idx="262">
                  <c:v>0.98057093038911869</c:v>
                </c:pt>
                <c:pt idx="263">
                  <c:v>0.98051386871816204</c:v>
                </c:pt>
                <c:pt idx="264">
                  <c:v>0.98045685809903549</c:v>
                </c:pt>
                <c:pt idx="265">
                  <c:v>0.98039989823999418</c:v>
                </c:pt>
                <c:pt idx="266">
                  <c:v>0.98034298885104254</c:v>
                </c:pt>
                <c:pt idx="267">
                  <c:v>0.98028612964392459</c:v>
                </c:pt>
                <c:pt idx="268">
                  <c:v>0.98022932033211307</c:v>
                </c:pt>
                <c:pt idx="269">
                  <c:v>0.98017256063079905</c:v>
                </c:pt>
                <c:pt idx="270">
                  <c:v>0.98011585025688208</c:v>
                </c:pt>
                <c:pt idx="271">
                  <c:v>0.98005918892895894</c:v>
                </c:pt>
                <c:pt idx="272">
                  <c:v>0.98000257636731469</c:v>
                </c:pt>
                <c:pt idx="273">
                  <c:v>0.97994601229391176</c:v>
                </c:pt>
                <c:pt idx="274">
                  <c:v>0.97988949643237977</c:v>
                </c:pt>
                <c:pt idx="275">
                  <c:v>0.97983302850800635</c:v>
                </c:pt>
                <c:pt idx="276">
                  <c:v>0.97977660824772661</c:v>
                </c:pt>
                <c:pt idx="277">
                  <c:v>0.97972023538011321</c:v>
                </c:pt>
                <c:pt idx="278">
                  <c:v>0.9796639096353662</c:v>
                </c:pt>
                <c:pt idx="279">
                  <c:v>0.97960763074530421</c:v>
                </c:pt>
                <c:pt idx="280">
                  <c:v>0.97955139844335437</c:v>
                </c:pt>
                <c:pt idx="281">
                  <c:v>0.97949521246454208</c:v>
                </c:pt>
                <c:pt idx="282">
                  <c:v>0.97943907254548179</c:v>
                </c:pt>
                <c:pt idx="283">
                  <c:v>0.9793829784243685</c:v>
                </c:pt>
                <c:pt idx="284">
                  <c:v>0.9793269298409657</c:v>
                </c:pt>
                <c:pt idx="285">
                  <c:v>0.97927092653659942</c:v>
                </c:pt>
                <c:pt idx="286">
                  <c:v>0.97921496825414556</c:v>
                </c:pt>
                <c:pt idx="287">
                  <c:v>0.97915905473802234</c:v>
                </c:pt>
                <c:pt idx="288">
                  <c:v>0.9791031857341812</c:v>
                </c:pt>
                <c:pt idx="289">
                  <c:v>0.97904736099009682</c:v>
                </c:pt>
                <c:pt idx="290">
                  <c:v>0.97899158025475852</c:v>
                </c:pt>
                <c:pt idx="291">
                  <c:v>0.97893584327866079</c:v>
                </c:pt>
                <c:pt idx="292">
                  <c:v>0.97888014981379423</c:v>
                </c:pt>
                <c:pt idx="293">
                  <c:v>0.97882449961363716</c:v>
                </c:pt>
                <c:pt idx="294">
                  <c:v>0.97876889243314613</c:v>
                </c:pt>
                <c:pt idx="295">
                  <c:v>0.97871332802874733</c:v>
                </c:pt>
                <c:pt idx="296">
                  <c:v>0.97865780615832731</c:v>
                </c:pt>
                <c:pt idx="297">
                  <c:v>0.97860232658122503</c:v>
                </c:pt>
                <c:pt idx="298">
                  <c:v>0.97854688905822218</c:v>
                </c:pt>
                <c:pt idx="299">
                  <c:v>0.97849149335153573</c:v>
                </c:pt>
                <c:pt idx="300">
                  <c:v>0.97843613922480788</c:v>
                </c:pt>
                <c:pt idx="301">
                  <c:v>0.97838082644309876</c:v>
                </c:pt>
                <c:pt idx="302">
                  <c:v>0.9783255547728773</c:v>
                </c:pt>
                <c:pt idx="303">
                  <c:v>0.97827032398201252</c:v>
                </c:pt>
                <c:pt idx="304">
                  <c:v>0.97821513383976633</c:v>
                </c:pt>
                <c:pt idx="305">
                  <c:v>0.97815998411678329</c:v>
                </c:pt>
                <c:pt idx="306">
                  <c:v>0.97810487458508444</c:v>
                </c:pt>
                <c:pt idx="307">
                  <c:v>0.97804980501805705</c:v>
                </c:pt>
                <c:pt idx="308">
                  <c:v>0.97799477519044775</c:v>
                </c:pt>
                <c:pt idx="309">
                  <c:v>0.97793978487835398</c:v>
                </c:pt>
                <c:pt idx="310">
                  <c:v>0.97788483385921576</c:v>
                </c:pt>
                <c:pt idx="311">
                  <c:v>0.97782992191180795</c:v>
                </c:pt>
                <c:pt idx="312">
                  <c:v>0.97777504881623167</c:v>
                </c:pt>
                <c:pt idx="313">
                  <c:v>0.9777202143539071</c:v>
                </c:pt>
                <c:pt idx="314">
                  <c:v>0.97766541830756515</c:v>
                </c:pt>
                <c:pt idx="315">
                  <c:v>0.9776106604612389</c:v>
                </c:pt>
                <c:pt idx="316">
                  <c:v>0.97755594060025786</c:v>
                </c:pt>
                <c:pt idx="317">
                  <c:v>0.97750125851123748</c:v>
                </c:pt>
                <c:pt idx="318">
                  <c:v>0.97744661398207322</c:v>
                </c:pt>
                <c:pt idx="319">
                  <c:v>0.97739200680193306</c:v>
                </c:pt>
                <c:pt idx="320">
                  <c:v>0.97733743676124851</c:v>
                </c:pt>
                <c:pt idx="321">
                  <c:v>0.977282903651708</c:v>
                </c:pt>
                <c:pt idx="322">
                  <c:v>0.97722840726624927</c:v>
                </c:pt>
                <c:pt idx="323">
                  <c:v>0.97717394739905139</c:v>
                </c:pt>
                <c:pt idx="324">
                  <c:v>0.9771195238455278</c:v>
                </c:pt>
                <c:pt idx="325">
                  <c:v>0.97706513640231896</c:v>
                </c:pt>
                <c:pt idx="326">
                  <c:v>0.97701078486728454</c:v>
                </c:pt>
                <c:pt idx="327">
                  <c:v>0.97695646903949585</c:v>
                </c:pt>
                <c:pt idx="328">
                  <c:v>0.97690218871922996</c:v>
                </c:pt>
                <c:pt idx="329">
                  <c:v>0.9768479437079608</c:v>
                </c:pt>
                <c:pt idx="330">
                  <c:v>0.97679373380835344</c:v>
                </c:pt>
                <c:pt idx="331">
                  <c:v>0.97673955882425545</c:v>
                </c:pt>
                <c:pt idx="332">
                  <c:v>0.97668541856069135</c:v>
                </c:pt>
                <c:pt idx="333">
                  <c:v>0.97663131282385396</c:v>
                </c:pt>
                <c:pt idx="334">
                  <c:v>0.97657724142109881</c:v>
                </c:pt>
                <c:pt idx="335">
                  <c:v>0.97652320416093652</c:v>
                </c:pt>
                <c:pt idx="336">
                  <c:v>0.97646920085302602</c:v>
                </c:pt>
                <c:pt idx="337">
                  <c:v>0.97641523130816688</c:v>
                </c:pt>
                <c:pt idx="338">
                  <c:v>0.97636129533829386</c:v>
                </c:pt>
                <c:pt idx="339">
                  <c:v>0.97630739275646927</c:v>
                </c:pt>
                <c:pt idx="340">
                  <c:v>0.97625352337687621</c:v>
                </c:pt>
                <c:pt idx="341">
                  <c:v>0.97619968701481163</c:v>
                </c:pt>
                <c:pt idx="342">
                  <c:v>0.97614588348668052</c:v>
                </c:pt>
                <c:pt idx="343">
                  <c:v>0.97609211260998852</c:v>
                </c:pt>
                <c:pt idx="344">
                  <c:v>0.97603837420333572</c:v>
                </c:pt>
                <c:pt idx="345">
                  <c:v>0.97598466808640927</c:v>
                </c:pt>
                <c:pt idx="346">
                  <c:v>0.97593099407997796</c:v>
                </c:pt>
                <c:pt idx="347">
                  <c:v>0.9758773520058851</c:v>
                </c:pt>
                <c:pt idx="348">
                  <c:v>0.97582374168704222</c:v>
                </c:pt>
                <c:pt idx="349">
                  <c:v>0.97577016294742291</c:v>
                </c:pt>
                <c:pt idx="350">
                  <c:v>0.97571661561205547</c:v>
                </c:pt>
                <c:pt idx="351">
                  <c:v>0.97566309950701846</c:v>
                </c:pt>
                <c:pt idx="352">
                  <c:v>0.97560961445943206</c:v>
                </c:pt>
                <c:pt idx="353">
                  <c:v>0.97555616029745373</c:v>
                </c:pt>
                <c:pt idx="354">
                  <c:v>0.97550273685027111</c:v>
                </c:pt>
                <c:pt idx="355">
                  <c:v>0.97544934394809579</c:v>
                </c:pt>
                <c:pt idx="356">
                  <c:v>0.97539598142215744</c:v>
                </c:pt>
                <c:pt idx="357">
                  <c:v>0.97534264910469792</c:v>
                </c:pt>
                <c:pt idx="358">
                  <c:v>0.97528934682896495</c:v>
                </c:pt>
                <c:pt idx="359">
                  <c:v>0.97523607442920501</c:v>
                </c:pt>
                <c:pt idx="360">
                  <c:v>0.97518283174065978</c:v>
                </c:pt>
                <c:pt idx="361">
                  <c:v>0.97512961859955793</c:v>
                </c:pt>
                <c:pt idx="362">
                  <c:v>0.97507643484311002</c:v>
                </c:pt>
                <c:pt idx="363">
                  <c:v>0.97502328030950303</c:v>
                </c:pt>
                <c:pt idx="364">
                  <c:v>0.97497015483789407</c:v>
                </c:pt>
                <c:pt idx="365">
                  <c:v>0.97491705826840436</c:v>
                </c:pt>
                <c:pt idx="366">
                  <c:v>0.97486399044211336</c:v>
                </c:pt>
                <c:pt idx="367">
                  <c:v>0.97481095120105399</c:v>
                </c:pt>
                <c:pt idx="368">
                  <c:v>0.97475794038820596</c:v>
                </c:pt>
                <c:pt idx="369">
                  <c:v>0.97470495784749012</c:v>
                </c:pt>
                <c:pt idx="370">
                  <c:v>0.97465200342376401</c:v>
                </c:pt>
                <c:pt idx="371">
                  <c:v>0.97459907696281356</c:v>
                </c:pt>
                <c:pt idx="372">
                  <c:v>0.97454617831135104</c:v>
                </c:pt>
                <c:pt idx="373">
                  <c:v>0.97449330731700667</c:v>
                </c:pt>
                <c:pt idx="374">
                  <c:v>0.97444046382832483</c:v>
                </c:pt>
                <c:pt idx="375">
                  <c:v>0.97438764769475716</c:v>
                </c:pt>
                <c:pt idx="376">
                  <c:v>0.97433485876665826</c:v>
                </c:pt>
                <c:pt idx="377">
                  <c:v>0.97428209689528023</c:v>
                </c:pt>
                <c:pt idx="378">
                  <c:v>0.97422936193276655</c:v>
                </c:pt>
                <c:pt idx="379">
                  <c:v>0.97417665373214668</c:v>
                </c:pt>
                <c:pt idx="380">
                  <c:v>0.97412397214733237</c:v>
                </c:pt>
                <c:pt idx="381">
                  <c:v>0.97407131703310967</c:v>
                </c:pt>
                <c:pt idx="382">
                  <c:v>0.9740186882451366</c:v>
                </c:pt>
                <c:pt idx="383">
                  <c:v>0.97396608563993547</c:v>
                </c:pt>
                <c:pt idx="384">
                  <c:v>0.97391350907488961</c:v>
                </c:pt>
                <c:pt idx="385">
                  <c:v>0.97386095840823639</c:v>
                </c:pt>
                <c:pt idx="386">
                  <c:v>0.97380843349906387</c:v>
                </c:pt>
                <c:pt idx="387">
                  <c:v>0.97375593420730422</c:v>
                </c:pt>
                <c:pt idx="388">
                  <c:v>0.97370346039372957</c:v>
                </c:pt>
                <c:pt idx="389">
                  <c:v>0.97365101191994707</c:v>
                </c:pt>
                <c:pt idx="390">
                  <c:v>0.97359858864839255</c:v>
                </c:pt>
                <c:pt idx="391">
                  <c:v>0.97354619044232749</c:v>
                </c:pt>
                <c:pt idx="392">
                  <c:v>0.97349381716583239</c:v>
                </c:pt>
                <c:pt idx="393">
                  <c:v>0.9734414686838031</c:v>
                </c:pt>
                <c:pt idx="394">
                  <c:v>0.97338914486194483</c:v>
                </c:pt>
                <c:pt idx="395">
                  <c:v>0.97333684556676803</c:v>
                </c:pt>
                <c:pt idx="396">
                  <c:v>0.97328457066558405</c:v>
                </c:pt>
                <c:pt idx="397">
                  <c:v>0.97323232002649818</c:v>
                </c:pt>
                <c:pt idx="398">
                  <c:v>0.97318009351840784</c:v>
                </c:pt>
                <c:pt idx="399">
                  <c:v>0.97312789101099539</c:v>
                </c:pt>
                <c:pt idx="400">
                  <c:v>0.97307571237472457</c:v>
                </c:pt>
                <c:pt idx="401">
                  <c:v>0.97302355748083602</c:v>
                </c:pt>
                <c:pt idx="402">
                  <c:v>0.9729714262013418</c:v>
                </c:pt>
                <c:pt idx="403">
                  <c:v>0.97291931840902113</c:v>
                </c:pt>
                <c:pt idx="404">
                  <c:v>0.97286723397741615</c:v>
                </c:pt>
                <c:pt idx="405">
                  <c:v>0.97281517278082708</c:v>
                </c:pt>
                <c:pt idx="406">
                  <c:v>0.97276313469430709</c:v>
                </c:pt>
                <c:pt idx="407">
                  <c:v>0.97271111959365875</c:v>
                </c:pt>
                <c:pt idx="408">
                  <c:v>0.97265912735542881</c:v>
                </c:pt>
                <c:pt idx="409">
                  <c:v>0.97260715785690444</c:v>
                </c:pt>
                <c:pt idx="410">
                  <c:v>0.97255521097610775</c:v>
                </c:pt>
                <c:pt idx="411">
                  <c:v>0.97250328659179242</c:v>
                </c:pt>
                <c:pt idx="412">
                  <c:v>0.97245138458343916</c:v>
                </c:pt>
                <c:pt idx="413">
                  <c:v>0.97239950483125048</c:v>
                </c:pt>
                <c:pt idx="414">
                  <c:v>0.97234764721614686</c:v>
                </c:pt>
                <c:pt idx="415">
                  <c:v>0.97229581161976331</c:v>
                </c:pt>
                <c:pt idx="416">
                  <c:v>0.97224399792444394</c:v>
                </c:pt>
                <c:pt idx="417">
                  <c:v>0.97219220601323764</c:v>
                </c:pt>
                <c:pt idx="418">
                  <c:v>0.97214043576989462</c:v>
                </c:pt>
                <c:pt idx="419">
                  <c:v>0.9720886870788622</c:v>
                </c:pt>
                <c:pt idx="420">
                  <c:v>0.97203695982527982</c:v>
                </c:pt>
                <c:pt idx="421">
                  <c:v>0.97198525389497537</c:v>
                </c:pt>
                <c:pt idx="422">
                  <c:v>0.97193356917446128</c:v>
                </c:pt>
                <c:pt idx="423">
                  <c:v>0.97188190555093035</c:v>
                </c:pt>
                <c:pt idx="424">
                  <c:v>0.97183026291225061</c:v>
                </c:pt>
                <c:pt idx="425">
                  <c:v>0.97177864114696344</c:v>
                </c:pt>
                <c:pt idx="426">
                  <c:v>0.97172704014427724</c:v>
                </c:pt>
                <c:pt idx="427">
                  <c:v>0.97167545979406522</c:v>
                </c:pt>
                <c:pt idx="428">
                  <c:v>0.97162389998685983</c:v>
                </c:pt>
                <c:pt idx="429">
                  <c:v>0.97157236061385011</c:v>
                </c:pt>
                <c:pt idx="430">
                  <c:v>0.97152084156687701</c:v>
                </c:pt>
                <c:pt idx="431">
                  <c:v>0.97146934273843011</c:v>
                </c:pt>
                <c:pt idx="432">
                  <c:v>0.97141786402164276</c:v>
                </c:pt>
                <c:pt idx="433">
                  <c:v>0.97136640531028906</c:v>
                </c:pt>
                <c:pt idx="434">
                  <c:v>0.97131496649877991</c:v>
                </c:pt>
                <c:pt idx="435">
                  <c:v>0.97126354748215893</c:v>
                </c:pt>
                <c:pt idx="436">
                  <c:v>0.97121214815609835</c:v>
                </c:pt>
                <c:pt idx="437">
                  <c:v>0.97116076841689625</c:v>
                </c:pt>
                <c:pt idx="438">
                  <c:v>0.97110940816147184</c:v>
                </c:pt>
                <c:pt idx="439">
                  <c:v>0.97105806728736244</c:v>
                </c:pt>
                <c:pt idx="440">
                  <c:v>0.97100674569271872</c:v>
                </c:pt>
                <c:pt idx="441">
                  <c:v>0.97095544327630234</c:v>
                </c:pt>
                <c:pt idx="442">
                  <c:v>0.9709041599374818</c:v>
                </c:pt>
                <c:pt idx="443">
                  <c:v>0.97085289557622811</c:v>
                </c:pt>
                <c:pt idx="444">
                  <c:v>0.97080165009311192</c:v>
                </c:pt>
                <c:pt idx="445">
                  <c:v>0.97075042338929995</c:v>
                </c:pt>
                <c:pt idx="446">
                  <c:v>0.97069921536655102</c:v>
                </c:pt>
                <c:pt idx="447">
                  <c:v>0.97064802592721267</c:v>
                </c:pt>
                <c:pt idx="448">
                  <c:v>0.97059685497421777</c:v>
                </c:pt>
                <c:pt idx="449">
                  <c:v>0.97054570241108062</c:v>
                </c:pt>
                <c:pt idx="450">
                  <c:v>0.97049456814189416</c:v>
                </c:pt>
                <c:pt idx="451">
                  <c:v>0.97044345207132532</c:v>
                </c:pt>
                <c:pt idx="452">
                  <c:v>0.970392354104613</c:v>
                </c:pt>
                <c:pt idx="453">
                  <c:v>0.97034127414756377</c:v>
                </c:pt>
                <c:pt idx="454">
                  <c:v>0.97029021210654842</c:v>
                </c:pt>
                <c:pt idx="455">
                  <c:v>0.97023916788849895</c:v>
                </c:pt>
                <c:pt idx="456">
                  <c:v>0.97018814140090515</c:v>
                </c:pt>
                <c:pt idx="457">
                  <c:v>0.97013713255181089</c:v>
                </c:pt>
                <c:pt idx="458">
                  <c:v>0.97008614124981118</c:v>
                </c:pt>
                <c:pt idx="459">
                  <c:v>0.97003516740404871</c:v>
                </c:pt>
                <c:pt idx="460">
                  <c:v>0.96998421092421094</c:v>
                </c:pt>
                <c:pt idx="461">
                  <c:v>0.96993327172052579</c:v>
                </c:pt>
                <c:pt idx="462">
                  <c:v>0.96988234970375975</c:v>
                </c:pt>
                <c:pt idx="463">
                  <c:v>0.96983144478521355</c:v>
                </c:pt>
                <c:pt idx="464">
                  <c:v>0.9697805568767196</c:v>
                </c:pt>
                <c:pt idx="465">
                  <c:v>0.96972968589063879</c:v>
                </c:pt>
                <c:pt idx="466">
                  <c:v>0.96967883173985658</c:v>
                </c:pt>
                <c:pt idx="467">
                  <c:v>0.96962799433778091</c:v>
                </c:pt>
                <c:pt idx="468">
                  <c:v>0.96957717359833817</c:v>
                </c:pt>
                <c:pt idx="469">
                  <c:v>0.96952636943597081</c:v>
                </c:pt>
                <c:pt idx="470">
                  <c:v>0.96947558176563375</c:v>
                </c:pt>
                <c:pt idx="471">
                  <c:v>0.96942481050279139</c:v>
                </c:pt>
                <c:pt idx="472">
                  <c:v>0.9693740555634146</c:v>
                </c:pt>
                <c:pt idx="473">
                  <c:v>0.96932331686397799</c:v>
                </c:pt>
                <c:pt idx="474">
                  <c:v>0.96927259432145607</c:v>
                </c:pt>
                <c:pt idx="475">
                  <c:v>0.96922188785332153</c:v>
                </c:pt>
                <c:pt idx="476">
                  <c:v>0.96917119737754098</c:v>
                </c:pt>
                <c:pt idx="477">
                  <c:v>0.96912052281257244</c:v>
                </c:pt>
                <c:pt idx="478">
                  <c:v>0.96906986407736284</c:v>
                </c:pt>
                <c:pt idx="479">
                  <c:v>0.96901922109134431</c:v>
                </c:pt>
                <c:pt idx="480">
                  <c:v>0.96896859377443201</c:v>
                </c:pt>
                <c:pt idx="481">
                  <c:v>0.96891798204702073</c:v>
                </c:pt>
                <c:pt idx="482">
                  <c:v>0.96886738582998211</c:v>
                </c:pt>
                <c:pt idx="483">
                  <c:v>0.96881680504466194</c:v>
                </c:pt>
                <c:pt idx="484">
                  <c:v>0.96876623961287722</c:v>
                </c:pt>
                <c:pt idx="485">
                  <c:v>0.96871568945691333</c:v>
                </c:pt>
                <c:pt idx="486">
                  <c:v>0.96866515449952117</c:v>
                </c:pt>
                <c:pt idx="487">
                  <c:v>0.96861463466391429</c:v>
                </c:pt>
                <c:pt idx="488">
                  <c:v>0.96856412987376661</c:v>
                </c:pt>
                <c:pt idx="489">
                  <c:v>0.96851364005320872</c:v>
                </c:pt>
                <c:pt idx="490">
                  <c:v>0.96846316512682651</c:v>
                </c:pt>
                <c:pt idx="491">
                  <c:v>0.96841270501965682</c:v>
                </c:pt>
                <c:pt idx="492">
                  <c:v>0.96836225965718592</c:v>
                </c:pt>
                <c:pt idx="493">
                  <c:v>0.9683118289653464</c:v>
                </c:pt>
                <c:pt idx="494">
                  <c:v>0.96826141287051459</c:v>
                </c:pt>
                <c:pt idx="495">
                  <c:v>0.96821101129950793</c:v>
                </c:pt>
                <c:pt idx="496">
                  <c:v>0.96816062417958204</c:v>
                </c:pt>
                <c:pt idx="497">
                  <c:v>0.96811025143842833</c:v>
                </c:pt>
                <c:pt idx="498">
                  <c:v>0.96805989300417117</c:v>
                </c:pt>
                <c:pt idx="499">
                  <c:v>0.96800954880536605</c:v>
                </c:pt>
                <c:pt idx="500">
                  <c:v>0.96795921877099556</c:v>
                </c:pt>
                <c:pt idx="501">
                  <c:v>0.96790890283046849</c:v>
                </c:pt>
                <c:pt idx="502">
                  <c:v>0.96785860091361597</c:v>
                </c:pt>
                <c:pt idx="503">
                  <c:v>0.96780831295068948</c:v>
                </c:pt>
                <c:pt idx="504">
                  <c:v>0.96775803887235845</c:v>
                </c:pt>
                <c:pt idx="505">
                  <c:v>0.96770777860970758</c:v>
                </c:pt>
                <c:pt idx="506">
                  <c:v>0.96765753209423389</c:v>
                </c:pt>
                <c:pt idx="507">
                  <c:v>0.96760729925784539</c:v>
                </c:pt>
                <c:pt idx="508">
                  <c:v>0.96755708003285745</c:v>
                </c:pt>
                <c:pt idx="509">
                  <c:v>0.96750687435199079</c:v>
                </c:pt>
                <c:pt idx="510">
                  <c:v>0.96745668214836922</c:v>
                </c:pt>
                <c:pt idx="511">
                  <c:v>0.96740650335551737</c:v>
                </c:pt>
                <c:pt idx="512">
                  <c:v>0.96735633790735776</c:v>
                </c:pt>
                <c:pt idx="513">
                  <c:v>0.96730618573820859</c:v>
                </c:pt>
                <c:pt idx="514">
                  <c:v>0.96725604678278121</c:v>
                </c:pt>
                <c:pt idx="515">
                  <c:v>0.96720592097617841</c:v>
                </c:pt>
                <c:pt idx="516">
                  <c:v>0.96715580825389158</c:v>
                </c:pt>
                <c:pt idx="517">
                  <c:v>0.96710570855179834</c:v>
                </c:pt>
                <c:pt idx="518">
                  <c:v>0.96705562180616023</c:v>
                </c:pt>
                <c:pt idx="519">
                  <c:v>0.9670055479536207</c:v>
                </c:pt>
                <c:pt idx="520">
                  <c:v>0.96695548693120259</c:v>
                </c:pt>
                <c:pt idx="521">
                  <c:v>0.96690543867630552</c:v>
                </c:pt>
                <c:pt idx="522">
                  <c:v>0.96685540312670448</c:v>
                </c:pt>
                <c:pt idx="523">
                  <c:v>0.96680538022054707</c:v>
                </c:pt>
                <c:pt idx="524">
                  <c:v>0.96675536989635091</c:v>
                </c:pt>
                <c:pt idx="525">
                  <c:v>0.96670537209300222</c:v>
                </c:pt>
                <c:pt idx="526">
                  <c:v>0.9666553867497526</c:v>
                </c:pt>
                <c:pt idx="527">
                  <c:v>0.96660541380621801</c:v>
                </c:pt>
                <c:pt idx="528">
                  <c:v>0.9665554532023759</c:v>
                </c:pt>
                <c:pt idx="529">
                  <c:v>0.9665055048785629</c:v>
                </c:pt>
                <c:pt idx="530">
                  <c:v>0.96645556877547312</c:v>
                </c:pt>
                <c:pt idx="531">
                  <c:v>0.96640564483415548</c:v>
                </c:pt>
                <c:pt idx="532">
                  <c:v>0.96635573299601196</c:v>
                </c:pt>
                <c:pt idx="533">
                  <c:v>0.96630583320279606</c:v>
                </c:pt>
                <c:pt idx="534">
                  <c:v>0.96625594539660897</c:v>
                </c:pt>
                <c:pt idx="535">
                  <c:v>0.96620606951989951</c:v>
                </c:pt>
                <c:pt idx="536">
                  <c:v>0.96615620551546044</c:v>
                </c:pt>
                <c:pt idx="537">
                  <c:v>0.96610635332642736</c:v>
                </c:pt>
                <c:pt idx="538">
                  <c:v>0.96605651289627648</c:v>
                </c:pt>
                <c:pt idx="539">
                  <c:v>0.96600668416882185</c:v>
                </c:pt>
                <c:pt idx="540">
                  <c:v>0.96595686708821438</c:v>
                </c:pt>
                <c:pt idx="541">
                  <c:v>0.96590706159893946</c:v>
                </c:pt>
                <c:pt idx="542">
                  <c:v>0.96585726764581448</c:v>
                </c:pt>
                <c:pt idx="543">
                  <c:v>0.96580748517398751</c:v>
                </c:pt>
                <c:pt idx="544">
                  <c:v>0.96575771412893474</c:v>
                </c:pt>
                <c:pt idx="545">
                  <c:v>0.96570795445645896</c:v>
                </c:pt>
                <c:pt idx="546">
                  <c:v>0.96565820610268738</c:v>
                </c:pt>
                <c:pt idx="547">
                  <c:v>0.96560846901406983</c:v>
                </c:pt>
                <c:pt idx="548">
                  <c:v>0.96555874313737655</c:v>
                </c:pt>
                <c:pt idx="549">
                  <c:v>0.96550902841969666</c:v>
                </c:pt>
                <c:pt idx="550">
                  <c:v>0.96545932480843566</c:v>
                </c:pt>
                <c:pt idx="551">
                  <c:v>0.96540963225131438</c:v>
                </c:pt>
                <c:pt idx="552">
                  <c:v>0.96535995069636604</c:v>
                </c:pt>
                <c:pt idx="553">
                  <c:v>0.96531028009193576</c:v>
                </c:pt>
                <c:pt idx="554">
                  <c:v>0.96526062038667693</c:v>
                </c:pt>
                <c:pt idx="555">
                  <c:v>0.96521097152955082</c:v>
                </c:pt>
                <c:pt idx="556">
                  <c:v>0.96516133346982436</c:v>
                </c:pt>
                <c:pt idx="557">
                  <c:v>0.96511170615706765</c:v>
                </c:pt>
                <c:pt idx="558">
                  <c:v>0.96506208954115313</c:v>
                </c:pt>
                <c:pt idx="559">
                  <c:v>0.965012483572253</c:v>
                </c:pt>
                <c:pt idx="560">
                  <c:v>0.96496288820083786</c:v>
                </c:pt>
                <c:pt idx="561">
                  <c:v>0.96491330337767478</c:v>
                </c:pt>
                <c:pt idx="562">
                  <c:v>0.96486372905382534</c:v>
                </c:pt>
                <c:pt idx="563">
                  <c:v>0.96481416518064411</c:v>
                </c:pt>
                <c:pt idx="564">
                  <c:v>0.9647646117097769</c:v>
                </c:pt>
                <c:pt idx="565">
                  <c:v>0.96471506859315903</c:v>
                </c:pt>
                <c:pt idx="566">
                  <c:v>0.96466553578301317</c:v>
                </c:pt>
                <c:pt idx="567">
                  <c:v>0.96461601323184809</c:v>
                </c:pt>
                <c:pt idx="568">
                  <c:v>0.96456650089245688</c:v>
                </c:pt>
                <c:pt idx="569">
                  <c:v>0.96451699871791485</c:v>
                </c:pt>
                <c:pt idx="570">
                  <c:v>0.96446750666157854</c:v>
                </c:pt>
                <c:pt idx="571">
                  <c:v>0.9644180246770836</c:v>
                </c:pt>
                <c:pt idx="572">
                  <c:v>0.96436855271834265</c:v>
                </c:pt>
                <c:pt idx="573">
                  <c:v>0.96431909073954492</c:v>
                </c:pt>
                <c:pt idx="574">
                  <c:v>0.96426963869515292</c:v>
                </c:pt>
                <c:pt idx="575">
                  <c:v>0.96422019653990232</c:v>
                </c:pt>
                <c:pt idx="576">
                  <c:v>0.96417076422879944</c:v>
                </c:pt>
                <c:pt idx="577">
                  <c:v>0.96412134171711972</c:v>
                </c:pt>
                <c:pt idx="578">
                  <c:v>0.9640719289604065</c:v>
                </c:pt>
                <c:pt idx="579">
                  <c:v>0.96402252591446869</c:v>
                </c:pt>
                <c:pt idx="580">
                  <c:v>0.96397313253538019</c:v>
                </c:pt>
                <c:pt idx="581">
                  <c:v>0.9639237487794774</c:v>
                </c:pt>
                <c:pt idx="582">
                  <c:v>0.96387437460335812</c:v>
                </c:pt>
                <c:pt idx="583">
                  <c:v>0.96382500996387965</c:v>
                </c:pt>
                <c:pt idx="584">
                  <c:v>0.96377565481815763</c:v>
                </c:pt>
                <c:pt idx="585">
                  <c:v>0.96372630912356427</c:v>
                </c:pt>
                <c:pt idx="586">
                  <c:v>0.96367697283772669</c:v>
                </c:pt>
                <c:pt idx="587">
                  <c:v>0.96362764591852579</c:v>
                </c:pt>
                <c:pt idx="588">
                  <c:v>0.96357832832409418</c:v>
                </c:pt>
                <c:pt idx="589">
                  <c:v>0.96352902001281526</c:v>
                </c:pt>
                <c:pt idx="590">
                  <c:v>0.96347972094332091</c:v>
                </c:pt>
                <c:pt idx="591">
                  <c:v>0.96343043107449111</c:v>
                </c:pt>
                <c:pt idx="592">
                  <c:v>0.96338115036545124</c:v>
                </c:pt>
                <c:pt idx="593">
                  <c:v>0.9633318787755718</c:v>
                </c:pt>
                <c:pt idx="594">
                  <c:v>0.96328261626446621</c:v>
                </c:pt>
                <c:pt idx="595">
                  <c:v>0.96323336279198901</c:v>
                </c:pt>
                <c:pt idx="596">
                  <c:v>0.96318411831823547</c:v>
                </c:pt>
                <c:pt idx="597">
                  <c:v>0.96313488280353932</c:v>
                </c:pt>
                <c:pt idx="598">
                  <c:v>0.96308565620847142</c:v>
                </c:pt>
                <c:pt idx="599">
                  <c:v>0.96303643849383902</c:v>
                </c:pt>
                <c:pt idx="600">
                  <c:v>0.96298722962068328</c:v>
                </c:pt>
                <c:pt idx="601">
                  <c:v>0.96293802955027863</c:v>
                </c:pt>
                <c:pt idx="602">
                  <c:v>0.96288883824413096</c:v>
                </c:pt>
                <c:pt idx="603">
                  <c:v>0.96283965566397656</c:v>
                </c:pt>
                <c:pt idx="604">
                  <c:v>0.96279048177178073</c:v>
                </c:pt>
                <c:pt idx="605">
                  <c:v>0.96274131652973582</c:v>
                </c:pt>
                <c:pt idx="606">
                  <c:v>0.96269215990026091</c:v>
                </c:pt>
                <c:pt idx="607">
                  <c:v>0.96264301184599921</c:v>
                </c:pt>
                <c:pt idx="608">
                  <c:v>0.96259387232981797</c:v>
                </c:pt>
                <c:pt idx="609">
                  <c:v>0.96254474131480605</c:v>
                </c:pt>
                <c:pt idx="610">
                  <c:v>0.96249561876427325</c:v>
                </c:pt>
                <c:pt idx="611">
                  <c:v>0.96244650464174875</c:v>
                </c:pt>
                <c:pt idx="612">
                  <c:v>0.96239739891097986</c:v>
                </c:pt>
                <c:pt idx="613">
                  <c:v>0.96234830153593087</c:v>
                </c:pt>
                <c:pt idx="614">
                  <c:v>0.9622992124807811</c:v>
                </c:pt>
                <c:pt idx="615">
                  <c:v>0.96225013170992457</c:v>
                </c:pt>
                <c:pt idx="616">
                  <c:v>0.96220105918796794</c:v>
                </c:pt>
                <c:pt idx="617">
                  <c:v>0.96215199487972969</c:v>
                </c:pt>
                <c:pt idx="618">
                  <c:v>0.96210293875023856</c:v>
                </c:pt>
                <c:pt idx="619">
                  <c:v>0.96205389076473236</c:v>
                </c:pt>
                <c:pt idx="620">
                  <c:v>0.96200485088865684</c:v>
                </c:pt>
                <c:pt idx="621">
                  <c:v>0.96195581908766414</c:v>
                </c:pt>
                <c:pt idx="622">
                  <c:v>0.96190679532761247</c:v>
                </c:pt>
                <c:pt idx="623">
                  <c:v>0.96185777957456331</c:v>
                </c:pt>
                <c:pt idx="624">
                  <c:v>0.96180877179478153</c:v>
                </c:pt>
                <c:pt idx="625">
                  <c:v>0.9617597719547335</c:v>
                </c:pt>
                <c:pt idx="626">
                  <c:v>0.96171078002108612</c:v>
                </c:pt>
                <c:pt idx="627">
                  <c:v>0.961661795960706</c:v>
                </c:pt>
                <c:pt idx="628">
                  <c:v>0.96161281974065693</c:v>
                </c:pt>
                <c:pt idx="629">
                  <c:v>0.96156385132820055</c:v>
                </c:pt>
                <c:pt idx="630">
                  <c:v>0.96151489069079343</c:v>
                </c:pt>
                <c:pt idx="631">
                  <c:v>0.96146593779608736</c:v>
                </c:pt>
                <c:pt idx="632">
                  <c:v>0.96141699261192692</c:v>
                </c:pt>
                <c:pt idx="633">
                  <c:v>0.96136805510634937</c:v>
                </c:pt>
                <c:pt idx="634">
                  <c:v>0.96131912524758278</c:v>
                </c:pt>
                <c:pt idx="635">
                  <c:v>0.96127020300404509</c:v>
                </c:pt>
                <c:pt idx="636">
                  <c:v>0.96122128834434339</c:v>
                </c:pt>
                <c:pt idx="637">
                  <c:v>0.96117238123727189</c:v>
                </c:pt>
                <c:pt idx="638">
                  <c:v>0.96112348165181172</c:v>
                </c:pt>
                <c:pt idx="639">
                  <c:v>0.96107458955712932</c:v>
                </c:pt>
                <c:pt idx="640">
                  <c:v>0.961025704922575</c:v>
                </c:pt>
                <c:pt idx="641">
                  <c:v>0.960976827717683</c:v>
                </c:pt>
                <c:pt idx="642">
                  <c:v>0.96092795791216912</c:v>
                </c:pt>
                <c:pt idx="643">
                  <c:v>0.96087909547593042</c:v>
                </c:pt>
                <c:pt idx="644">
                  <c:v>0.96083024037904341</c:v>
                </c:pt>
                <c:pt idx="645">
                  <c:v>0.96078139259176409</c:v>
                </c:pt>
                <c:pt idx="646">
                  <c:v>0.96073255208452546</c:v>
                </c:pt>
                <c:pt idx="647">
                  <c:v>0.96068371882793802</c:v>
                </c:pt>
                <c:pt idx="648">
                  <c:v>0.96063489279278724</c:v>
                </c:pt>
                <c:pt idx="649">
                  <c:v>0.96058607395003348</c:v>
                </c:pt>
                <c:pt idx="650">
                  <c:v>0.9605372622708106</c:v>
                </c:pt>
                <c:pt idx="651">
                  <c:v>0.96048845772642477</c:v>
                </c:pt>
                <c:pt idx="652">
                  <c:v>0.9604396602883537</c:v>
                </c:pt>
                <c:pt idx="653">
                  <c:v>0.96039086992824585</c:v>
                </c:pt>
                <c:pt idx="654">
                  <c:v>0.96034208661791842</c:v>
                </c:pt>
                <c:pt idx="655">
                  <c:v>0.9602933103293575</c:v>
                </c:pt>
                <c:pt idx="656">
                  <c:v>0.96024454103471646</c:v>
                </c:pt>
                <c:pt idx="657">
                  <c:v>0.9601957787063149</c:v>
                </c:pt>
                <c:pt idx="658">
                  <c:v>0.9601470233166377</c:v>
                </c:pt>
                <c:pt idx="659">
                  <c:v>0.96009827483833454</c:v>
                </c:pt>
                <c:pt idx="660">
                  <c:v>0.96004953324421816</c:v>
                </c:pt>
                <c:pt idx="661">
                  <c:v>0.96000079850726372</c:v>
                </c:pt>
                <c:pt idx="662">
                  <c:v>0.95995207060060805</c:v>
                </c:pt>
                <c:pt idx="663">
                  <c:v>0.95990334949754785</c:v>
                </c:pt>
                <c:pt idx="664">
                  <c:v>0.95985463517154002</c:v>
                </c:pt>
                <c:pt idx="665">
                  <c:v>0.95980592759619976</c:v>
                </c:pt>
                <c:pt idx="666">
                  <c:v>0.95975722674529973</c:v>
                </c:pt>
                <c:pt idx="667">
                  <c:v>0.95970853259276934</c:v>
                </c:pt>
                <c:pt idx="668">
                  <c:v>0.95965984511269387</c:v>
                </c:pt>
                <c:pt idx="669">
                  <c:v>0.95961116427931292</c:v>
                </c:pt>
                <c:pt idx="670">
                  <c:v>0.95956249006702043</c:v>
                </c:pt>
                <c:pt idx="671">
                  <c:v>0.95951382245036299</c:v>
                </c:pt>
                <c:pt idx="672">
                  <c:v>0.95946516140403937</c:v>
                </c:pt>
                <c:pt idx="673">
                  <c:v>0.95941650690289926</c:v>
                </c:pt>
                <c:pt idx="674">
                  <c:v>0.95936785892194265</c:v>
                </c:pt>
                <c:pt idx="675">
                  <c:v>0.95931921743631876</c:v>
                </c:pt>
                <c:pt idx="676">
                  <c:v>0.95927058242132512</c:v>
                </c:pt>
                <c:pt idx="677">
                  <c:v>0.95922195385240705</c:v>
                </c:pt>
                <c:pt idx="678">
                  <c:v>0.95917333170515628</c:v>
                </c:pt>
                <c:pt idx="679">
                  <c:v>0.95912471595531001</c:v>
                </c:pt>
                <c:pt idx="680">
                  <c:v>0.95907610657875098</c:v>
                </c:pt>
                <c:pt idx="681">
                  <c:v>0.95902750355150523</c:v>
                </c:pt>
                <c:pt idx="682">
                  <c:v>0.95897890684974241</c:v>
                </c:pt>
                <c:pt idx="683">
                  <c:v>0.95893031644977422</c:v>
                </c:pt>
                <c:pt idx="684">
                  <c:v>0.95888173232805374</c:v>
                </c:pt>
                <c:pt idx="685">
                  <c:v>0.95883315446117467</c:v>
                </c:pt>
                <c:pt idx="686">
                  <c:v>0.95878458282587065</c:v>
                </c:pt>
                <c:pt idx="687">
                  <c:v>0.95873601739901371</c:v>
                </c:pt>
                <c:pt idx="688">
                  <c:v>0.95868745815761458</c:v>
                </c:pt>
                <c:pt idx="689">
                  <c:v>0.95863890507882066</c:v>
                </c:pt>
                <c:pt idx="690">
                  <c:v>0.95859035813991589</c:v>
                </c:pt>
                <c:pt idx="691">
                  <c:v>0.95854181731832011</c:v>
                </c:pt>
                <c:pt idx="692">
                  <c:v>0.95849328259158728</c:v>
                </c:pt>
                <c:pt idx="693">
                  <c:v>0.95844475393740636</c:v>
                </c:pt>
                <c:pt idx="694">
                  <c:v>0.95839623133359819</c:v>
                </c:pt>
                <c:pt idx="695">
                  <c:v>0.95834771475811698</c:v>
                </c:pt>
                <c:pt idx="696">
                  <c:v>0.95829920418904802</c:v>
                </c:pt>
                <c:pt idx="697">
                  <c:v>0.95825069960460751</c:v>
                </c:pt>
                <c:pt idx="698">
                  <c:v>0.95820220098314157</c:v>
                </c:pt>
                <c:pt idx="699">
                  <c:v>0.95815370830312563</c:v>
                </c:pt>
                <c:pt idx="700">
                  <c:v>0.95810522154316347</c:v>
                </c:pt>
                <c:pt idx="701">
                  <c:v>0.95805674068198665</c:v>
                </c:pt>
                <c:pt idx="702">
                  <c:v>0.95800826569845332</c:v>
                </c:pt>
                <c:pt idx="703">
                  <c:v>0.95795979657154828</c:v>
                </c:pt>
                <c:pt idx="704">
                  <c:v>0.95791133328038136</c:v>
                </c:pt>
                <c:pt idx="705">
                  <c:v>0.95786287580418705</c:v>
                </c:pt>
                <c:pt idx="706">
                  <c:v>0.95781442412232376</c:v>
                </c:pt>
                <c:pt idx="707">
                  <c:v>0.9577659782142729</c:v>
                </c:pt>
                <c:pt idx="708">
                  <c:v>0.95771753805963855</c:v>
                </c:pt>
                <c:pt idx="709">
                  <c:v>0.95766910363814628</c:v>
                </c:pt>
                <c:pt idx="710">
                  <c:v>0.95762067492964253</c:v>
                </c:pt>
                <c:pt idx="711">
                  <c:v>0.95757225191409412</c:v>
                </c:pt>
                <c:pt idx="712">
                  <c:v>0.95752383457158741</c:v>
                </c:pt>
                <c:pt idx="713">
                  <c:v>0.95747542288232723</c:v>
                </c:pt>
                <c:pt idx="714">
                  <c:v>0.95742701682663678</c:v>
                </c:pt>
                <c:pt idx="715">
                  <c:v>0.95737861638495636</c:v>
                </c:pt>
                <c:pt idx="716">
                  <c:v>0.95733022153784308</c:v>
                </c:pt>
                <c:pt idx="717">
                  <c:v>0.95728183226596986</c:v>
                </c:pt>
                <c:pt idx="718">
                  <c:v>0.95723344855012504</c:v>
                </c:pt>
                <c:pt idx="719">
                  <c:v>0.95718507037121126</c:v>
                </c:pt>
                <c:pt idx="720">
                  <c:v>0.95713669771024557</c:v>
                </c:pt>
                <c:pt idx="721">
                  <c:v>0.9570883305483574</c:v>
                </c:pt>
                <c:pt idx="722">
                  <c:v>0.95703996886678944</c:v>
                </c:pt>
                <c:pt idx="723">
                  <c:v>0.95699161264689581</c:v>
                </c:pt>
                <c:pt idx="724">
                  <c:v>0.956943261870142</c:v>
                </c:pt>
                <c:pt idx="725">
                  <c:v>0.95689491651810354</c:v>
                </c:pt>
                <c:pt idx="726">
                  <c:v>0.95684657657246641</c:v>
                </c:pt>
                <c:pt idx="727">
                  <c:v>0.9567982420150255</c:v>
                </c:pt>
                <c:pt idx="728">
                  <c:v>0.95674991282768407</c:v>
                </c:pt>
                <c:pt idx="729">
                  <c:v>0.95670158899245361</c:v>
                </c:pt>
                <c:pt idx="730">
                  <c:v>0.95665327049145221</c:v>
                </c:pt>
                <c:pt idx="731">
                  <c:v>0.95660495730690531</c:v>
                </c:pt>
                <c:pt idx="732">
                  <c:v>0.95655664942114371</c:v>
                </c:pt>
                <c:pt idx="733">
                  <c:v>0.95650834681660379</c:v>
                </c:pt>
                <c:pt idx="734">
                  <c:v>0.95646004947582663</c:v>
                </c:pt>
                <c:pt idx="735">
                  <c:v>0.95641175738145701</c:v>
                </c:pt>
                <c:pt idx="736">
                  <c:v>0.95636347051624349</c:v>
                </c:pt>
                <c:pt idx="737">
                  <c:v>0.95631518886303735</c:v>
                </c:pt>
                <c:pt idx="738">
                  <c:v>0.95626691240479189</c:v>
                </c:pt>
                <c:pt idx="739">
                  <c:v>0.95621864112456212</c:v>
                </c:pt>
                <c:pt idx="740">
                  <c:v>0.95617037500550406</c:v>
                </c:pt>
                <c:pt idx="741">
                  <c:v>0.95612211403087399</c:v>
                </c:pt>
                <c:pt idx="742">
                  <c:v>0.95607385818402801</c:v>
                </c:pt>
                <c:pt idx="743">
                  <c:v>0.95602560744842102</c:v>
                </c:pt>
                <c:pt idx="744">
                  <c:v>0.95597736180760717</c:v>
                </c:pt>
                <c:pt idx="745">
                  <c:v>0.95592912124523799</c:v>
                </c:pt>
                <c:pt idx="746">
                  <c:v>0.95588088574506247</c:v>
                </c:pt>
                <c:pt idx="747">
                  <c:v>0.95583265529092676</c:v>
                </c:pt>
                <c:pt idx="748">
                  <c:v>0.95578442986677292</c:v>
                </c:pt>
                <c:pt idx="749">
                  <c:v>0.95573620945663851</c:v>
                </c:pt>
                <c:pt idx="750">
                  <c:v>0.95568799404465643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6F-4160-A461-4CE97B888915}"/>
            </c:ext>
          </c:extLst>
        </c:ser>
        <c:ser>
          <c:idx val="1"/>
          <c:order val="1"/>
          <c:tx>
            <c:strRef>
              <c:f>Sheet1!$AM$1</c:f>
              <c:strCache>
                <c:ptCount val="1"/>
                <c:pt idx="0">
                  <c:v>SIMULATED ACM Unvaccinated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Sheet1!$AM$2:$AM$752</c:f>
              <c:numCache>
                <c:formatCode>General</c:formatCode>
                <c:ptCount val="751"/>
                <c:pt idx="0">
                  <c:v>1</c:v>
                </c:pt>
                <c:pt idx="1">
                  <c:v>0.98845550615384614</c:v>
                </c:pt>
                <c:pt idx="2">
                  <c:v>0.97858174566469236</c:v>
                </c:pt>
                <c:pt idx="3">
                  <c:v>0.97012843568369211</c:v>
                </c:pt>
                <c:pt idx="4">
                  <c:v>0.96288283382832252</c:v>
                </c:pt>
                <c:pt idx="5">
                  <c:v>0.95666410712420102</c:v>
                </c:pt>
                <c:pt idx="6">
                  <c:v>0.95131854560556028</c:v>
                </c:pt>
                <c:pt idx="7">
                  <c:v>0.94671549387557996</c:v>
                </c:pt>
                <c:pt idx="8">
                  <c:v>0.94274389293260197</c:v>
                </c:pt>
                <c:pt idx="9">
                  <c:v>0.93930934072234029</c:v>
                </c:pt>
                <c:pt idx="10">
                  <c:v>0.93633159360719331</c:v>
                </c:pt>
                <c:pt idx="11">
                  <c:v>0.93374244261508987</c:v>
                </c:pt>
                <c:pt idx="12">
                  <c:v>0.93148390825093963</c:v>
                </c:pt>
                <c:pt idx="13">
                  <c:v>0.92950670608629937</c:v>
                </c:pt>
                <c:pt idx="14">
                  <c:v>0.92776894251052155</c:v>
                </c:pt>
                <c:pt idx="15">
                  <c:v>0.92623500611916332</c:v>
                </c:pt>
                <c:pt idx="16">
                  <c:v>0.92487462539406828</c:v>
                </c:pt>
                <c:pt idx="17">
                  <c:v>0.92366206773136994</c:v>
                </c:pt>
                <c:pt idx="18">
                  <c:v>0.92257545861522816</c:v>
                </c:pt>
                <c:pt idx="19">
                  <c:v>0.92159620291544053</c:v>
                </c:pt>
                <c:pt idx="20">
                  <c:v>0.92070849299034785</c:v>
                </c:pt>
                <c:pt idx="21">
                  <c:v>0.91989889057423757</c:v>
                </c:pt>
                <c:pt idx="22">
                  <c:v>0.91915597138157412</c:v>
                </c:pt>
                <c:pt idx="23">
                  <c:v>0.91847002302052916</c:v>
                </c:pt>
                <c:pt idx="24">
                  <c:v>0.91783278821942238</c:v>
                </c:pt>
                <c:pt idx="25">
                  <c:v>0.91723724656912831</c:v>
                </c:pt>
                <c:pt idx="26">
                  <c:v>0.91667742900406413</c:v>
                </c:pt>
                <c:pt idx="27">
                  <c:v>0.91614826011096473</c:v>
                </c:pt>
                <c:pt idx="28">
                  <c:v>0.91564542409127903</c:v>
                </c:pt>
                <c:pt idx="29">
                  <c:v>0.91516525082914801</c:v>
                </c:pt>
                <c:pt idx="30">
                  <c:v>0.91470461904912193</c:v>
                </c:pt>
                <c:pt idx="31">
                  <c:v>0.91426087400016176</c:v>
                </c:pt>
                <c:pt idx="32">
                  <c:v>0.91383175748697831</c:v>
                </c:pt>
                <c:pt idx="33">
                  <c:v>0.9134153483966112</c:v>
                </c:pt>
                <c:pt idx="34">
                  <c:v>0.91301001214596134</c:v>
                </c:pt>
                <c:pt idx="35">
                  <c:v>0.91261435771213395</c:v>
                </c:pt>
                <c:pt idx="36">
                  <c:v>0.91222720110817124</c:v>
                </c:pt>
                <c:pt idx="37">
                  <c:v>0.91184753433736776</c:v>
                </c:pt>
                <c:pt idx="38">
                  <c:v>0.91147449900437771</c:v>
                </c:pt>
                <c:pt idx="39">
                  <c:v>0.91110736388460101</c:v>
                </c:pt>
                <c:pt idx="40">
                  <c:v>0.91074550585810177</c:v>
                </c:pt>
                <c:pt idx="41">
                  <c:v>0.91038839370338331</c:v>
                </c:pt>
                <c:pt idx="42">
                  <c:v>0.91003557432203963</c:v>
                </c:pt>
                <c:pt idx="43">
                  <c:v>0.90968666102965157</c:v>
                </c:pt>
                <c:pt idx="44">
                  <c:v>0.90934132360299424</c:v>
                </c:pt>
                <c:pt idx="45">
                  <c:v>0.90899927982010653</c:v>
                </c:pt>
                <c:pt idx="46">
                  <c:v>0.90866028826929435</c:v>
                </c:pt>
                <c:pt idx="47">
                  <c:v>0.90832414223672864</c:v>
                </c:pt>
                <c:pt idx="48">
                  <c:v>0.90799066451084953</c:v>
                </c:pt>
                <c:pt idx="49">
                  <c:v>0.90765970296605392</c:v>
                </c:pt>
                <c:pt idx="50">
                  <c:v>0.9073311268087767</c:v>
                </c:pt>
                <c:pt idx="51">
                  <c:v>0.90700482338660637</c:v>
                </c:pt>
                <c:pt idx="52">
                  <c:v>0.90668069547597829</c:v>
                </c:pt>
                <c:pt idx="53">
                  <c:v>0.90635865897666212</c:v>
                </c:pt>
                <c:pt idx="54">
                  <c:v>0.90603864095202324</c:v>
                </c:pt>
                <c:pt idx="55">
                  <c:v>0.90572057796319039</c:v>
                </c:pt>
                <c:pt idx="56">
                  <c:v>0.90540441465304966</c:v>
                </c:pt>
                <c:pt idx="57">
                  <c:v>0.90509010254258349</c:v>
                </c:pt>
                <c:pt idx="58">
                  <c:v>0.9047775990077096</c:v>
                </c:pt>
                <c:pt idx="59">
                  <c:v>0.9044668664095421</c:v>
                </c:pt>
                <c:pt idx="60">
                  <c:v>0.90415787135506209</c:v>
                </c:pt>
                <c:pt idx="61">
                  <c:v>0.90385058406863772</c:v>
                </c:pt>
                <c:pt idx="62">
                  <c:v>0.90354497785776589</c:v>
                </c:pt>
                <c:pt idx="63">
                  <c:v>0.90324102865890055</c:v>
                </c:pt>
                <c:pt idx="64">
                  <c:v>0.90293871465136</c:v>
                </c:pt>
                <c:pt idx="65">
                  <c:v>0.9026380159290972</c:v>
                </c:pt>
                <c:pt idx="66">
                  <c:v>0.90233891422165391</c:v>
                </c:pt>
                <c:pt idx="67">
                  <c:v>0.90204139265692562</c:v>
                </c:pt>
                <c:pt idx="68">
                  <c:v>0.90174543555946096</c:v>
                </c:pt>
                <c:pt idx="69">
                  <c:v>0.90145102827896828</c:v>
                </c:pt>
                <c:pt idx="70">
                  <c:v>0.90115815704450031</c:v>
                </c:pt>
                <c:pt idx="71">
                  <c:v>0.900866808840459</c:v>
                </c:pt>
                <c:pt idx="72">
                  <c:v>0.90057697130115688</c:v>
                </c:pt>
                <c:pt idx="73">
                  <c:v>0.90028863262114422</c:v>
                </c:pt>
                <c:pt idx="74">
                  <c:v>0.90000178147893994</c:v>
                </c:pt>
                <c:pt idx="75">
                  <c:v>0.8997164069721596</c:v>
                </c:pt>
                <c:pt idx="76">
                  <c:v>0.89943249856232343</c:v>
                </c:pt>
                <c:pt idx="77">
                  <c:v>0.8991500460279005</c:v>
                </c:pt>
                <c:pt idx="78">
                  <c:v>0.89886903942434881</c:v>
                </c:pt>
                <c:pt idx="79">
                  <c:v>0.89858946905010417</c:v>
                </c:pt>
                <c:pt idx="80">
                  <c:v>0.89831132541762593</c:v>
                </c:pt>
                <c:pt idx="81">
                  <c:v>0.89803459922874029</c:v>
                </c:pt>
                <c:pt idx="82">
                  <c:v>0.89775928135363803</c:v>
                </c:pt>
                <c:pt idx="83">
                  <c:v>0.89748536281297775</c:v>
                </c:pt>
                <c:pt idx="84">
                  <c:v>0.89721283476263014</c:v>
                </c:pt>
                <c:pt idx="85">
                  <c:v>0.89694168848066547</c:v>
                </c:pt>
                <c:pt idx="86">
                  <c:v>0.89667191535625013</c:v>
                </c:pt>
                <c:pt idx="87">
                  <c:v>0.89640350688016579</c:v>
                </c:pt>
                <c:pt idx="88">
                  <c:v>0.89613645463670688</c:v>
                </c:pt>
                <c:pt idx="89">
                  <c:v>0.89587075029675056</c:v>
                </c:pt>
                <c:pt idx="90">
                  <c:v>0.89560638561182404</c:v>
                </c:pt>
                <c:pt idx="91">
                  <c:v>0.89534335240901908</c:v>
                </c:pt>
                <c:pt idx="92">
                  <c:v>0.89508164258662826</c:v>
                </c:pt>
                <c:pt idx="93">
                  <c:v>0.89482124811039165</c:v>
                </c:pt>
                <c:pt idx="94">
                  <c:v>0.89456216101026831</c:v>
                </c:pt>
                <c:pt idx="95">
                  <c:v>0.8943043733776469</c:v>
                </c:pt>
                <c:pt idx="96">
                  <c:v>0.89404787736293723</c:v>
                </c:pt>
                <c:pt idx="97">
                  <c:v>0.89379266517347977</c:v>
                </c:pt>
                <c:pt idx="98">
                  <c:v>0.89353872907172927</c:v>
                </c:pt>
                <c:pt idx="99">
                  <c:v>0.89328606137367039</c:v>
                </c:pt>
                <c:pt idx="100">
                  <c:v>0.89303465444742991</c:v>
                </c:pt>
                <c:pt idx="101">
                  <c:v>0.89278450071205939</c:v>
                </c:pt>
                <c:pt idx="102">
                  <c:v>0.89253559263645843</c:v>
                </c:pt>
                <c:pt idx="103">
                  <c:v>0.89228792273842128</c:v>
                </c:pt>
                <c:pt idx="104">
                  <c:v>0.89204148358378765</c:v>
                </c:pt>
                <c:pt idx="105">
                  <c:v>0.89179626778568133</c:v>
                </c:pt>
                <c:pt idx="106">
                  <c:v>0.89155226800382414</c:v>
                </c:pt>
                <c:pt idx="107">
                  <c:v>0.89130947694391538</c:v>
                </c:pt>
                <c:pt idx="108">
                  <c:v>0.89106788735706477</c:v>
                </c:pt>
                <c:pt idx="109">
                  <c:v>0.89082749203927369</c:v>
                </c:pt>
                <c:pt idx="110">
                  <c:v>0.89058828383095601</c:v>
                </c:pt>
                <c:pt idx="111">
                  <c:v>0.89035025561649295</c:v>
                </c:pt>
                <c:pt idx="112">
                  <c:v>0.89011340032381769</c:v>
                </c:pt>
                <c:pt idx="113">
                  <c:v>0.88987771092402568</c:v>
                </c:pt>
                <c:pt idx="114">
                  <c:v>0.88964318043100554</c:v>
                </c:pt>
                <c:pt idx="115">
                  <c:v>0.88940980190108987</c:v>
                </c:pt>
                <c:pt idx="116">
                  <c:v>0.88917756843272078</c:v>
                </c:pt>
                <c:pt idx="117">
                  <c:v>0.88894647316612985</c:v>
                </c:pt>
                <c:pt idx="118">
                  <c:v>0.88871650928303159</c:v>
                </c:pt>
                <c:pt idx="119">
                  <c:v>0.88848767000632412</c:v>
                </c:pt>
                <c:pt idx="120">
                  <c:v>0.88825994859980217</c:v>
                </c:pt>
                <c:pt idx="121">
                  <c:v>0.88803333836787568</c:v>
                </c:pt>
                <c:pt idx="122">
                  <c:v>0.88780783265529639</c:v>
                </c:pt>
                <c:pt idx="123">
                  <c:v>0.88758342484689168</c:v>
                </c:pt>
                <c:pt idx="124">
                  <c:v>0.88736010836730017</c:v>
                </c:pt>
                <c:pt idx="125">
                  <c:v>0.88713787668071697</c:v>
                </c:pt>
                <c:pt idx="126">
                  <c:v>0.88691672329063886</c:v>
                </c:pt>
                <c:pt idx="127">
                  <c:v>0.8866966417396166</c:v>
                </c:pt>
                <c:pt idx="128">
                  <c:v>0.88647762560900845</c:v>
                </c:pt>
                <c:pt idx="129">
                  <c:v>0.8862596685187385</c:v>
                </c:pt>
                <c:pt idx="130">
                  <c:v>0.88604276412705629</c:v>
                </c:pt>
                <c:pt idx="131">
                  <c:v>0.88582690613030046</c:v>
                </c:pt>
                <c:pt idx="132">
                  <c:v>0.88561208826266491</c:v>
                </c:pt>
                <c:pt idx="133">
                  <c:v>0.885398304295965</c:v>
                </c:pt>
                <c:pt idx="134">
                  <c:v>0.88518554803940941</c:v>
                </c:pt>
                <c:pt idx="135">
                  <c:v>0.8849738133393712</c:v>
                </c:pt>
                <c:pt idx="136">
                  <c:v>0.88476309407916143</c:v>
                </c:pt>
                <c:pt idx="137">
                  <c:v>0.88455338417880636</c:v>
                </c:pt>
                <c:pt idx="138">
                  <c:v>0.88434467759482327</c:v>
                </c:pt>
                <c:pt idx="139">
                  <c:v>0.88413696832000077</c:v>
                </c:pt>
                <c:pt idx="140">
                  <c:v>0.88393025038317863</c:v>
                </c:pt>
                <c:pt idx="141">
                  <c:v>0.88372451784903172</c:v>
                </c:pt>
                <c:pt idx="142">
                  <c:v>0.88351976481785155</c:v>
                </c:pt>
                <c:pt idx="143">
                  <c:v>0.88331598542533318</c:v>
                </c:pt>
                <c:pt idx="144">
                  <c:v>0.88311317384236265</c:v>
                </c:pt>
                <c:pt idx="145">
                  <c:v>0.88291132427480257</c:v>
                </c:pt>
                <c:pt idx="146">
                  <c:v>0.88271043096328383</c:v>
                </c:pt>
                <c:pt idx="147">
                  <c:v>0.88251048818299593</c:v>
                </c:pt>
                <c:pt idx="148">
                  <c:v>0.88231149024347866</c:v>
                </c:pt>
                <c:pt idx="149">
                  <c:v>0.88211343148841637</c:v>
                </c:pt>
                <c:pt idx="150">
                  <c:v>0.88191630629543283</c:v>
                </c:pt>
                <c:pt idx="151">
                  <c:v>0.88172010907588605</c:v>
                </c:pt>
                <c:pt idx="152">
                  <c:v>0.88152483427466699</c:v>
                </c:pt>
                <c:pt idx="153">
                  <c:v>0.88133047636999773</c:v>
                </c:pt>
                <c:pt idx="154">
                  <c:v>0.8811370298732315</c:v>
                </c:pt>
                <c:pt idx="155">
                  <c:v>0.8809444893286531</c:v>
                </c:pt>
                <c:pt idx="156">
                  <c:v>0.88075284931328202</c:v>
                </c:pt>
                <c:pt idx="157">
                  <c:v>0.88056210443667571</c:v>
                </c:pt>
                <c:pt idx="158">
                  <c:v>0.88037224934073366</c:v>
                </c:pt>
                <c:pt idx="159">
                  <c:v>0.88018327869950397</c:v>
                </c:pt>
                <c:pt idx="160">
                  <c:v>0.87999518721899017</c:v>
                </c:pt>
                <c:pt idx="161">
                  <c:v>0.87980796963695962</c:v>
                </c:pt>
                <c:pt idx="162">
                  <c:v>0.87962162072275218</c:v>
                </c:pt>
                <c:pt idx="163">
                  <c:v>0.87943613527709186</c:v>
                </c:pt>
                <c:pt idx="164">
                  <c:v>0.87925150813189734</c:v>
                </c:pt>
                <c:pt idx="165">
                  <c:v>0.87906773415009565</c:v>
                </c:pt>
                <c:pt idx="166">
                  <c:v>0.87888480822543569</c:v>
                </c:pt>
                <c:pt idx="167">
                  <c:v>0.87870272528230331</c:v>
                </c:pt>
                <c:pt idx="168">
                  <c:v>0.87852148027553745</c:v>
                </c:pt>
                <c:pt idx="169">
                  <c:v>0.8783410681902476</c:v>
                </c:pt>
                <c:pt idx="170">
                  <c:v>0.87816148404163197</c:v>
                </c:pt>
                <c:pt idx="171">
                  <c:v>0.87798272287479673</c:v>
                </c:pt>
                <c:pt idx="172">
                  <c:v>0.87780477976457749</c:v>
                </c:pt>
                <c:pt idx="173">
                  <c:v>0.87762764981535946</c:v>
                </c:pt>
                <c:pt idx="174">
                  <c:v>0.87745132816090121</c:v>
                </c:pt>
                <c:pt idx="175">
                  <c:v>0.87727580996415877</c:v>
                </c:pt>
                <c:pt idx="176">
                  <c:v>0.87710109041710904</c:v>
                </c:pt>
                <c:pt idx="177">
                  <c:v>0.87692716474057641</c:v>
                </c:pt>
                <c:pt idx="178">
                  <c:v>0.87675402818406034</c:v>
                </c:pt>
                <c:pt idx="179">
                  <c:v>0.87658167602556236</c:v>
                </c:pt>
                <c:pt idx="180">
                  <c:v>0.87641010357141524</c:v>
                </c:pt>
                <c:pt idx="181">
                  <c:v>0.87623930615611345</c:v>
                </c:pt>
                <c:pt idx="182">
                  <c:v>0.87606927914214339</c:v>
                </c:pt>
                <c:pt idx="183">
                  <c:v>0.87590001791981642</c:v>
                </c:pt>
                <c:pt idx="184">
                  <c:v>0.87573151790710091</c:v>
                </c:pt>
                <c:pt idx="185">
                  <c:v>0.875563774549457</c:v>
                </c:pt>
                <c:pt idx="186">
                  <c:v>0.87539678331967163</c:v>
                </c:pt>
                <c:pt idx="187">
                  <c:v>0.87523053971769427</c:v>
                </c:pt>
                <c:pt idx="188">
                  <c:v>0.87506503927047408</c:v>
                </c:pt>
                <c:pt idx="189">
                  <c:v>0.87490027753179767</c:v>
                </c:pt>
                <c:pt idx="190">
                  <c:v>0.87473625008212874</c:v>
                </c:pt>
                <c:pt idx="191">
                  <c:v>0.87457295252844691</c:v>
                </c:pt>
                <c:pt idx="192">
                  <c:v>0.87441038050408992</c:v>
                </c:pt>
                <c:pt idx="193">
                  <c:v>0.87424852966859468</c:v>
                </c:pt>
                <c:pt idx="194">
                  <c:v>0.87408739570754002</c:v>
                </c:pt>
                <c:pt idx="195">
                  <c:v>0.87392697433239086</c:v>
                </c:pt>
                <c:pt idx="196">
                  <c:v>0.87376726128034277</c:v>
                </c:pt>
                <c:pt idx="197">
                  <c:v>0.87360825231416706</c:v>
                </c:pt>
                <c:pt idx="198">
                  <c:v>0.8734499432220586</c:v>
                </c:pt>
                <c:pt idx="199">
                  <c:v>0.87329232981748162</c:v>
                </c:pt>
                <c:pt idx="200">
                  <c:v>0.87313540793901956</c:v>
                </c:pt>
                <c:pt idx="201">
                  <c:v>0.87297917345022302</c:v>
                </c:pt>
                <c:pt idx="202">
                  <c:v>0.87282362223946142</c:v>
                </c:pt>
                <c:pt idx="203">
                  <c:v>0.87266875021977297</c:v>
                </c:pt>
                <c:pt idx="204">
                  <c:v>0.87251455332871697</c:v>
                </c:pt>
                <c:pt idx="205">
                  <c:v>0.87236102752822664</c:v>
                </c:pt>
                <c:pt idx="206">
                  <c:v>0.87220816880446339</c:v>
                </c:pt>
                <c:pt idx="207">
                  <c:v>0.87205597316767081</c:v>
                </c:pt>
                <c:pt idx="208">
                  <c:v>0.87190443665202977</c:v>
                </c:pt>
                <c:pt idx="209">
                  <c:v>0.87175355531551679</c:v>
                </c:pt>
                <c:pt idx="210">
                  <c:v>0.87160332523975859</c:v>
                </c:pt>
                <c:pt idx="211">
                  <c:v>0.87145374252989205</c:v>
                </c:pt>
                <c:pt idx="212">
                  <c:v>0.87130480331442284</c:v>
                </c:pt>
                <c:pt idx="213">
                  <c:v>0.87115650374508435</c:v>
                </c:pt>
                <c:pt idx="214">
                  <c:v>0.87100883999669942</c:v>
                </c:pt>
                <c:pt idx="215">
                  <c:v>0.87086180826704074</c:v>
                </c:pt>
                <c:pt idx="216">
                  <c:v>0.87071540477669496</c:v>
                </c:pt>
                <c:pt idx="217">
                  <c:v>0.87056962576892316</c:v>
                </c:pt>
                <c:pt idx="218">
                  <c:v>0.87042446750952684</c:v>
                </c:pt>
                <c:pt idx="219">
                  <c:v>0.87027992628671236</c:v>
                </c:pt>
                <c:pt idx="220">
                  <c:v>0.87013599841095546</c:v>
                </c:pt>
                <c:pt idx="221">
                  <c:v>0.86999268021486909</c:v>
                </c:pt>
                <c:pt idx="222">
                  <c:v>0.86984996805306947</c:v>
                </c:pt>
                <c:pt idx="223">
                  <c:v>0.86970785830204467</c:v>
                </c:pt>
                <c:pt idx="224">
                  <c:v>0.86956634736002303</c:v>
                </c:pt>
                <c:pt idx="225">
                  <c:v>0.86942543164684338</c:v>
                </c:pt>
                <c:pt idx="226">
                  <c:v>0.86928510760382416</c:v>
                </c:pt>
                <c:pt idx="227">
                  <c:v>0.8691453716936357</c:v>
                </c:pt>
                <c:pt idx="228">
                  <c:v>0.8690062204001715</c:v>
                </c:pt>
                <c:pt idx="229">
                  <c:v>0.86886765022842138</c:v>
                </c:pt>
                <c:pt idx="230">
                  <c:v>0.86872965770434418</c:v>
                </c:pt>
                <c:pt idx="231">
                  <c:v>0.86859223937474261</c:v>
                </c:pt>
                <c:pt idx="232">
                  <c:v>0.86845539180713782</c:v>
                </c:pt>
                <c:pt idx="233">
                  <c:v>0.86831911158964514</c:v>
                </c:pt>
                <c:pt idx="234">
                  <c:v>0.86818339533085087</c:v>
                </c:pt>
                <c:pt idx="235">
                  <c:v>0.8680482396596888</c:v>
                </c:pt>
                <c:pt idx="236">
                  <c:v>0.86791364122531856</c:v>
                </c:pt>
                <c:pt idx="237">
                  <c:v>0.86777959669700455</c:v>
                </c:pt>
                <c:pt idx="238">
                  <c:v>0.86764610276399434</c:v>
                </c:pt>
                <c:pt idx="239">
                  <c:v>0.86751315613539981</c:v>
                </c:pt>
                <c:pt idx="240">
                  <c:v>0.86738075354007749</c:v>
                </c:pt>
                <c:pt idx="241">
                  <c:v>0.86724889172651021</c:v>
                </c:pt>
                <c:pt idx="242">
                  <c:v>0.86711756746268864</c:v>
                </c:pt>
                <c:pt idx="243">
                  <c:v>0.86698677753599596</c:v>
                </c:pt>
                <c:pt idx="244">
                  <c:v>0.86685651875308922</c:v>
                </c:pt>
                <c:pt idx="245">
                  <c:v>0.86672678793978597</c:v>
                </c:pt>
                <c:pt idx="246">
                  <c:v>0.86659758194094771</c:v>
                </c:pt>
                <c:pt idx="247">
                  <c:v>0.86646889762036583</c:v>
                </c:pt>
                <c:pt idx="248">
                  <c:v>0.86634073186064897</c:v>
                </c:pt>
                <c:pt idx="249">
                  <c:v>0.86621308156310906</c:v>
                </c:pt>
                <c:pt idx="250">
                  <c:v>0.86608594364764968</c:v>
                </c:pt>
                <c:pt idx="251">
                  <c:v>0.86595931505265444</c:v>
                </c:pt>
                <c:pt idx="252">
                  <c:v>0.86583319273487591</c:v>
                </c:pt>
                <c:pt idx="253">
                  <c:v>0.86570757366932527</c:v>
                </c:pt>
                <c:pt idx="254">
                  <c:v>0.86558245484916352</c:v>
                </c:pt>
                <c:pt idx="255">
                  <c:v>0.86545783328559156</c:v>
                </c:pt>
                <c:pt idx="256">
                  <c:v>0.86533370600774284</c:v>
                </c:pt>
                <c:pt idx="257">
                  <c:v>0.865210070062575</c:v>
                </c:pt>
                <c:pt idx="258">
                  <c:v>0.8650869225147636</c:v>
                </c:pt>
                <c:pt idx="259">
                  <c:v>0.86496426044659558</c:v>
                </c:pt>
                <c:pt idx="260">
                  <c:v>0.86484208095786319</c:v>
                </c:pt>
                <c:pt idx="261">
                  <c:v>0.86472038116575944</c:v>
                </c:pt>
                <c:pt idx="262">
                  <c:v>0.86459915820477373</c:v>
                </c:pt>
                <c:pt idx="263">
                  <c:v>0.86447840922658759</c:v>
                </c:pt>
                <c:pt idx="264">
                  <c:v>0.86435813139997197</c:v>
                </c:pt>
                <c:pt idx="265">
                  <c:v>0.86423832191068461</c:v>
                </c:pt>
                <c:pt idx="266">
                  <c:v>0.86411897796136794</c:v>
                </c:pt>
                <c:pt idx="267">
                  <c:v>0.86400009677144818</c:v>
                </c:pt>
                <c:pt idx="268">
                  <c:v>0.86388167557703399</c:v>
                </c:pt>
                <c:pt idx="269">
                  <c:v>0.86376371163081711</c:v>
                </c:pt>
                <c:pt idx="270">
                  <c:v>0.86364620220197197</c:v>
                </c:pt>
                <c:pt idx="271">
                  <c:v>0.86352914457605801</c:v>
                </c:pt>
                <c:pt idx="272">
                  <c:v>0.86341253605492008</c:v>
                </c:pt>
                <c:pt idx="273">
                  <c:v>0.86329637395659165</c:v>
                </c:pt>
                <c:pt idx="274">
                  <c:v>0.8631806556151973</c:v>
                </c:pt>
                <c:pt idx="275">
                  <c:v>0.86306537838085629</c:v>
                </c:pt>
                <c:pt idx="276">
                  <c:v>0.86295053961958634</c:v>
                </c:pt>
                <c:pt idx="277">
                  <c:v>0.86283613671320847</c:v>
                </c:pt>
                <c:pt idx="278">
                  <c:v>0.86272216705925231</c:v>
                </c:pt>
                <c:pt idx="279">
                  <c:v>0.86260862807086169</c:v>
                </c:pt>
                <c:pt idx="280">
                  <c:v>0.86249551717670059</c:v>
                </c:pt>
                <c:pt idx="281">
                  <c:v>0.86238283182086073</c:v>
                </c:pt>
                <c:pt idx="282">
                  <c:v>0.86227056946276848</c:v>
                </c:pt>
                <c:pt idx="283">
                  <c:v>0.86215872757709344</c:v>
                </c:pt>
                <c:pt idx="284">
                  <c:v>0.86204730365365567</c:v>
                </c:pt>
                <c:pt idx="285">
                  <c:v>0.8619362951973365</c:v>
                </c:pt>
                <c:pt idx="286">
                  <c:v>0.86182569972798684</c:v>
                </c:pt>
                <c:pt idx="287">
                  <c:v>0.86171551478033848</c:v>
                </c:pt>
                <c:pt idx="288">
                  <c:v>0.86160573790391337</c:v>
                </c:pt>
                <c:pt idx="289">
                  <c:v>0.86149636666293605</c:v>
                </c:pt>
                <c:pt idx="290">
                  <c:v>0.86138739863624525</c:v>
                </c:pt>
                <c:pt idx="291">
                  <c:v>0.86127883141720596</c:v>
                </c:pt>
                <c:pt idx="292">
                  <c:v>0.86117066261362252</c:v>
                </c:pt>
                <c:pt idx="293">
                  <c:v>0.86106288984765111</c:v>
                </c:pt>
                <c:pt idx="294">
                  <c:v>0.86095551075571508</c:v>
                </c:pt>
                <c:pt idx="295">
                  <c:v>0.8608485229884183</c:v>
                </c:pt>
                <c:pt idx="296">
                  <c:v>0.86074192421046025</c:v>
                </c:pt>
                <c:pt idx="297">
                  <c:v>0.86063571210055223</c:v>
                </c:pt>
                <c:pt idx="298">
                  <c:v>0.86052988435133182</c:v>
                </c:pt>
                <c:pt idx="299">
                  <c:v>0.86042443866928053</c:v>
                </c:pt>
                <c:pt idx="300">
                  <c:v>0.86031937277464043</c:v>
                </c:pt>
                <c:pt idx="301">
                  <c:v>0.8602146844013312</c:v>
                </c:pt>
                <c:pt idx="302">
                  <c:v>0.86011037129686863</c:v>
                </c:pt>
                <c:pt idx="303">
                  <c:v>0.86000643122228282</c:v>
                </c:pt>
                <c:pt idx="304">
                  <c:v>0.85990286195203669</c:v>
                </c:pt>
                <c:pt idx="305">
                  <c:v>0.85979966127394636</c:v>
                </c:pt>
                <c:pt idx="306">
                  <c:v>0.85969682698909988</c:v>
                </c:pt>
                <c:pt idx="307">
                  <c:v>0.85959435691177832</c:v>
                </c:pt>
                <c:pt idx="308">
                  <c:v>0.85949224886937636</c:v>
                </c:pt>
                <c:pt idx="309">
                  <c:v>0.85939050070232403</c:v>
                </c:pt>
                <c:pt idx="310">
                  <c:v>0.85928911026400767</c:v>
                </c:pt>
                <c:pt idx="311">
                  <c:v>0.85918807542069286</c:v>
                </c:pt>
                <c:pt idx="312">
                  <c:v>0.85908739405144707</c:v>
                </c:pt>
                <c:pt idx="313">
                  <c:v>0.85898706404806258</c:v>
                </c:pt>
                <c:pt idx="314">
                  <c:v>0.8588870833149802</c:v>
                </c:pt>
                <c:pt idx="315">
                  <c:v>0.85878744976921384</c:v>
                </c:pt>
                <c:pt idx="316">
                  <c:v>0.85868816134027448</c:v>
                </c:pt>
                <c:pt idx="317">
                  <c:v>0.85858921597009519</c:v>
                </c:pt>
                <c:pt idx="318">
                  <c:v>0.85849061161295714</c:v>
                </c:pt>
                <c:pt idx="319">
                  <c:v>0.85839234623541494</c:v>
                </c:pt>
                <c:pt idx="320">
                  <c:v>0.8582944178162234</c:v>
                </c:pt>
                <c:pt idx="321">
                  <c:v>0.8581968243462641</c:v>
                </c:pt>
                <c:pt idx="322">
                  <c:v>0.85809956382847274</c:v>
                </c:pt>
                <c:pt idx="323">
                  <c:v>0.85800263427776657</c:v>
                </c:pt>
                <c:pt idx="324">
                  <c:v>0.85790603372097329</c:v>
                </c:pt>
                <c:pt idx="325">
                  <c:v>0.85780976019675803</c:v>
                </c:pt>
                <c:pt idx="326">
                  <c:v>0.85771381175555439</c:v>
                </c:pt>
                <c:pt idx="327">
                  <c:v>0.85761818645949173</c:v>
                </c:pt>
                <c:pt idx="328">
                  <c:v>0.85752288238232688</c:v>
                </c:pt>
                <c:pt idx="329">
                  <c:v>0.85742789760937288</c:v>
                </c:pt>
                <c:pt idx="330">
                  <c:v>0.85733323023743069</c:v>
                </c:pt>
                <c:pt idx="331">
                  <c:v>0.85723887837471924</c:v>
                </c:pt>
                <c:pt idx="332">
                  <c:v>0.85714484014080827</c:v>
                </c:pt>
                <c:pt idx="333">
                  <c:v>0.85705111366654907</c:v>
                </c:pt>
                <c:pt idx="334">
                  <c:v>0.85695769709400693</c:v>
                </c:pt>
                <c:pt idx="335">
                  <c:v>0.85686458857639447</c:v>
                </c:pt>
                <c:pt idx="336">
                  <c:v>0.85677178627800465</c:v>
                </c:pt>
                <c:pt idx="337">
                  <c:v>0.85667928837414342</c:v>
                </c:pt>
                <c:pt idx="338">
                  <c:v>0.85658709305106473</c:v>
                </c:pt>
                <c:pt idx="339">
                  <c:v>0.85649519850590394</c:v>
                </c:pt>
                <c:pt idx="340">
                  <c:v>0.85640360294661355</c:v>
                </c:pt>
                <c:pt idx="341">
                  <c:v>0.85631230459189744</c:v>
                </c:pt>
                <c:pt idx="342">
                  <c:v>0.85622130167114652</c:v>
                </c:pt>
                <c:pt idx="343">
                  <c:v>0.85613059242437473</c:v>
                </c:pt>
                <c:pt idx="344">
                  <c:v>0.85604017510215524</c:v>
                </c:pt>
                <c:pt idx="345">
                  <c:v>0.85595004796555763</c:v>
                </c:pt>
                <c:pt idx="346">
                  <c:v>0.85586020928608375</c:v>
                </c:pt>
                <c:pt idx="347">
                  <c:v>0.85577065734560631</c:v>
                </c:pt>
                <c:pt idx="348">
                  <c:v>0.85568139043630609</c:v>
                </c:pt>
                <c:pt idx="349">
                  <c:v>0.85559240686060989</c:v>
                </c:pt>
                <c:pt idx="350">
                  <c:v>0.85550370493112959</c:v>
                </c:pt>
                <c:pt idx="351">
                  <c:v>0.85541528297060054</c:v>
                </c:pt>
                <c:pt idx="352">
                  <c:v>0.85532713931182103</c:v>
                </c:pt>
                <c:pt idx="353">
                  <c:v>0.85523927229759233</c:v>
                </c:pt>
                <c:pt idx="354">
                  <c:v>0.85515168028065802</c:v>
                </c:pt>
                <c:pt idx="355">
                  <c:v>0.85506436162364452</c:v>
                </c:pt>
                <c:pt idx="356">
                  <c:v>0.85497731469900173</c:v>
                </c:pt>
                <c:pt idx="357">
                  <c:v>0.85489053788894454</c:v>
                </c:pt>
                <c:pt idx="358">
                  <c:v>0.85480402958539381</c:v>
                </c:pt>
                <c:pt idx="359">
                  <c:v>0.85471778818991839</c:v>
                </c:pt>
                <c:pt idx="360">
                  <c:v>0.85463181211367634</c:v>
                </c:pt>
                <c:pt idx="361">
                  <c:v>0.8545460997773594</c:v>
                </c:pt>
                <c:pt idx="362">
                  <c:v>0.85446064961113355</c:v>
                </c:pt>
                <c:pt idx="363">
                  <c:v>0.8543754600545832</c:v>
                </c:pt>
                <c:pt idx="364">
                  <c:v>0.85429052955665541</c:v>
                </c:pt>
                <c:pt idx="365">
                  <c:v>0.85420585657560189</c:v>
                </c:pt>
                <c:pt idx="366">
                  <c:v>0.85412143957892472</c:v>
                </c:pt>
                <c:pt idx="367">
                  <c:v>0.85403727704332066</c:v>
                </c:pt>
                <c:pt idx="368">
                  <c:v>0.85395336745462502</c:v>
                </c:pt>
                <c:pt idx="369">
                  <c:v>0.85386970930775796</c:v>
                </c:pt>
                <c:pt idx="370">
                  <c:v>0.8537863011066692</c:v>
                </c:pt>
                <c:pt idx="371">
                  <c:v>0.85370314136428416</c:v>
                </c:pt>
                <c:pt idx="372">
                  <c:v>0.85362022860245035</c:v>
                </c:pt>
                <c:pt idx="373">
                  <c:v>0.85353756135188319</c:v>
                </c:pt>
                <c:pt idx="374">
                  <c:v>0.85345513815211338</c:v>
                </c:pt>
                <c:pt idx="375">
                  <c:v>0.85337295755143383</c:v>
                </c:pt>
                <c:pt idx="376">
                  <c:v>0.85329101810684682</c:v>
                </c:pt>
                <c:pt idx="377">
                  <c:v>0.85320931838401237</c:v>
                </c:pt>
                <c:pt idx="378">
                  <c:v>0.85312785695719562</c:v>
                </c:pt>
                <c:pt idx="379">
                  <c:v>0.85304663240921552</c:v>
                </c:pt>
                <c:pt idx="380">
                  <c:v>0.85296564333139369</c:v>
                </c:pt>
                <c:pt idx="381">
                  <c:v>0.85288488832350284</c:v>
                </c:pt>
                <c:pt idx="382">
                  <c:v>0.85280436599371678</c:v>
                </c:pt>
                <c:pt idx="383">
                  <c:v>0.85272407495855951</c:v>
                </c:pt>
                <c:pt idx="384">
                  <c:v>0.85264401384285526</c:v>
                </c:pt>
                <c:pt idx="385">
                  <c:v>0.85256418127967826</c:v>
                </c:pt>
                <c:pt idx="386">
                  <c:v>0.85248457591030447</c:v>
                </c:pt>
                <c:pt idx="387">
                  <c:v>0.85240519638416101</c:v>
                </c:pt>
                <c:pt idx="388">
                  <c:v>0.85232604135877787</c:v>
                </c:pt>
                <c:pt idx="389">
                  <c:v>0.85224710949973947</c:v>
                </c:pt>
                <c:pt idx="390">
                  <c:v>0.85216839948063594</c:v>
                </c:pt>
                <c:pt idx="391">
                  <c:v>0.85208990998301493</c:v>
                </c:pt>
                <c:pt idx="392">
                  <c:v>0.85201163969633475</c:v>
                </c:pt>
                <c:pt idx="393">
                  <c:v>0.85193358731791613</c:v>
                </c:pt>
                <c:pt idx="394">
                  <c:v>0.85185575155289484</c:v>
                </c:pt>
                <c:pt idx="395">
                  <c:v>0.85177813111417577</c:v>
                </c:pt>
                <c:pt idx="396">
                  <c:v>0.85170072472238556</c:v>
                </c:pt>
                <c:pt idx="397">
                  <c:v>0.85162353110582634</c:v>
                </c:pt>
                <c:pt idx="398">
                  <c:v>0.85154654900042992</c:v>
                </c:pt>
                <c:pt idx="399">
                  <c:v>0.85146977714971173</c:v>
                </c:pt>
                <c:pt idx="400">
                  <c:v>0.8513932143047257</c:v>
                </c:pt>
                <c:pt idx="401">
                  <c:v>0.85131685922401878</c:v>
                </c:pt>
                <c:pt idx="402">
                  <c:v>0.85124071067358575</c:v>
                </c:pt>
                <c:pt idx="403">
                  <c:v>0.85116476742682512</c:v>
                </c:pt>
                <c:pt idx="404">
                  <c:v>0.85108902826449429</c:v>
                </c:pt>
                <c:pt idx="405">
                  <c:v>0.85101349197466514</c:v>
                </c:pt>
                <c:pt idx="406">
                  <c:v>0.85093815735268097</c:v>
                </c:pt>
                <c:pt idx="407">
                  <c:v>0.85086302320111229</c:v>
                </c:pt>
                <c:pt idx="408">
                  <c:v>0.85078808832971331</c:v>
                </c:pt>
                <c:pt idx="409">
                  <c:v>0.85071335155537942</c:v>
                </c:pt>
                <c:pt idx="410">
                  <c:v>0.85063881170210354</c:v>
                </c:pt>
                <c:pt idx="411">
                  <c:v>0.85056446760093485</c:v>
                </c:pt>
                <c:pt idx="412">
                  <c:v>0.85049031808993458</c:v>
                </c:pt>
                <c:pt idx="413">
                  <c:v>0.85041636201413562</c:v>
                </c:pt>
                <c:pt idx="414">
                  <c:v>0.85034259822549996</c:v>
                </c:pt>
                <c:pt idx="415">
                  <c:v>0.85026902558287687</c:v>
                </c:pt>
                <c:pt idx="416">
                  <c:v>0.85019564295196193</c:v>
                </c:pt>
                <c:pt idx="417">
                  <c:v>0.85012244920525648</c:v>
                </c:pt>
                <c:pt idx="418">
                  <c:v>0.85004944322202558</c:v>
                </c:pt>
                <c:pt idx="419">
                  <c:v>0.84997662388825868</c:v>
                </c:pt>
                <c:pt idx="420">
                  <c:v>0.84990399009662798</c:v>
                </c:pt>
                <c:pt idx="421">
                  <c:v>0.8498315407464494</c:v>
                </c:pt>
                <c:pt idx="422">
                  <c:v>0.84975927474364266</c:v>
                </c:pt>
                <c:pt idx="423">
                  <c:v>0.84968719100069046</c:v>
                </c:pt>
                <c:pt idx="424">
                  <c:v>0.84961528843660072</c:v>
                </c:pt>
                <c:pt idx="425">
                  <c:v>0.84954356597686653</c:v>
                </c:pt>
                <c:pt idx="426">
                  <c:v>0.84947202255342724</c:v>
                </c:pt>
                <c:pt idx="427">
                  <c:v>0.84940065710462975</c:v>
                </c:pt>
                <c:pt idx="428">
                  <c:v>0.84932946857519087</c:v>
                </c:pt>
                <c:pt idx="429">
                  <c:v>0.84925845591615789</c:v>
                </c:pt>
                <c:pt idx="430">
                  <c:v>0.84918761808487142</c:v>
                </c:pt>
                <c:pt idx="431">
                  <c:v>0.8491169540449276</c:v>
                </c:pt>
                <c:pt idx="432">
                  <c:v>0.84904646276613993</c:v>
                </c:pt>
                <c:pt idx="433">
                  <c:v>0.84897614322450277</c:v>
                </c:pt>
                <c:pt idx="434">
                  <c:v>0.84890599440215364</c:v>
                </c:pt>
                <c:pt idx="435">
                  <c:v>0.84883601528733688</c:v>
                </c:pt>
                <c:pt idx="436">
                  <c:v>0.84876620487436638</c:v>
                </c:pt>
                <c:pt idx="437">
                  <c:v>0.8486965621635898</c:v>
                </c:pt>
                <c:pt idx="438">
                  <c:v>0.84862708616135185</c:v>
                </c:pt>
                <c:pt idx="439">
                  <c:v>0.84855777587995884</c:v>
                </c:pt>
                <c:pt idx="440">
                  <c:v>0.84848863033764232</c:v>
                </c:pt>
                <c:pt idx="441">
                  <c:v>0.84841964855852425</c:v>
                </c:pt>
                <c:pt idx="442">
                  <c:v>0.84835082957258046</c:v>
                </c:pt>
                <c:pt idx="443">
                  <c:v>0.84828217241560733</c:v>
                </c:pt>
                <c:pt idx="444">
                  <c:v>0.84821367612918508</c:v>
                </c:pt>
                <c:pt idx="445">
                  <c:v>0.84814533976064355</c:v>
                </c:pt>
                <c:pt idx="446">
                  <c:v>0.84807716236302921</c:v>
                </c:pt>
                <c:pt idx="447">
                  <c:v>0.84800914299506847</c:v>
                </c:pt>
                <c:pt idx="448">
                  <c:v>0.84794128072113517</c:v>
                </c:pt>
                <c:pt idx="449">
                  <c:v>0.84787357461121604</c:v>
                </c:pt>
                <c:pt idx="450">
                  <c:v>0.84780602374087788</c:v>
                </c:pt>
                <c:pt idx="451">
                  <c:v>0.84773862719123305</c:v>
                </c:pt>
                <c:pt idx="452">
                  <c:v>0.84767138404890618</c:v>
                </c:pt>
                <c:pt idx="453">
                  <c:v>0.8476042934060023</c:v>
                </c:pt>
                <c:pt idx="454">
                  <c:v>0.84753735436007283</c:v>
                </c:pt>
                <c:pt idx="455">
                  <c:v>0.8474705660140831</c:v>
                </c:pt>
                <c:pt idx="456">
                  <c:v>0.84740392747638049</c:v>
                </c:pt>
                <c:pt idx="457">
                  <c:v>0.84733743786066107</c:v>
                </c:pt>
                <c:pt idx="458">
                  <c:v>0.84727109628593844</c:v>
                </c:pt>
                <c:pt idx="459">
                  <c:v>0.84720490187651154</c:v>
                </c:pt>
                <c:pt idx="460">
                  <c:v>0.84713885376193288</c:v>
                </c:pt>
                <c:pt idx="461">
                  <c:v>0.84707295107697678</c:v>
                </c:pt>
                <c:pt idx="462">
                  <c:v>0.84700719296160853</c:v>
                </c:pt>
                <c:pt idx="463">
                  <c:v>0.84694157856095309</c:v>
                </c:pt>
                <c:pt idx="464">
                  <c:v>0.84687610702526361</c:v>
                </c:pt>
                <c:pt idx="465">
                  <c:v>0.84681077750989142</c:v>
                </c:pt>
                <c:pt idx="466">
                  <c:v>0.84674558917525522</c:v>
                </c:pt>
                <c:pt idx="467">
                  <c:v>0.84668054118681024</c:v>
                </c:pt>
                <c:pt idx="468">
                  <c:v>0.84661563271501883</c:v>
                </c:pt>
                <c:pt idx="469">
                  <c:v>0.846550862935319</c:v>
                </c:pt>
                <c:pt idx="470">
                  <c:v>0.84648623102809673</c:v>
                </c:pt>
                <c:pt idx="471">
                  <c:v>0.84642173617865424</c:v>
                </c:pt>
                <c:pt idx="472">
                  <c:v>0.84635737757718166</c:v>
                </c:pt>
                <c:pt idx="473">
                  <c:v>0.8462931544187271</c:v>
                </c:pt>
                <c:pt idx="474">
                  <c:v>0.84622906590316782</c:v>
                </c:pt>
                <c:pt idx="475">
                  <c:v>0.84616511123518146</c:v>
                </c:pt>
                <c:pt idx="476">
                  <c:v>0.8461012896242166</c:v>
                </c:pt>
                <c:pt idx="477">
                  <c:v>0.84603760028446484</c:v>
                </c:pt>
                <c:pt idx="478">
                  <c:v>0.84597404243483143</c:v>
                </c:pt>
                <c:pt idx="479">
                  <c:v>0.84591061529890843</c:v>
                </c:pt>
                <c:pt idx="480">
                  <c:v>0.84584731810494496</c:v>
                </c:pt>
                <c:pt idx="481">
                  <c:v>0.84578415008582042</c:v>
                </c:pt>
                <c:pt idx="482">
                  <c:v>0.8457211104790161</c:v>
                </c:pt>
                <c:pt idx="483">
                  <c:v>0.84565819852658797</c:v>
                </c:pt>
                <c:pt idx="484">
                  <c:v>0.845595413475139</c:v>
                </c:pt>
                <c:pt idx="485">
                  <c:v>0.84553275457579147</c:v>
                </c:pt>
                <c:pt idx="486">
                  <c:v>0.84547022108416126</c:v>
                </c:pt>
                <c:pt idx="487">
                  <c:v>0.84540781226032868</c:v>
                </c:pt>
                <c:pt idx="488">
                  <c:v>0.84534552736881419</c:v>
                </c:pt>
                <c:pt idx="489">
                  <c:v>0.84528336567854967</c:v>
                </c:pt>
                <c:pt idx="490">
                  <c:v>0.84522132646285297</c:v>
                </c:pt>
                <c:pt idx="491">
                  <c:v>0.84515940899940167</c:v>
                </c:pt>
                <c:pt idx="492">
                  <c:v>0.8450976125702061</c:v>
                </c:pt>
                <c:pt idx="493">
                  <c:v>0.84503593646158459</c:v>
                </c:pt>
                <c:pt idx="494">
                  <c:v>0.8449743799641366</c:v>
                </c:pt>
                <c:pt idx="495">
                  <c:v>0.84491294237271697</c:v>
                </c:pt>
                <c:pt idx="496">
                  <c:v>0.84485162298641159</c:v>
                </c:pt>
                <c:pt idx="497">
                  <c:v>0.84479042110851055</c:v>
                </c:pt>
                <c:pt idx="498">
                  <c:v>0.84472933604648393</c:v>
                </c:pt>
                <c:pt idx="499">
                  <c:v>0.84466836711195636</c:v>
                </c:pt>
                <c:pt idx="500">
                  <c:v>0.84460751362068165</c:v>
                </c:pt>
                <c:pt idx="501">
                  <c:v>0.84454677489251928</c:v>
                </c:pt>
                <c:pt idx="502">
                  <c:v>0.84448615025140805</c:v>
                </c:pt>
                <c:pt idx="503">
                  <c:v>0.84442563902534318</c:v>
                </c:pt>
                <c:pt idx="504">
                  <c:v>0.84436524054635087</c:v>
                </c:pt>
                <c:pt idx="505">
                  <c:v>0.84430495415046469</c:v>
                </c:pt>
                <c:pt idx="506">
                  <c:v>0.84424477917770147</c:v>
                </c:pt>
                <c:pt idx="507">
                  <c:v>0.84418471497203718</c:v>
                </c:pt>
                <c:pt idx="508">
                  <c:v>0.84412476088138344</c:v>
                </c:pt>
                <c:pt idx="509">
                  <c:v>0.84406491625756375</c:v>
                </c:pt>
                <c:pt idx="510">
                  <c:v>0.84400518045628992</c:v>
                </c:pt>
                <c:pt idx="511">
                  <c:v>0.8439455528371389</c:v>
                </c:pt>
                <c:pt idx="512">
                  <c:v>0.84388603276352947</c:v>
                </c:pt>
                <c:pt idx="513">
                  <c:v>0.84382661960269978</c:v>
                </c:pt>
                <c:pt idx="514">
                  <c:v>0.84376731272568306</c:v>
                </c:pt>
                <c:pt idx="515">
                  <c:v>0.84370811150728653</c:v>
                </c:pt>
                <c:pt idx="516">
                  <c:v>0.8436490153260674</c:v>
                </c:pt>
                <c:pt idx="517">
                  <c:v>0.84359002356431134</c:v>
                </c:pt>
                <c:pt idx="518">
                  <c:v>0.84353113560800919</c:v>
                </c:pt>
                <c:pt idx="519">
                  <c:v>0.84347235084683558</c:v>
                </c:pt>
                <c:pt idx="520">
                  <c:v>0.84341366867412637</c:v>
                </c:pt>
                <c:pt idx="521">
                  <c:v>0.84335508848685681</c:v>
                </c:pt>
                <c:pt idx="522">
                  <c:v>0.8432966096856197</c:v>
                </c:pt>
                <c:pt idx="523">
                  <c:v>0.84323823167460332</c:v>
                </c:pt>
                <c:pt idx="524">
                  <c:v>0.84317995386157096</c:v>
                </c:pt>
                <c:pt idx="525">
                  <c:v>0.84312177565783786</c:v>
                </c:pt>
                <c:pt idx="526">
                  <c:v>0.8430636964782513</c:v>
                </c:pt>
                <c:pt idx="527">
                  <c:v>0.84300571574116834</c:v>
                </c:pt>
                <c:pt idx="528">
                  <c:v>0.84294783286843589</c:v>
                </c:pt>
                <c:pt idx="529">
                  <c:v>0.84289004728536865</c:v>
                </c:pt>
                <c:pt idx="530">
                  <c:v>0.84283235842072923</c:v>
                </c:pt>
                <c:pt idx="531">
                  <c:v>0.84277476570670651</c:v>
                </c:pt>
                <c:pt idx="532">
                  <c:v>0.84271726857889639</c:v>
                </c:pt>
                <c:pt idx="533">
                  <c:v>0.84265986647627955</c:v>
                </c:pt>
                <c:pt idx="534">
                  <c:v>0.84260255884120305</c:v>
                </c:pt>
                <c:pt idx="535">
                  <c:v>0.84254534511935886</c:v>
                </c:pt>
                <c:pt idx="536">
                  <c:v>0.84248822475976415</c:v>
                </c:pt>
                <c:pt idx="537">
                  <c:v>0.84243119721474136</c:v>
                </c:pt>
                <c:pt idx="538">
                  <c:v>0.84237426193989873</c:v>
                </c:pt>
                <c:pt idx="539">
                  <c:v>0.84231741839410956</c:v>
                </c:pt>
                <c:pt idx="540">
                  <c:v>0.84226066603949379</c:v>
                </c:pt>
                <c:pt idx="541">
                  <c:v>0.84220400434139797</c:v>
                </c:pt>
                <c:pt idx="542">
                  <c:v>0.84214743276837578</c:v>
                </c:pt>
                <c:pt idx="543">
                  <c:v>0.84209095079216922</c:v>
                </c:pt>
                <c:pt idx="544">
                  <c:v>0.84203455788768866</c:v>
                </c:pt>
                <c:pt idx="545">
                  <c:v>0.84197825353299527</c:v>
                </c:pt>
                <c:pt idx="546">
                  <c:v>0.84192203720928016</c:v>
                </c:pt>
                <c:pt idx="547">
                  <c:v>0.84186590840084763</c:v>
                </c:pt>
                <c:pt idx="548">
                  <c:v>0.84180986659509482</c:v>
                </c:pt>
                <c:pt idx="549">
                  <c:v>0.84175391128249444</c:v>
                </c:pt>
                <c:pt idx="550">
                  <c:v>0.84169804195657527</c:v>
                </c:pt>
                <c:pt idx="551">
                  <c:v>0.84164225811390447</c:v>
                </c:pt>
                <c:pt idx="552">
                  <c:v>0.84158655925406922</c:v>
                </c:pt>
                <c:pt idx="553">
                  <c:v>0.84153094487965863</c:v>
                </c:pt>
                <c:pt idx="554">
                  <c:v>0.84147541449624552</c:v>
                </c:pt>
                <c:pt idx="555">
                  <c:v>0.84141996761236848</c:v>
                </c:pt>
                <c:pt idx="556">
                  <c:v>0.8413646037395146</c:v>
                </c:pt>
                <c:pt idx="557">
                  <c:v>0.8413093223921011</c:v>
                </c:pt>
                <c:pt idx="558">
                  <c:v>0.84125412308745851</c:v>
                </c:pt>
                <c:pt idx="559">
                  <c:v>0.84119900534581216</c:v>
                </c:pt>
                <c:pt idx="560">
                  <c:v>0.84114396869026586</c:v>
                </c:pt>
                <c:pt idx="561">
                  <c:v>0.84108901264678393</c:v>
                </c:pt>
                <c:pt idx="562">
                  <c:v>0.8410341367441746</c:v>
                </c:pt>
                <c:pt idx="563">
                  <c:v>0.84097934051407208</c:v>
                </c:pt>
                <c:pt idx="564">
                  <c:v>0.84092462349092079</c:v>
                </c:pt>
                <c:pt idx="565">
                  <c:v>0.84086998521195733</c:v>
                </c:pt>
                <c:pt idx="566">
                  <c:v>0.84081542521719477</c:v>
                </c:pt>
                <c:pt idx="567">
                  <c:v>0.84076094304940474</c:v>
                </c:pt>
                <c:pt idx="568">
                  <c:v>0.84070653825410235</c:v>
                </c:pt>
                <c:pt idx="569">
                  <c:v>0.84065221037952864</c:v>
                </c:pt>
                <c:pt idx="570">
                  <c:v>0.84059795897663458</c:v>
                </c:pt>
                <c:pt idx="571">
                  <c:v>0.8405437835990649</c:v>
                </c:pt>
                <c:pt idx="572">
                  <c:v>0.84048968380314182</c:v>
                </c:pt>
                <c:pt idx="573">
                  <c:v>0.84043565914784901</c:v>
                </c:pt>
                <c:pt idx="574">
                  <c:v>0.84038170919481581</c:v>
                </c:pt>
                <c:pt idx="575">
                  <c:v>0.84032783350830043</c:v>
                </c:pt>
                <c:pt idx="576">
                  <c:v>0.84027403165517578</c:v>
                </c:pt>
                <c:pt idx="577">
                  <c:v>0.84022030320491248</c:v>
                </c:pt>
                <c:pt idx="578">
                  <c:v>0.84016664772956373</c:v>
                </c:pt>
                <c:pt idx="579">
                  <c:v>0.84011306480374992</c:v>
                </c:pt>
                <c:pt idx="580">
                  <c:v>0.84005955400464294</c:v>
                </c:pt>
                <c:pt idx="581">
                  <c:v>0.8400061149119511</c:v>
                </c:pt>
                <c:pt idx="582">
                  <c:v>0.83995274710790402</c:v>
                </c:pt>
                <c:pt idx="583">
                  <c:v>0.83989945017723677</c:v>
                </c:pt>
                <c:pt idx="584">
                  <c:v>0.83984622370717599</c:v>
                </c:pt>
                <c:pt idx="585">
                  <c:v>0.83979306728742398</c:v>
                </c:pt>
                <c:pt idx="586">
                  <c:v>0.83973998051014431</c:v>
                </c:pt>
                <c:pt idx="587">
                  <c:v>0.83968696296994705</c:v>
                </c:pt>
                <c:pt idx="588">
                  <c:v>0.83963401426387396</c:v>
                </c:pt>
                <c:pt idx="589">
                  <c:v>0.83958113399138357</c:v>
                </c:pt>
                <c:pt idx="590">
                  <c:v>0.83952832175433745</c:v>
                </c:pt>
                <c:pt idx="591">
                  <c:v>0.83947557715698551</c:v>
                </c:pt>
                <c:pt idx="592">
                  <c:v>0.83942289980595075</c:v>
                </c:pt>
                <c:pt idx="593">
                  <c:v>0.83937028931021673</c:v>
                </c:pt>
                <c:pt idx="594">
                  <c:v>0.8393177452811118</c:v>
                </c:pt>
                <c:pt idx="595">
                  <c:v>0.83926526733229634</c:v>
                </c:pt>
                <c:pt idx="596">
                  <c:v>0.83921285507974763</c:v>
                </c:pt>
                <c:pt idx="597">
                  <c:v>0.83916050814174659</c:v>
                </c:pt>
                <c:pt idx="598">
                  <c:v>0.83910822613886393</c:v>
                </c:pt>
                <c:pt idx="599">
                  <c:v>0.83905600869394625</c:v>
                </c:pt>
                <c:pt idx="600">
                  <c:v>0.83900385543210254</c:v>
                </c:pt>
                <c:pt idx="601">
                  <c:v>0.83895176598069032</c:v>
                </c:pt>
                <c:pt idx="602">
                  <c:v>0.83889973996930234</c:v>
                </c:pt>
                <c:pt idx="603">
                  <c:v>0.83884777702975377</c:v>
                </c:pt>
                <c:pt idx="604">
                  <c:v>0.83879587679606737</c:v>
                </c:pt>
                <c:pt idx="605">
                  <c:v>0.83874403890446192</c:v>
                </c:pt>
                <c:pt idx="606">
                  <c:v>0.83869226299333732</c:v>
                </c:pt>
                <c:pt idx="607">
                  <c:v>0.83864054870326343</c:v>
                </c:pt>
                <c:pt idx="608">
                  <c:v>0.83858889567696537</c:v>
                </c:pt>
                <c:pt idx="609">
                  <c:v>0.83853730355931211</c:v>
                </c:pt>
                <c:pt idx="610">
                  <c:v>0.83848577199730179</c:v>
                </c:pt>
                <c:pt idx="611">
                  <c:v>0.83843430064005064</c:v>
                </c:pt>
                <c:pt idx="612">
                  <c:v>0.83838288913877923</c:v>
                </c:pt>
                <c:pt idx="613">
                  <c:v>0.83833153714680031</c:v>
                </c:pt>
                <c:pt idx="614">
                  <c:v>0.83828024431950621</c:v>
                </c:pt>
                <c:pt idx="615">
                  <c:v>0.83822901031435604</c:v>
                </c:pt>
                <c:pt idx="616">
                  <c:v>0.83817783479086372</c:v>
                </c:pt>
                <c:pt idx="617">
                  <c:v>0.83812671741058542</c:v>
                </c:pt>
                <c:pt idx="618">
                  <c:v>0.83807565783710736</c:v>
                </c:pt>
                <c:pt idx="619">
                  <c:v>0.83802465573603369</c:v>
                </c:pt>
                <c:pt idx="620">
                  <c:v>0.83797371077497407</c:v>
                </c:pt>
                <c:pt idx="621">
                  <c:v>0.83792282262353213</c:v>
                </c:pt>
                <c:pt idx="622">
                  <c:v>0.83787199095329334</c:v>
                </c:pt>
                <c:pt idx="623">
                  <c:v>0.83782121543781263</c:v>
                </c:pt>
                <c:pt idx="624">
                  <c:v>0.83777049575260332</c:v>
                </c:pt>
                <c:pt idx="625">
                  <c:v>0.83771983157512486</c:v>
                </c:pt>
                <c:pt idx="626">
                  <c:v>0.83766922258477139</c:v>
                </c:pt>
                <c:pt idx="627">
                  <c:v>0.83761866846286004</c:v>
                </c:pt>
                <c:pt idx="628">
                  <c:v>0.83756816889261954</c:v>
                </c:pt>
                <c:pt idx="629">
                  <c:v>0.83751772355917853</c:v>
                </c:pt>
                <c:pt idx="630">
                  <c:v>0.83746733214955404</c:v>
                </c:pt>
                <c:pt idx="631">
                  <c:v>0.83741699435264072</c:v>
                </c:pt>
                <c:pt idx="632">
                  <c:v>0.83736670985919903</c:v>
                </c:pt>
                <c:pt idx="633">
                  <c:v>0.83731647836184453</c:v>
                </c:pt>
                <c:pt idx="634">
                  <c:v>0.83726629955503595</c:v>
                </c:pt>
                <c:pt idx="635">
                  <c:v>0.83721617313506513</c:v>
                </c:pt>
                <c:pt idx="636">
                  <c:v>0.83716609880004522</c:v>
                </c:pt>
                <c:pt idx="637">
                  <c:v>0.83711607624990025</c:v>
                </c:pt>
                <c:pt idx="638">
                  <c:v>0.83706610518635394</c:v>
                </c:pt>
                <c:pt idx="639">
                  <c:v>0.83701618531291933</c:v>
                </c:pt>
                <c:pt idx="640">
                  <c:v>0.83696631633488738</c:v>
                </c:pt>
                <c:pt idx="641">
                  <c:v>0.836916497959317</c:v>
                </c:pt>
                <c:pt idx="642">
                  <c:v>0.83686672989502386</c:v>
                </c:pt>
                <c:pt idx="643">
                  <c:v>0.83681701185257029</c:v>
                </c:pt>
                <c:pt idx="644">
                  <c:v>0.83676734354425464</c:v>
                </c:pt>
                <c:pt idx="645">
                  <c:v>0.83671772468410066</c:v>
                </c:pt>
                <c:pt idx="646">
                  <c:v>0.83666815498784763</c:v>
                </c:pt>
                <c:pt idx="647">
                  <c:v>0.83661863417293958</c:v>
                </c:pt>
                <c:pt idx="648">
                  <c:v>0.83656916195851505</c:v>
                </c:pt>
                <c:pt idx="649">
                  <c:v>0.8365197380653977</c:v>
                </c:pt>
                <c:pt idx="650">
                  <c:v>0.83647036221608495</c:v>
                </c:pt>
                <c:pt idx="651">
                  <c:v>0.83642103413473923</c:v>
                </c:pt>
                <c:pt idx="652">
                  <c:v>0.83637175354717697</c:v>
                </c:pt>
                <c:pt idx="653">
                  <c:v>0.83632252018085929</c:v>
                </c:pt>
                <c:pt idx="654">
                  <c:v>0.83627333376488178</c:v>
                </c:pt>
                <c:pt idx="655">
                  <c:v>0.83622419402996484</c:v>
                </c:pt>
                <c:pt idx="656">
                  <c:v>0.83617510070844403</c:v>
                </c:pt>
                <c:pt idx="657">
                  <c:v>0.83612605353426006</c:v>
                </c:pt>
                <c:pt idx="658">
                  <c:v>0.83607705224294981</c:v>
                </c:pt>
                <c:pt idx="659">
                  <c:v>0.8360280965716359</c:v>
                </c:pt>
                <c:pt idx="660">
                  <c:v>0.83597918625901779</c:v>
                </c:pt>
                <c:pt idx="661">
                  <c:v>0.83593032104536202</c:v>
                </c:pt>
                <c:pt idx="662">
                  <c:v>0.83588150067249312</c:v>
                </c:pt>
                <c:pt idx="663">
                  <c:v>0.83583272488378368</c:v>
                </c:pt>
                <c:pt idx="664">
                  <c:v>0.83578399342414578</c:v>
                </c:pt>
                <c:pt idx="665">
                  <c:v>0.835735306040021</c:v>
                </c:pt>
                <c:pt idx="666">
                  <c:v>0.8356866624793724</c:v>
                </c:pt>
                <c:pt idx="667">
                  <c:v>0.83563806249167372</c:v>
                </c:pt>
                <c:pt idx="668">
                  <c:v>0.83558950582790192</c:v>
                </c:pt>
                <c:pt idx="669">
                  <c:v>0.83554099224052725</c:v>
                </c:pt>
                <c:pt idx="670">
                  <c:v>0.83549252148350428</c:v>
                </c:pt>
                <c:pt idx="671">
                  <c:v>0.83544409331226388</c:v>
                </c:pt>
                <c:pt idx="672">
                  <c:v>0.83539570748370306</c:v>
                </c:pt>
                <c:pt idx="673">
                  <c:v>0.83534736375617691</c:v>
                </c:pt>
                <c:pt idx="674">
                  <c:v>0.8352990618894901</c:v>
                </c:pt>
                <c:pt idx="675">
                  <c:v>0.83525080164488752</c:v>
                </c:pt>
                <c:pt idx="676">
                  <c:v>0.83520258278504633</c:v>
                </c:pt>
                <c:pt idx="677">
                  <c:v>0.83515440507406669</c:v>
                </c:pt>
                <c:pt idx="678">
                  <c:v>0.83510626827746348</c:v>
                </c:pt>
                <c:pt idx="679">
                  <c:v>0.83505817216215839</c:v>
                </c:pt>
                <c:pt idx="680">
                  <c:v>0.83501011649647028</c:v>
                </c:pt>
                <c:pt idx="681">
                  <c:v>0.83496210105010804</c:v>
                </c:pt>
                <c:pt idx="682">
                  <c:v>0.83491412559416134</c:v>
                </c:pt>
                <c:pt idx="683">
                  <c:v>0.83486618990109263</c:v>
                </c:pt>
                <c:pt idx="684">
                  <c:v>0.83481829374472949</c:v>
                </c:pt>
                <c:pt idx="685">
                  <c:v>0.83477043690025532</c:v>
                </c:pt>
                <c:pt idx="686">
                  <c:v>0.83472261914420209</c:v>
                </c:pt>
                <c:pt idx="687">
                  <c:v>0.83467484025444205</c:v>
                </c:pt>
                <c:pt idx="688">
                  <c:v>0.83462710001017903</c:v>
                </c:pt>
                <c:pt idx="689">
                  <c:v>0.83457939819194205</c:v>
                </c:pt>
                <c:pt idx="690">
                  <c:v>0.83453173458157515</c:v>
                </c:pt>
                <c:pt idx="691">
                  <c:v>0.83448410896223157</c:v>
                </c:pt>
                <c:pt idx="692">
                  <c:v>0.83443652111836464</c:v>
                </c:pt>
                <c:pt idx="693">
                  <c:v>0.8343889708357205</c:v>
                </c:pt>
                <c:pt idx="694">
                  <c:v>0.83434145790132996</c:v>
                </c:pt>
                <c:pt idx="695">
                  <c:v>0.83429398210350125</c:v>
                </c:pt>
                <c:pt idx="696">
                  <c:v>0.83424654323181202</c:v>
                </c:pt>
                <c:pt idx="697">
                  <c:v>0.8341991410771018</c:v>
                </c:pt>
                <c:pt idx="698">
                  <c:v>0.83415177543146468</c:v>
                </c:pt>
                <c:pt idx="699">
                  <c:v>0.83410444608824141</c:v>
                </c:pt>
                <c:pt idx="700">
                  <c:v>0.83405715284201187</c:v>
                </c:pt>
                <c:pt idx="701">
                  <c:v>0.83400989548858828</c:v>
                </c:pt>
                <c:pt idx="702">
                  <c:v>0.83396267382500711</c:v>
                </c:pt>
                <c:pt idx="703">
                  <c:v>0.83391548764952195</c:v>
                </c:pt>
                <c:pt idx="704">
                  <c:v>0.83386833676159633</c:v>
                </c:pt>
                <c:pt idx="705">
                  <c:v>0.83382122096189626</c:v>
                </c:pt>
                <c:pt idx="706">
                  <c:v>0.83377414005228323</c:v>
                </c:pt>
                <c:pt idx="707">
                  <c:v>0.83372709383580734</c:v>
                </c:pt>
                <c:pt idx="708">
                  <c:v>0.83368008211669908</c:v>
                </c:pt>
                <c:pt idx="709">
                  <c:v>0.83363310470036311</c:v>
                </c:pt>
                <c:pt idx="710">
                  <c:v>0.83358616139337149</c:v>
                </c:pt>
                <c:pt idx="711">
                  <c:v>0.83353925200345569</c:v>
                </c:pt>
                <c:pt idx="712">
                  <c:v>0.83349237633950046</c:v>
                </c:pt>
                <c:pt idx="713">
                  <c:v>0.83344553421153655</c:v>
                </c:pt>
                <c:pt idx="714">
                  <c:v>0.83339872543073401</c:v>
                </c:pt>
                <c:pt idx="715">
                  <c:v>0.83335194980939487</c:v>
                </c:pt>
                <c:pt idx="716">
                  <c:v>0.83330520716094747</c:v>
                </c:pt>
                <c:pt idx="717">
                  <c:v>0.83325849729993795</c:v>
                </c:pt>
                <c:pt idx="718">
                  <c:v>0.83321182004202554</c:v>
                </c:pt>
                <c:pt idx="719">
                  <c:v>0.83316517520397415</c:v>
                </c:pt>
                <c:pt idx="720">
                  <c:v>0.83311856260364714</c:v>
                </c:pt>
                <c:pt idx="721">
                  <c:v>0.83307198205999955</c:v>
                </c:pt>
                <c:pt idx="722">
                  <c:v>0.83302543339307222</c:v>
                </c:pt>
                <c:pt idx="723">
                  <c:v>0.83297891642398514</c:v>
                </c:pt>
                <c:pt idx="724">
                  <c:v>0.83293243097493108</c:v>
                </c:pt>
                <c:pt idx="725">
                  <c:v>0.83288597686916876</c:v>
                </c:pt>
                <c:pt idx="726">
                  <c:v>0.83283955393101705</c:v>
                </c:pt>
                <c:pt idx="727">
                  <c:v>0.83279316198584818</c:v>
                </c:pt>
                <c:pt idx="728">
                  <c:v>0.83274680086008135</c:v>
                </c:pt>
                <c:pt idx="729">
                  <c:v>0.83270047038117678</c:v>
                </c:pt>
                <c:pt idx="730">
                  <c:v>0.83265417037762945</c:v>
                </c:pt>
                <c:pt idx="731">
                  <c:v>0.8326079006789624</c:v>
                </c:pt>
                <c:pt idx="732">
                  <c:v>0.83256166111572116</c:v>
                </c:pt>
                <c:pt idx="733">
                  <c:v>0.83251545151946726</c:v>
                </c:pt>
                <c:pt idx="734">
                  <c:v>0.83246927172277241</c:v>
                </c:pt>
                <c:pt idx="735">
                  <c:v>0.83242312155921228</c:v>
                </c:pt>
                <c:pt idx="736">
                  <c:v>0.83237700086335997</c:v>
                </c:pt>
                <c:pt idx="737">
                  <c:v>0.83233090947078103</c:v>
                </c:pt>
                <c:pt idx="738">
                  <c:v>0.83228484721802698</c:v>
                </c:pt>
                <c:pt idx="739">
                  <c:v>0.83223881394262933</c:v>
                </c:pt>
                <c:pt idx="740">
                  <c:v>0.83219280948309371</c:v>
                </c:pt>
                <c:pt idx="741">
                  <c:v>0.83214683367889397</c:v>
                </c:pt>
                <c:pt idx="742">
                  <c:v>0.83210088637046686</c:v>
                </c:pt>
                <c:pt idx="743">
                  <c:v>0.83205496739920559</c:v>
                </c:pt>
                <c:pt idx="744">
                  <c:v>0.8320090766074546</c:v>
                </c:pt>
                <c:pt idx="745">
                  <c:v>0.83196321383850347</c:v>
                </c:pt>
                <c:pt idx="746">
                  <c:v>0.83191737893658146</c:v>
                </c:pt>
                <c:pt idx="747">
                  <c:v>0.831871571746852</c:v>
                </c:pt>
                <c:pt idx="748">
                  <c:v>0.83182579211540675</c:v>
                </c:pt>
                <c:pt idx="749">
                  <c:v>0.83178003988926019</c:v>
                </c:pt>
                <c:pt idx="750">
                  <c:v>0.8317343149163442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6F-4160-A461-4CE97B888915}"/>
            </c:ext>
          </c:extLst>
        </c:ser>
        <c:ser>
          <c:idx val="2"/>
          <c:order val="2"/>
          <c:tx>
            <c:strRef>
              <c:f>Sheet1!$AP$1</c:f>
              <c:strCache>
                <c:ptCount val="1"/>
                <c:pt idx="0">
                  <c:v>MEASURED ACM Vaccinated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Sheet1!$AP$2:$AP$752</c:f>
              <c:numCache>
                <c:formatCode>General</c:formatCode>
                <c:ptCount val="751"/>
                <c:pt idx="0">
                  <c:v>1</c:v>
                </c:pt>
                <c:pt idx="1">
                  <c:v>0.99998663713473401</c:v>
                </c:pt>
                <c:pt idx="2">
                  <c:v>0.99995991140420404</c:v>
                </c:pt>
                <c:pt idx="3">
                  <c:v>0.99992650424104002</c:v>
                </c:pt>
                <c:pt idx="4">
                  <c:v>0.99990311922682495</c:v>
                </c:pt>
                <c:pt idx="5">
                  <c:v>0.99984632704944498</c:v>
                </c:pt>
                <c:pt idx="6">
                  <c:v>0.99982294203523203</c:v>
                </c:pt>
                <c:pt idx="7">
                  <c:v>0.99978619415574999</c:v>
                </c:pt>
                <c:pt idx="8">
                  <c:v>0.999742764843638</c:v>
                </c:pt>
                <c:pt idx="9">
                  <c:v>0.99969933553152401</c:v>
                </c:pt>
                <c:pt idx="10">
                  <c:v>0.99965590621941203</c:v>
                </c:pt>
                <c:pt idx="11">
                  <c:v>0.99960579547466599</c:v>
                </c:pt>
                <c:pt idx="12">
                  <c:v>0.99954566258097099</c:v>
                </c:pt>
                <c:pt idx="13">
                  <c:v>0.99949221111990905</c:v>
                </c:pt>
                <c:pt idx="14">
                  <c:v>0.99943207822621305</c:v>
                </c:pt>
                <c:pt idx="15">
                  <c:v>0.99940201177936705</c:v>
                </c:pt>
                <c:pt idx="16">
                  <c:v>0.99934521960198697</c:v>
                </c:pt>
                <c:pt idx="17">
                  <c:v>0.99928842742460899</c:v>
                </c:pt>
                <c:pt idx="18">
                  <c:v>0.99923163524723102</c:v>
                </c:pt>
                <c:pt idx="19">
                  <c:v>0.999168161637219</c:v>
                </c:pt>
                <c:pt idx="20">
                  <c:v>0.99910134731089095</c:v>
                </c:pt>
                <c:pt idx="21">
                  <c:v>0.99903453298456202</c:v>
                </c:pt>
                <c:pt idx="22">
                  <c:v>0.998971059374551</c:v>
                </c:pt>
                <c:pt idx="23">
                  <c:v>0.99889422289927399</c:v>
                </c:pt>
                <c:pt idx="24">
                  <c:v>0.99884745287084498</c:v>
                </c:pt>
                <c:pt idx="25">
                  <c:v>0.99879734212609905</c:v>
                </c:pt>
                <c:pt idx="26">
                  <c:v>0.99872384636713896</c:v>
                </c:pt>
                <c:pt idx="27">
                  <c:v>0.99867039490607601</c:v>
                </c:pt>
                <c:pt idx="28">
                  <c:v>0.99861694344501295</c:v>
                </c:pt>
                <c:pt idx="29">
                  <c:v>0.99858019556553301</c:v>
                </c:pt>
                <c:pt idx="30">
                  <c:v>0.99851338123920497</c:v>
                </c:pt>
                <c:pt idx="31">
                  <c:v>0.99844656691287703</c:v>
                </c:pt>
                <c:pt idx="32">
                  <c:v>0.99839979688444802</c:v>
                </c:pt>
                <c:pt idx="33">
                  <c:v>0.99834634542338596</c:v>
                </c:pt>
                <c:pt idx="34">
                  <c:v>0.998306256827589</c:v>
                </c:pt>
                <c:pt idx="35">
                  <c:v>0.99824278321757798</c:v>
                </c:pt>
                <c:pt idx="36">
                  <c:v>0.99816928745861699</c:v>
                </c:pt>
                <c:pt idx="37">
                  <c:v>0.99811249528123902</c:v>
                </c:pt>
                <c:pt idx="38">
                  <c:v>0.99806572525280901</c:v>
                </c:pt>
                <c:pt idx="39">
                  <c:v>0.99799222949384903</c:v>
                </c:pt>
                <c:pt idx="40">
                  <c:v>0.99792207445120396</c:v>
                </c:pt>
                <c:pt idx="41">
                  <c:v>0.99783855654329401</c:v>
                </c:pt>
                <c:pt idx="42">
                  <c:v>0.99779846794749805</c:v>
                </c:pt>
                <c:pt idx="43">
                  <c:v>0.99774501648643499</c:v>
                </c:pt>
                <c:pt idx="44">
                  <c:v>0.997701587174323</c:v>
                </c:pt>
                <c:pt idx="45">
                  <c:v>0.99765147642957597</c:v>
                </c:pt>
                <c:pt idx="46">
                  <c:v>0.99759134353588197</c:v>
                </c:pt>
                <c:pt idx="47">
                  <c:v>0.99751450706060496</c:v>
                </c:pt>
                <c:pt idx="48">
                  <c:v>0.99746105559954201</c:v>
                </c:pt>
                <c:pt idx="49">
                  <c:v>0.99740760413847895</c:v>
                </c:pt>
                <c:pt idx="50">
                  <c:v>0.99734747124478496</c:v>
                </c:pt>
                <c:pt idx="51">
                  <c:v>0.99728733835108896</c:v>
                </c:pt>
                <c:pt idx="52">
                  <c:v>0.99724390903897697</c:v>
                </c:pt>
                <c:pt idx="53">
                  <c:v>0.99719379829423105</c:v>
                </c:pt>
                <c:pt idx="54">
                  <c:v>0.99713366540053505</c:v>
                </c:pt>
                <c:pt idx="55">
                  <c:v>0.99708021393947299</c:v>
                </c:pt>
                <c:pt idx="56">
                  <c:v>0.99701005889682903</c:v>
                </c:pt>
                <c:pt idx="57">
                  <c:v>0.99693656313786805</c:v>
                </c:pt>
                <c:pt idx="58">
                  <c:v>0.99688311167680599</c:v>
                </c:pt>
                <c:pt idx="59">
                  <c:v>0.99683634164837698</c:v>
                </c:pt>
                <c:pt idx="60">
                  <c:v>0.99677286803836596</c:v>
                </c:pt>
                <c:pt idx="61">
                  <c:v>0.99670939442835405</c:v>
                </c:pt>
                <c:pt idx="62">
                  <c:v>0.99665928368360801</c:v>
                </c:pt>
                <c:pt idx="63">
                  <c:v>0.99658912864096205</c:v>
                </c:pt>
                <c:pt idx="64">
                  <c:v>0.99654235861253404</c:v>
                </c:pt>
                <c:pt idx="65">
                  <c:v>0.99648890715147098</c:v>
                </c:pt>
                <c:pt idx="66">
                  <c:v>0.99645215927199204</c:v>
                </c:pt>
                <c:pt idx="67">
                  <c:v>0.996385344945663</c:v>
                </c:pt>
                <c:pt idx="68">
                  <c:v>0.99632187133565198</c:v>
                </c:pt>
                <c:pt idx="69">
                  <c:v>0.99625839772564095</c:v>
                </c:pt>
                <c:pt idx="70">
                  <c:v>0.99618824268299699</c:v>
                </c:pt>
                <c:pt idx="71">
                  <c:v>0.99614815408720003</c:v>
                </c:pt>
                <c:pt idx="72">
                  <c:v>0.99608802119350504</c:v>
                </c:pt>
                <c:pt idx="73">
                  <c:v>0.99603456973244298</c:v>
                </c:pt>
                <c:pt idx="74">
                  <c:v>0.99596441468979802</c:v>
                </c:pt>
                <c:pt idx="75">
                  <c:v>0.99590762251242004</c:v>
                </c:pt>
                <c:pt idx="76">
                  <c:v>0.99586085248399003</c:v>
                </c:pt>
                <c:pt idx="77">
                  <c:v>0.99582744532082501</c:v>
                </c:pt>
                <c:pt idx="78">
                  <c:v>0.99574392741291695</c:v>
                </c:pt>
                <c:pt idx="79">
                  <c:v>0.995690475951854</c:v>
                </c:pt>
                <c:pt idx="80">
                  <c:v>0.99563368377447403</c:v>
                </c:pt>
                <c:pt idx="81">
                  <c:v>0.995553506582881</c:v>
                </c:pt>
                <c:pt idx="82">
                  <c:v>0.99550005512181905</c:v>
                </c:pt>
                <c:pt idx="83">
                  <c:v>0.99542655936285895</c:v>
                </c:pt>
                <c:pt idx="84">
                  <c:v>0.99537310790179601</c:v>
                </c:pt>
                <c:pt idx="85">
                  <c:v>0.99531965644073495</c:v>
                </c:pt>
                <c:pt idx="86">
                  <c:v>0.995236138532825</c:v>
                </c:pt>
                <c:pt idx="87">
                  <c:v>0.995176005639129</c:v>
                </c:pt>
                <c:pt idx="88">
                  <c:v>0.995115872745435</c:v>
                </c:pt>
                <c:pt idx="89">
                  <c:v>0.99506242128437095</c:v>
                </c:pt>
                <c:pt idx="90">
                  <c:v>0.99500896982331</c:v>
                </c:pt>
                <c:pt idx="91">
                  <c:v>0.99495885907856396</c:v>
                </c:pt>
                <c:pt idx="92">
                  <c:v>0.994918770482767</c:v>
                </c:pt>
                <c:pt idx="93">
                  <c:v>0.99486197830538903</c:v>
                </c:pt>
                <c:pt idx="94">
                  <c:v>0.99478514183011202</c:v>
                </c:pt>
                <c:pt idx="95">
                  <c:v>0.99471832750378397</c:v>
                </c:pt>
                <c:pt idx="96">
                  <c:v>0.99463480959587303</c:v>
                </c:pt>
                <c:pt idx="97">
                  <c:v>0.99456799526954498</c:v>
                </c:pt>
                <c:pt idx="98">
                  <c:v>0.99453792882269898</c:v>
                </c:pt>
                <c:pt idx="99">
                  <c:v>0.99450786237585098</c:v>
                </c:pt>
                <c:pt idx="100">
                  <c:v>0.99445775163110495</c:v>
                </c:pt>
                <c:pt idx="101">
                  <c:v>0.99438091515582805</c:v>
                </c:pt>
                <c:pt idx="102">
                  <c:v>0.99429071581528605</c:v>
                </c:pt>
                <c:pt idx="103">
                  <c:v>0.99421722005632496</c:v>
                </c:pt>
                <c:pt idx="104">
                  <c:v>0.99416710931157803</c:v>
                </c:pt>
                <c:pt idx="105">
                  <c:v>0.99412367999946505</c:v>
                </c:pt>
                <c:pt idx="106">
                  <c:v>0.99406688782208796</c:v>
                </c:pt>
                <c:pt idx="107">
                  <c:v>0.99400341421207505</c:v>
                </c:pt>
                <c:pt idx="108">
                  <c:v>0.99395998489996196</c:v>
                </c:pt>
                <c:pt idx="109">
                  <c:v>0.99391655558784797</c:v>
                </c:pt>
                <c:pt idx="110">
                  <c:v>0.99385308197783695</c:v>
                </c:pt>
                <c:pt idx="111">
                  <c:v>0.99377290478624403</c:v>
                </c:pt>
                <c:pt idx="112">
                  <c:v>0.99371945332518197</c:v>
                </c:pt>
                <c:pt idx="113">
                  <c:v>0.99364929828253801</c:v>
                </c:pt>
                <c:pt idx="114">
                  <c:v>0.99360586897042602</c:v>
                </c:pt>
                <c:pt idx="115">
                  <c:v>0.993542395360414</c:v>
                </c:pt>
                <c:pt idx="116">
                  <c:v>0.99348894389935005</c:v>
                </c:pt>
                <c:pt idx="117">
                  <c:v>0.99340542599144199</c:v>
                </c:pt>
                <c:pt idx="118">
                  <c:v>0.99332524879984696</c:v>
                </c:pt>
                <c:pt idx="119">
                  <c:v>0.99327513805510204</c:v>
                </c:pt>
                <c:pt idx="120">
                  <c:v>0.99321500516140604</c:v>
                </c:pt>
                <c:pt idx="121">
                  <c:v>0.99314485011876297</c:v>
                </c:pt>
                <c:pt idx="122">
                  <c:v>0.99307469507611801</c:v>
                </c:pt>
                <c:pt idx="123">
                  <c:v>0.99301456218242301</c:v>
                </c:pt>
                <c:pt idx="124">
                  <c:v>0.99295777000504404</c:v>
                </c:pt>
                <c:pt idx="125">
                  <c:v>0.99285754851555397</c:v>
                </c:pt>
                <c:pt idx="126">
                  <c:v>0.99278739347290801</c:v>
                </c:pt>
                <c:pt idx="127">
                  <c:v>0.99274396416079602</c:v>
                </c:pt>
                <c:pt idx="128">
                  <c:v>0.99266378696920299</c:v>
                </c:pt>
                <c:pt idx="129">
                  <c:v>0.99261033550814004</c:v>
                </c:pt>
                <c:pt idx="130">
                  <c:v>0.99254686189812802</c:v>
                </c:pt>
                <c:pt idx="131">
                  <c:v>0.99249006972075005</c:v>
                </c:pt>
                <c:pt idx="132">
                  <c:v>0.992423255394423</c:v>
                </c:pt>
                <c:pt idx="133">
                  <c:v>0.99234307820282797</c:v>
                </c:pt>
                <c:pt idx="134">
                  <c:v>0.99225287886228597</c:v>
                </c:pt>
                <c:pt idx="135">
                  <c:v>0.99220944955017298</c:v>
                </c:pt>
                <c:pt idx="136">
                  <c:v>0.992166020238059</c:v>
                </c:pt>
                <c:pt idx="137">
                  <c:v>0.992105887344364</c:v>
                </c:pt>
                <c:pt idx="138">
                  <c:v>0.99204909516698503</c:v>
                </c:pt>
                <c:pt idx="139">
                  <c:v>0.99198896227329003</c:v>
                </c:pt>
                <c:pt idx="140">
                  <c:v>0.991908785081698</c:v>
                </c:pt>
                <c:pt idx="141">
                  <c:v>0.99182526717378705</c:v>
                </c:pt>
                <c:pt idx="142">
                  <c:v>0.99175845284746</c:v>
                </c:pt>
                <c:pt idx="143">
                  <c:v>0.99170166067008103</c:v>
                </c:pt>
                <c:pt idx="144">
                  <c:v>0.99161814276217097</c:v>
                </c:pt>
                <c:pt idx="145">
                  <c:v>0.99156803201742605</c:v>
                </c:pt>
                <c:pt idx="146">
                  <c:v>0.99151123984004697</c:v>
                </c:pt>
                <c:pt idx="147">
                  <c:v>0.99145110694635097</c:v>
                </c:pt>
                <c:pt idx="148">
                  <c:v>0.991394314768972</c:v>
                </c:pt>
                <c:pt idx="149">
                  <c:v>0.99134086330791105</c:v>
                </c:pt>
                <c:pt idx="150">
                  <c:v>0.99128407113053096</c:v>
                </c:pt>
                <c:pt idx="151">
                  <c:v>0.99122727895315399</c:v>
                </c:pt>
                <c:pt idx="152">
                  <c:v>0.99116046462682605</c:v>
                </c:pt>
                <c:pt idx="153">
                  <c:v>0.99111035388208002</c:v>
                </c:pt>
                <c:pt idx="154">
                  <c:v>0.99102015454153602</c:v>
                </c:pt>
                <c:pt idx="155">
                  <c:v>0.99093663663362797</c:v>
                </c:pt>
                <c:pt idx="156">
                  <c:v>0.990819711562553</c:v>
                </c:pt>
                <c:pt idx="157">
                  <c:v>0.99074621580359301</c:v>
                </c:pt>
                <c:pt idx="158">
                  <c:v>0.99068942362621304</c:v>
                </c:pt>
                <c:pt idx="159">
                  <c:v>0.99064933503041697</c:v>
                </c:pt>
                <c:pt idx="160">
                  <c:v>0.99058586142040606</c:v>
                </c:pt>
                <c:pt idx="161">
                  <c:v>0.99052238781039403</c:v>
                </c:pt>
                <c:pt idx="162">
                  <c:v>0.99047895849828205</c:v>
                </c:pt>
                <c:pt idx="163">
                  <c:v>0.99037539629247295</c:v>
                </c:pt>
                <c:pt idx="164">
                  <c:v>0.99031192268246204</c:v>
                </c:pt>
                <c:pt idx="165">
                  <c:v>0.99025513050508196</c:v>
                </c:pt>
                <c:pt idx="166">
                  <c:v>0.99018831617875502</c:v>
                </c:pt>
                <c:pt idx="167">
                  <c:v>0.99013152400137605</c:v>
                </c:pt>
                <c:pt idx="168">
                  <c:v>0.99006136895873298</c:v>
                </c:pt>
                <c:pt idx="169">
                  <c:v>0.98998119176713895</c:v>
                </c:pt>
                <c:pt idx="170">
                  <c:v>0.98993776245502596</c:v>
                </c:pt>
                <c:pt idx="171">
                  <c:v>0.98988097027764799</c:v>
                </c:pt>
                <c:pt idx="172">
                  <c:v>0.98982751881658504</c:v>
                </c:pt>
                <c:pt idx="173">
                  <c:v>0.98975068234130803</c:v>
                </c:pt>
                <c:pt idx="174">
                  <c:v>0.98969723088024597</c:v>
                </c:pt>
                <c:pt idx="175">
                  <c:v>0.98963709798654997</c:v>
                </c:pt>
                <c:pt idx="176">
                  <c:v>0.98957362437653895</c:v>
                </c:pt>
                <c:pt idx="177">
                  <c:v>0.98950681005021202</c:v>
                </c:pt>
                <c:pt idx="178">
                  <c:v>0.98944333644019899</c:v>
                </c:pt>
                <c:pt idx="179">
                  <c:v>0.98937986283018897</c:v>
                </c:pt>
                <c:pt idx="180">
                  <c:v>0.98930636707122799</c:v>
                </c:pt>
                <c:pt idx="181">
                  <c:v>0.98924623417753199</c:v>
                </c:pt>
                <c:pt idx="182">
                  <c:v>0.98917941985120506</c:v>
                </c:pt>
                <c:pt idx="183">
                  <c:v>0.98910926480856098</c:v>
                </c:pt>
                <c:pt idx="184">
                  <c:v>0.98902908761696795</c:v>
                </c:pt>
                <c:pt idx="185">
                  <c:v>0.98897897687222003</c:v>
                </c:pt>
                <c:pt idx="186">
                  <c:v>0.98887875538272996</c:v>
                </c:pt>
                <c:pt idx="187">
                  <c:v>0.988838666786932</c:v>
                </c:pt>
                <c:pt idx="188">
                  <c:v>0.98878187460955402</c:v>
                </c:pt>
                <c:pt idx="189">
                  <c:v>0.98869167526901203</c:v>
                </c:pt>
                <c:pt idx="190">
                  <c:v>0.98859479449583598</c:v>
                </c:pt>
                <c:pt idx="191">
                  <c:v>0.98851461730424295</c:v>
                </c:pt>
                <c:pt idx="192">
                  <c:v>0.98845448441054795</c:v>
                </c:pt>
                <c:pt idx="193">
                  <c:v>0.98837764793527005</c:v>
                </c:pt>
                <c:pt idx="194">
                  <c:v>0.98831751504157594</c:v>
                </c:pt>
                <c:pt idx="195">
                  <c:v>0.98824401928261396</c:v>
                </c:pt>
                <c:pt idx="196">
                  <c:v>0.98817052352365498</c:v>
                </c:pt>
                <c:pt idx="197">
                  <c:v>0.988113731346276</c:v>
                </c:pt>
                <c:pt idx="198">
                  <c:v>0.98805025773626398</c:v>
                </c:pt>
                <c:pt idx="199">
                  <c:v>0.98795671767940496</c:v>
                </c:pt>
                <c:pt idx="200">
                  <c:v>0.98787654048781104</c:v>
                </c:pt>
                <c:pt idx="201">
                  <c:v>0.987826429743066</c:v>
                </c:pt>
                <c:pt idx="202">
                  <c:v>0.98776295613305398</c:v>
                </c:pt>
                <c:pt idx="203">
                  <c:v>0.98767609750882801</c:v>
                </c:pt>
                <c:pt idx="204">
                  <c:v>0.98761596461513401</c:v>
                </c:pt>
                <c:pt idx="205">
                  <c:v>0.987509061693009</c:v>
                </c:pt>
                <c:pt idx="206">
                  <c:v>0.98743890665036305</c:v>
                </c:pt>
                <c:pt idx="207">
                  <c:v>0.98736541089140295</c:v>
                </c:pt>
                <c:pt idx="208">
                  <c:v>0.98727187083454504</c:v>
                </c:pt>
                <c:pt idx="209">
                  <c:v>0.98718167149400204</c:v>
                </c:pt>
                <c:pt idx="210">
                  <c:v>0.98706140570661205</c:v>
                </c:pt>
                <c:pt idx="211">
                  <c:v>0.98699793209660103</c:v>
                </c:pt>
                <c:pt idx="212">
                  <c:v>0.98694113991922205</c:v>
                </c:pt>
                <c:pt idx="213">
                  <c:v>0.986857622011312</c:v>
                </c:pt>
                <c:pt idx="214">
                  <c:v>0.98678412625235001</c:v>
                </c:pt>
                <c:pt idx="215">
                  <c:v>0.986707289777074</c:v>
                </c:pt>
                <c:pt idx="216">
                  <c:v>0.98663045330179799</c:v>
                </c:pt>
                <c:pt idx="217">
                  <c:v>0.98654359467757102</c:v>
                </c:pt>
                <c:pt idx="218">
                  <c:v>0.98646341748597799</c:v>
                </c:pt>
                <c:pt idx="219">
                  <c:v>0.98638658101069998</c:v>
                </c:pt>
                <c:pt idx="220">
                  <c:v>0.98633312954963803</c:v>
                </c:pt>
                <c:pt idx="221">
                  <c:v>0.98626965593962801</c:v>
                </c:pt>
                <c:pt idx="222">
                  <c:v>0.98619281946435</c:v>
                </c:pt>
                <c:pt idx="223">
                  <c:v>0.98605919081169402</c:v>
                </c:pt>
                <c:pt idx="224">
                  <c:v>0.98596899147115202</c:v>
                </c:pt>
                <c:pt idx="225">
                  <c:v>0.98589883642850795</c:v>
                </c:pt>
                <c:pt idx="226">
                  <c:v>0.98582199995323105</c:v>
                </c:pt>
                <c:pt idx="227">
                  <c:v>0.98572511918005501</c:v>
                </c:pt>
                <c:pt idx="228">
                  <c:v>0.98564160127214495</c:v>
                </c:pt>
                <c:pt idx="229">
                  <c:v>0.98556142408055203</c:v>
                </c:pt>
                <c:pt idx="230">
                  <c:v>0.98550797261948997</c:v>
                </c:pt>
                <c:pt idx="231">
                  <c:v>0.98544115829316103</c:v>
                </c:pt>
                <c:pt idx="232">
                  <c:v>0.98535429966893495</c:v>
                </c:pt>
                <c:pt idx="233">
                  <c:v>0.98526410032839196</c:v>
                </c:pt>
                <c:pt idx="234">
                  <c:v>0.98517724170416598</c:v>
                </c:pt>
                <c:pt idx="235">
                  <c:v>0.98508036093099205</c:v>
                </c:pt>
                <c:pt idx="236">
                  <c:v>0.98498682087413303</c:v>
                </c:pt>
                <c:pt idx="237">
                  <c:v>0.98491666583148696</c:v>
                </c:pt>
                <c:pt idx="238">
                  <c:v>0.98483982935621095</c:v>
                </c:pt>
                <c:pt idx="239">
                  <c:v>0.98476299288093405</c:v>
                </c:pt>
                <c:pt idx="240">
                  <c:v>0.98470285998723905</c:v>
                </c:pt>
                <c:pt idx="241">
                  <c:v>0.98466611210775801</c:v>
                </c:pt>
                <c:pt idx="242">
                  <c:v>0.98460263849774599</c:v>
                </c:pt>
                <c:pt idx="243">
                  <c:v>0.98451577987352101</c:v>
                </c:pt>
                <c:pt idx="244">
                  <c:v>0.98440219551876296</c:v>
                </c:pt>
                <c:pt idx="245">
                  <c:v>0.98429863331295397</c:v>
                </c:pt>
                <c:pt idx="246">
                  <c:v>0.98421511540504603</c:v>
                </c:pt>
                <c:pt idx="247">
                  <c:v>0.98416166394398297</c:v>
                </c:pt>
                <c:pt idx="248">
                  <c:v>0.98407146460343997</c:v>
                </c:pt>
                <c:pt idx="249">
                  <c:v>0.98401801314237802</c:v>
                </c:pt>
                <c:pt idx="250">
                  <c:v>0.98392113236920198</c:v>
                </c:pt>
                <c:pt idx="251">
                  <c:v>0.98381088873076095</c:v>
                </c:pt>
                <c:pt idx="252">
                  <c:v>0.98371734867390204</c:v>
                </c:pt>
                <c:pt idx="253">
                  <c:v>0.98365053434757499</c:v>
                </c:pt>
                <c:pt idx="254">
                  <c:v>0.98358372002124705</c:v>
                </c:pt>
                <c:pt idx="255">
                  <c:v>0.98348683924807101</c:v>
                </c:pt>
                <c:pt idx="256">
                  <c:v>0.98338661775858005</c:v>
                </c:pt>
                <c:pt idx="257">
                  <c:v>0.98329975913435297</c:v>
                </c:pt>
                <c:pt idx="258">
                  <c:v>0.98322960409170901</c:v>
                </c:pt>
                <c:pt idx="259">
                  <c:v>0.98315944904906605</c:v>
                </c:pt>
                <c:pt idx="260">
                  <c:v>0.98306590899220703</c:v>
                </c:pt>
                <c:pt idx="261">
                  <c:v>0.98299241323324504</c:v>
                </c:pt>
                <c:pt idx="262">
                  <c:v>0.98287882887848899</c:v>
                </c:pt>
                <c:pt idx="263">
                  <c:v>0.98276858524004695</c:v>
                </c:pt>
                <c:pt idx="264">
                  <c:v>0.98269508948108797</c:v>
                </c:pt>
                <c:pt idx="265">
                  <c:v>0.98262159372212599</c:v>
                </c:pt>
                <c:pt idx="266">
                  <c:v>0.98255812011211496</c:v>
                </c:pt>
                <c:pt idx="267">
                  <c:v>0.98243451360840806</c:v>
                </c:pt>
                <c:pt idx="268">
                  <c:v>0.98239108429629496</c:v>
                </c:pt>
                <c:pt idx="269">
                  <c:v>0.982320929253651</c:v>
                </c:pt>
                <c:pt idx="270">
                  <c:v>0.98225411492732195</c:v>
                </c:pt>
                <c:pt idx="271">
                  <c:v>0.98216725630309698</c:v>
                </c:pt>
                <c:pt idx="272">
                  <c:v>0.98207705696255398</c:v>
                </c:pt>
                <c:pt idx="273">
                  <c:v>0.98201358335254396</c:v>
                </c:pt>
                <c:pt idx="274">
                  <c:v>0.98194008759358098</c:v>
                </c:pt>
                <c:pt idx="275">
                  <c:v>0.98185322896935601</c:v>
                </c:pt>
                <c:pt idx="276">
                  <c:v>0.98175968891249599</c:v>
                </c:pt>
                <c:pt idx="277">
                  <c:v>0.98165946742300603</c:v>
                </c:pt>
                <c:pt idx="278">
                  <c:v>0.98156926808246303</c:v>
                </c:pt>
                <c:pt idx="279">
                  <c:v>0.98146904659296996</c:v>
                </c:pt>
                <c:pt idx="280">
                  <c:v>0.98138886940137604</c:v>
                </c:pt>
                <c:pt idx="281">
                  <c:v>0.98130535149346698</c:v>
                </c:pt>
                <c:pt idx="282">
                  <c:v>0.98122517430187295</c:v>
                </c:pt>
                <c:pt idx="283">
                  <c:v>0.98116504140817895</c:v>
                </c:pt>
                <c:pt idx="284">
                  <c:v>0.98108486421658503</c:v>
                </c:pt>
                <c:pt idx="285">
                  <c:v>0.98100802774130902</c:v>
                </c:pt>
                <c:pt idx="286">
                  <c:v>0.98092785054971399</c:v>
                </c:pt>
                <c:pt idx="287">
                  <c:v>0.98083431049285597</c:v>
                </c:pt>
                <c:pt idx="288">
                  <c:v>0.98073742971968103</c:v>
                </c:pt>
                <c:pt idx="289">
                  <c:v>0.98067729682598503</c:v>
                </c:pt>
                <c:pt idx="290">
                  <c:v>0.98058709748544304</c:v>
                </c:pt>
                <c:pt idx="291">
                  <c:v>0.98049355742858402</c:v>
                </c:pt>
                <c:pt idx="292">
                  <c:v>0.98038999522277503</c:v>
                </c:pt>
                <c:pt idx="293">
                  <c:v>0.980309818031182</c:v>
                </c:pt>
                <c:pt idx="294">
                  <c:v>0.98022295940695603</c:v>
                </c:pt>
                <c:pt idx="295">
                  <c:v>0.98015280436431196</c:v>
                </c:pt>
                <c:pt idx="296">
                  <c:v>0.98006594574008599</c:v>
                </c:pt>
                <c:pt idx="297">
                  <c:v>0.980022516427973</c:v>
                </c:pt>
                <c:pt idx="298">
                  <c:v>0.97991561350584799</c:v>
                </c:pt>
                <c:pt idx="299">
                  <c:v>0.97983543631425496</c:v>
                </c:pt>
                <c:pt idx="300">
                  <c:v>0.97973855554107903</c:v>
                </c:pt>
                <c:pt idx="301">
                  <c:v>0.97965503763316897</c:v>
                </c:pt>
                <c:pt idx="302">
                  <c:v>0.97957820115789196</c:v>
                </c:pt>
                <c:pt idx="303">
                  <c:v>0.97950470539893197</c:v>
                </c:pt>
                <c:pt idx="304">
                  <c:v>0.97942786892365497</c:v>
                </c:pt>
                <c:pt idx="305">
                  <c:v>0.97935437316469398</c:v>
                </c:pt>
                <c:pt idx="306">
                  <c:v>0.97928755883836605</c:v>
                </c:pt>
                <c:pt idx="307">
                  <c:v>0.97920070021413996</c:v>
                </c:pt>
                <c:pt idx="308">
                  <c:v>0.97909379729201595</c:v>
                </c:pt>
                <c:pt idx="309">
                  <c:v>0.97901027938410501</c:v>
                </c:pt>
                <c:pt idx="310">
                  <c:v>0.97893010219251297</c:v>
                </c:pt>
                <c:pt idx="311">
                  <c:v>0.97883990285196898</c:v>
                </c:pt>
                <c:pt idx="312">
                  <c:v>0.97876974780932502</c:v>
                </c:pt>
                <c:pt idx="313">
                  <c:v>0.97869959276668095</c:v>
                </c:pt>
                <c:pt idx="314">
                  <c:v>0.97859603056087396</c:v>
                </c:pt>
                <c:pt idx="315">
                  <c:v>0.97851919408559596</c:v>
                </c:pt>
                <c:pt idx="316">
                  <c:v>0.978418972596105</c:v>
                </c:pt>
                <c:pt idx="317">
                  <c:v>0.97835549898609198</c:v>
                </c:pt>
                <c:pt idx="318">
                  <c:v>0.97830538824134705</c:v>
                </c:pt>
                <c:pt idx="319">
                  <c:v>0.97824525534765105</c:v>
                </c:pt>
                <c:pt idx="320">
                  <c:v>0.97813501170921002</c:v>
                </c:pt>
                <c:pt idx="321">
                  <c:v>0.97806819738288198</c:v>
                </c:pt>
                <c:pt idx="322">
                  <c:v>0.97800472377287195</c:v>
                </c:pt>
                <c:pt idx="323">
                  <c:v>0.97793122801390997</c:v>
                </c:pt>
                <c:pt idx="324">
                  <c:v>0.97784102867336797</c:v>
                </c:pt>
                <c:pt idx="325">
                  <c:v>0.97775751076545803</c:v>
                </c:pt>
                <c:pt idx="326">
                  <c:v>0.97770740002071299</c:v>
                </c:pt>
                <c:pt idx="327">
                  <c:v>0.97761051924753795</c:v>
                </c:pt>
                <c:pt idx="328">
                  <c:v>0.97754036420489199</c:v>
                </c:pt>
                <c:pt idx="329">
                  <c:v>0.97743012056645195</c:v>
                </c:pt>
                <c:pt idx="330">
                  <c:v>0.97737666910539001</c:v>
                </c:pt>
                <c:pt idx="331">
                  <c:v>0.97727310689958202</c:v>
                </c:pt>
                <c:pt idx="332">
                  <c:v>0.97718624827535505</c:v>
                </c:pt>
                <c:pt idx="333">
                  <c:v>0.97710941180007804</c:v>
                </c:pt>
                <c:pt idx="334">
                  <c:v>0.977042597473751</c:v>
                </c:pt>
                <c:pt idx="335">
                  <c:v>0.97695907956584005</c:v>
                </c:pt>
                <c:pt idx="336">
                  <c:v>0.97688892452319698</c:v>
                </c:pt>
                <c:pt idx="337">
                  <c:v>0.97682879162950198</c:v>
                </c:pt>
                <c:pt idx="338">
                  <c:v>0.97676197730317305</c:v>
                </c:pt>
                <c:pt idx="339">
                  <c:v>0.97664839294841599</c:v>
                </c:pt>
                <c:pt idx="340">
                  <c:v>0.97660162291998798</c:v>
                </c:pt>
                <c:pt idx="341">
                  <c:v>0.97652478644470997</c:v>
                </c:pt>
                <c:pt idx="342">
                  <c:v>0.97643124638784995</c:v>
                </c:pt>
                <c:pt idx="343">
                  <c:v>0.97635775062888996</c:v>
                </c:pt>
                <c:pt idx="344">
                  <c:v>0.97630095845151099</c:v>
                </c:pt>
                <c:pt idx="345">
                  <c:v>0.97620741839465297</c:v>
                </c:pt>
                <c:pt idx="346">
                  <c:v>0.97615730764990605</c:v>
                </c:pt>
                <c:pt idx="347">
                  <c:v>0.97605708616041598</c:v>
                </c:pt>
                <c:pt idx="348">
                  <c:v>0.97597356825250403</c:v>
                </c:pt>
                <c:pt idx="349">
                  <c:v>0.975893391060911</c:v>
                </c:pt>
                <c:pt idx="350">
                  <c:v>0.97582657673458395</c:v>
                </c:pt>
                <c:pt idx="351">
                  <c:v>0.97576310312457204</c:v>
                </c:pt>
                <c:pt idx="352">
                  <c:v>0.97568626664929503</c:v>
                </c:pt>
                <c:pt idx="353">
                  <c:v>0.97560943017401802</c:v>
                </c:pt>
                <c:pt idx="354">
                  <c:v>0.97553927513137495</c:v>
                </c:pt>
                <c:pt idx="355">
                  <c:v>0.975455757223464</c:v>
                </c:pt>
                <c:pt idx="356">
                  <c:v>0.97539896504608503</c:v>
                </c:pt>
                <c:pt idx="357">
                  <c:v>0.97530876570554303</c:v>
                </c:pt>
                <c:pt idx="358">
                  <c:v>0.97523861066289796</c:v>
                </c:pt>
                <c:pt idx="359">
                  <c:v>0.97515509275498802</c:v>
                </c:pt>
                <c:pt idx="360">
                  <c:v>0.97507157484707996</c:v>
                </c:pt>
                <c:pt idx="361">
                  <c:v>0.97497469407390402</c:v>
                </c:pt>
                <c:pt idx="362">
                  <c:v>0.97489785759862702</c:v>
                </c:pt>
                <c:pt idx="363">
                  <c:v>0.97482770255598195</c:v>
                </c:pt>
                <c:pt idx="364">
                  <c:v>0.97477091037860397</c:v>
                </c:pt>
                <c:pt idx="365">
                  <c:v>0.97469073318701005</c:v>
                </c:pt>
                <c:pt idx="366">
                  <c:v>0.97463394100963197</c:v>
                </c:pt>
                <c:pt idx="367">
                  <c:v>0.97456378596698801</c:v>
                </c:pt>
                <c:pt idx="368">
                  <c:v>0.97446690519381296</c:v>
                </c:pt>
                <c:pt idx="369">
                  <c:v>0.97439006871853495</c:v>
                </c:pt>
                <c:pt idx="370">
                  <c:v>0.974336617257472</c:v>
                </c:pt>
                <c:pt idx="371">
                  <c:v>0.97427314364746098</c:v>
                </c:pt>
                <c:pt idx="372">
                  <c:v>0.97422637361903197</c:v>
                </c:pt>
                <c:pt idx="373">
                  <c:v>0.974139514994805</c:v>
                </c:pt>
                <c:pt idx="374">
                  <c:v>0.97404597493794598</c:v>
                </c:pt>
                <c:pt idx="375">
                  <c:v>0.97395577559740298</c:v>
                </c:pt>
                <c:pt idx="376">
                  <c:v>0.973882279838443</c:v>
                </c:pt>
                <c:pt idx="377">
                  <c:v>0.97383216909369696</c:v>
                </c:pt>
                <c:pt idx="378">
                  <c:v>0.97374196975315397</c:v>
                </c:pt>
                <c:pt idx="379">
                  <c:v>0.97364842969629595</c:v>
                </c:pt>
                <c:pt idx="380">
                  <c:v>0.97355823035575295</c:v>
                </c:pt>
                <c:pt idx="381">
                  <c:v>0.97348139388047605</c:v>
                </c:pt>
                <c:pt idx="382">
                  <c:v>0.97338117239098398</c:v>
                </c:pt>
                <c:pt idx="383">
                  <c:v>0.97331101734834002</c:v>
                </c:pt>
                <c:pt idx="384">
                  <c:v>0.97325088445464403</c:v>
                </c:pt>
                <c:pt idx="385">
                  <c:v>0.97315066296515296</c:v>
                </c:pt>
                <c:pt idx="386">
                  <c:v>0.97307048577355904</c:v>
                </c:pt>
                <c:pt idx="387">
                  <c:v>0.97300033073091496</c:v>
                </c:pt>
                <c:pt idx="388">
                  <c:v>0.97293351640458703</c:v>
                </c:pt>
                <c:pt idx="389">
                  <c:v>0.97286002064562704</c:v>
                </c:pt>
                <c:pt idx="390">
                  <c:v>0.97279654703561602</c:v>
                </c:pt>
                <c:pt idx="391">
                  <c:v>0.97271302912770596</c:v>
                </c:pt>
                <c:pt idx="392">
                  <c:v>0.97263285193611204</c:v>
                </c:pt>
                <c:pt idx="393">
                  <c:v>0.97252928973030395</c:v>
                </c:pt>
                <c:pt idx="394">
                  <c:v>0.97243574967344504</c:v>
                </c:pt>
                <c:pt idx="395">
                  <c:v>0.97234555033290204</c:v>
                </c:pt>
                <c:pt idx="396">
                  <c:v>0.97228541743920804</c:v>
                </c:pt>
                <c:pt idx="397">
                  <c:v>0.97219187738234902</c:v>
                </c:pt>
                <c:pt idx="398">
                  <c:v>0.97210501875812305</c:v>
                </c:pt>
                <c:pt idx="399">
                  <c:v>0.97200479726862998</c:v>
                </c:pt>
                <c:pt idx="400">
                  <c:v>0.97195802724020197</c:v>
                </c:pt>
                <c:pt idx="401">
                  <c:v>0.97189789434650697</c:v>
                </c:pt>
                <c:pt idx="402">
                  <c:v>0.97183108002017704</c:v>
                </c:pt>
                <c:pt idx="403">
                  <c:v>0.97174422139595196</c:v>
                </c:pt>
                <c:pt idx="404">
                  <c:v>0.97170079208383797</c:v>
                </c:pt>
                <c:pt idx="405">
                  <c:v>0.97162395560856296</c:v>
                </c:pt>
                <c:pt idx="406">
                  <c:v>0.97156048199855005</c:v>
                </c:pt>
                <c:pt idx="407">
                  <c:v>0.97150034910485406</c:v>
                </c:pt>
                <c:pt idx="408">
                  <c:v>0.97142351262957805</c:v>
                </c:pt>
                <c:pt idx="409">
                  <c:v>0.97132997257272002</c:v>
                </c:pt>
                <c:pt idx="410">
                  <c:v>0.97121972893427799</c:v>
                </c:pt>
                <c:pt idx="411">
                  <c:v>0.97115291460795095</c:v>
                </c:pt>
                <c:pt idx="412">
                  <c:v>0.97107607813267405</c:v>
                </c:pt>
                <c:pt idx="413">
                  <c:v>0.97099924165739704</c:v>
                </c:pt>
                <c:pt idx="414">
                  <c:v>0.97092240518211903</c:v>
                </c:pt>
                <c:pt idx="415">
                  <c:v>0.97085559085579098</c:v>
                </c:pt>
                <c:pt idx="416">
                  <c:v>0.97075536936629903</c:v>
                </c:pt>
                <c:pt idx="417">
                  <c:v>0.97068187360734004</c:v>
                </c:pt>
                <c:pt idx="418">
                  <c:v>0.97059167426679605</c:v>
                </c:pt>
                <c:pt idx="419">
                  <c:v>0.97051149707520401</c:v>
                </c:pt>
                <c:pt idx="420">
                  <c:v>0.970434660599926</c:v>
                </c:pt>
                <c:pt idx="421">
                  <c:v>0.97034780197570003</c:v>
                </c:pt>
                <c:pt idx="422">
                  <c:v>0.97028432836568901</c:v>
                </c:pt>
                <c:pt idx="423">
                  <c:v>0.97019412902514501</c:v>
                </c:pt>
                <c:pt idx="424">
                  <c:v>0.970117292549869</c:v>
                </c:pt>
                <c:pt idx="425">
                  <c:v>0.97003043392564203</c:v>
                </c:pt>
                <c:pt idx="426">
                  <c:v>0.96994023458510004</c:v>
                </c:pt>
                <c:pt idx="427">
                  <c:v>0.96985337596087495</c:v>
                </c:pt>
                <c:pt idx="428">
                  <c:v>0.96973645088979998</c:v>
                </c:pt>
                <c:pt idx="429">
                  <c:v>0.96962954796767598</c:v>
                </c:pt>
                <c:pt idx="430">
                  <c:v>0.96956941507397998</c:v>
                </c:pt>
                <c:pt idx="431">
                  <c:v>0.96950260074765304</c:v>
                </c:pt>
                <c:pt idx="432">
                  <c:v>0.96941574212342696</c:v>
                </c:pt>
                <c:pt idx="433">
                  <c:v>0.969345587080782</c:v>
                </c:pt>
                <c:pt idx="434">
                  <c:v>0.96926875060550399</c:v>
                </c:pt>
                <c:pt idx="435">
                  <c:v>0.96920527699549397</c:v>
                </c:pt>
                <c:pt idx="436">
                  <c:v>0.969148484818115</c:v>
                </c:pt>
                <c:pt idx="437">
                  <c:v>0.96908835192442</c:v>
                </c:pt>
                <c:pt idx="438">
                  <c:v>0.96900149330019303</c:v>
                </c:pt>
                <c:pt idx="439">
                  <c:v>0.96893467897386698</c:v>
                </c:pt>
                <c:pt idx="440">
                  <c:v>0.96887788679648801</c:v>
                </c:pt>
                <c:pt idx="441">
                  <c:v>0.96880439103752602</c:v>
                </c:pt>
                <c:pt idx="442">
                  <c:v>0.96874759886014705</c:v>
                </c:pt>
                <c:pt idx="443">
                  <c:v>0.96866742166855502</c:v>
                </c:pt>
                <c:pt idx="444">
                  <c:v>0.968603948058543</c:v>
                </c:pt>
                <c:pt idx="445">
                  <c:v>0.96853045229958201</c:v>
                </c:pt>
                <c:pt idx="446">
                  <c:v>0.968483682271154</c:v>
                </c:pt>
                <c:pt idx="447">
                  <c:v>0.96843691224272299</c:v>
                </c:pt>
                <c:pt idx="448">
                  <c:v>0.96836007576744698</c:v>
                </c:pt>
                <c:pt idx="449">
                  <c:v>0.96830662430638403</c:v>
                </c:pt>
                <c:pt idx="450">
                  <c:v>0.96821308424952501</c:v>
                </c:pt>
                <c:pt idx="451">
                  <c:v>0.96811954419266599</c:v>
                </c:pt>
                <c:pt idx="452">
                  <c:v>0.96805607058265497</c:v>
                </c:pt>
                <c:pt idx="453">
                  <c:v>0.96794916766052996</c:v>
                </c:pt>
                <c:pt idx="454">
                  <c:v>0.96787233118525295</c:v>
                </c:pt>
                <c:pt idx="455">
                  <c:v>0.96780885757524204</c:v>
                </c:pt>
                <c:pt idx="456">
                  <c:v>0.96773202109996403</c:v>
                </c:pt>
                <c:pt idx="457">
                  <c:v>0.96767522892258695</c:v>
                </c:pt>
                <c:pt idx="458">
                  <c:v>0.96758502958204196</c:v>
                </c:pt>
                <c:pt idx="459">
                  <c:v>0.96751487453939899</c:v>
                </c:pt>
                <c:pt idx="460">
                  <c:v>0.967424675198856</c:v>
                </c:pt>
                <c:pt idx="461">
                  <c:v>0.96734115729094605</c:v>
                </c:pt>
                <c:pt idx="462">
                  <c:v>0.96726432081567004</c:v>
                </c:pt>
                <c:pt idx="463">
                  <c:v>0.96717412147512605</c:v>
                </c:pt>
                <c:pt idx="464">
                  <c:v>0.96712067001406499</c:v>
                </c:pt>
                <c:pt idx="465">
                  <c:v>0.96703381138983802</c:v>
                </c:pt>
                <c:pt idx="466">
                  <c:v>0.96697367849614402</c:v>
                </c:pt>
                <c:pt idx="467">
                  <c:v>0.96688681987191705</c:v>
                </c:pt>
                <c:pt idx="468">
                  <c:v>0.96680664268032401</c:v>
                </c:pt>
                <c:pt idx="469">
                  <c:v>0.96673648763767905</c:v>
                </c:pt>
                <c:pt idx="470">
                  <c:v>0.96666967331135201</c:v>
                </c:pt>
                <c:pt idx="471">
                  <c:v>0.96658281468712504</c:v>
                </c:pt>
                <c:pt idx="472">
                  <c:v>0.96649929677921498</c:v>
                </c:pt>
                <c:pt idx="473">
                  <c:v>0.96636900884287702</c:v>
                </c:pt>
                <c:pt idx="474">
                  <c:v>0.96626878735338495</c:v>
                </c:pt>
                <c:pt idx="475">
                  <c:v>0.96620197302705602</c:v>
                </c:pt>
                <c:pt idx="476">
                  <c:v>0.96614184013336102</c:v>
                </c:pt>
                <c:pt idx="477">
                  <c:v>0.96605832222545196</c:v>
                </c:pt>
                <c:pt idx="478">
                  <c:v>0.96597146360122599</c:v>
                </c:pt>
                <c:pt idx="479">
                  <c:v>0.96584117566488503</c:v>
                </c:pt>
                <c:pt idx="480">
                  <c:v>0.96576767990592605</c:v>
                </c:pt>
                <c:pt idx="481">
                  <c:v>0.96569418414696495</c:v>
                </c:pt>
                <c:pt idx="482">
                  <c:v>0.96560398480642196</c:v>
                </c:pt>
                <c:pt idx="483">
                  <c:v>0.96552380761482903</c:v>
                </c:pt>
                <c:pt idx="484">
                  <c:v>0.96544697113955202</c:v>
                </c:pt>
                <c:pt idx="485">
                  <c:v>0.96537681609690795</c:v>
                </c:pt>
                <c:pt idx="486">
                  <c:v>0.96531000177058002</c:v>
                </c:pt>
                <c:pt idx="487">
                  <c:v>0.96525655030951796</c:v>
                </c:pt>
                <c:pt idx="488">
                  <c:v>0.96517637311792503</c:v>
                </c:pt>
                <c:pt idx="489">
                  <c:v>0.96510955879159699</c:v>
                </c:pt>
                <c:pt idx="490">
                  <c:v>0.96501935945105399</c:v>
                </c:pt>
                <c:pt idx="491">
                  <c:v>0.96493584154314405</c:v>
                </c:pt>
                <c:pt idx="492">
                  <c:v>0.96484230148628503</c:v>
                </c:pt>
                <c:pt idx="493">
                  <c:v>0.96476880572732404</c:v>
                </c:pt>
                <c:pt idx="494">
                  <c:v>0.96467860638678204</c:v>
                </c:pt>
                <c:pt idx="495">
                  <c:v>0.96459842919518801</c:v>
                </c:pt>
                <c:pt idx="496">
                  <c:v>0.96453161486886096</c:v>
                </c:pt>
                <c:pt idx="497">
                  <c:v>0.964461459826217</c:v>
                </c:pt>
                <c:pt idx="498">
                  <c:v>0.96438128263462197</c:v>
                </c:pt>
                <c:pt idx="499">
                  <c:v>0.96430778687566199</c:v>
                </c:pt>
                <c:pt idx="500">
                  <c:v>0.96423095040038398</c:v>
                </c:pt>
                <c:pt idx="501">
                  <c:v>0.96416413607405804</c:v>
                </c:pt>
                <c:pt idx="502">
                  <c:v>0.96407727744983196</c:v>
                </c:pt>
                <c:pt idx="503">
                  <c:v>0.96399710025823804</c:v>
                </c:pt>
                <c:pt idx="504">
                  <c:v>0.96391358235032798</c:v>
                </c:pt>
                <c:pt idx="505">
                  <c:v>0.96382338300978498</c:v>
                </c:pt>
                <c:pt idx="506">
                  <c:v>0.96375656868345805</c:v>
                </c:pt>
                <c:pt idx="507">
                  <c:v>0.963659687910282</c:v>
                </c:pt>
                <c:pt idx="508">
                  <c:v>0.96359621430026998</c:v>
                </c:pt>
                <c:pt idx="509">
                  <c:v>0.96353942212289201</c:v>
                </c:pt>
                <c:pt idx="510">
                  <c:v>0.96345924493129798</c:v>
                </c:pt>
                <c:pt idx="511">
                  <c:v>0.96339577132128595</c:v>
                </c:pt>
                <c:pt idx="512">
                  <c:v>0.96328552768284703</c:v>
                </c:pt>
                <c:pt idx="513">
                  <c:v>0.96320869120756902</c:v>
                </c:pt>
                <c:pt idx="514">
                  <c:v>0.96311515115071</c:v>
                </c:pt>
                <c:pt idx="515">
                  <c:v>0.96300490751226997</c:v>
                </c:pt>
                <c:pt idx="516">
                  <c:v>0.96293141175330899</c:v>
                </c:pt>
                <c:pt idx="517">
                  <c:v>0.96286459742698005</c:v>
                </c:pt>
                <c:pt idx="518">
                  <c:v>0.96274767235590597</c:v>
                </c:pt>
                <c:pt idx="519">
                  <c:v>0.96268085802957803</c:v>
                </c:pt>
                <c:pt idx="520">
                  <c:v>0.96262072513588304</c:v>
                </c:pt>
                <c:pt idx="521">
                  <c:v>0.96253386651165695</c:v>
                </c:pt>
                <c:pt idx="522">
                  <c:v>0.96244366717111496</c:v>
                </c:pt>
                <c:pt idx="523">
                  <c:v>0.96236348997952204</c:v>
                </c:pt>
                <c:pt idx="524">
                  <c:v>0.96227329063897904</c:v>
                </c:pt>
                <c:pt idx="525">
                  <c:v>0.96221649846159996</c:v>
                </c:pt>
                <c:pt idx="526">
                  <c:v>0.962116276972109</c:v>
                </c:pt>
                <c:pt idx="527">
                  <c:v>0.96202941834788203</c:v>
                </c:pt>
                <c:pt idx="528">
                  <c:v>0.96195592258892204</c:v>
                </c:pt>
                <c:pt idx="529">
                  <c:v>0.96185236038311395</c:v>
                </c:pt>
                <c:pt idx="530">
                  <c:v>0.96181895321995003</c:v>
                </c:pt>
                <c:pt idx="531">
                  <c:v>0.96177218319152002</c:v>
                </c:pt>
                <c:pt idx="532">
                  <c:v>0.961708709581509</c:v>
                </c:pt>
                <c:pt idx="533">
                  <c:v>0.96160848809201704</c:v>
                </c:pt>
                <c:pt idx="534">
                  <c:v>0.96152497018410699</c:v>
                </c:pt>
                <c:pt idx="535">
                  <c:v>0.961451474425146</c:v>
                </c:pt>
                <c:pt idx="536">
                  <c:v>0.96135793436828698</c:v>
                </c:pt>
                <c:pt idx="537">
                  <c:v>0.96128109789300997</c:v>
                </c:pt>
                <c:pt idx="538">
                  <c:v>0.96119757998510102</c:v>
                </c:pt>
                <c:pt idx="539">
                  <c:v>0.96108733634665999</c:v>
                </c:pt>
                <c:pt idx="540">
                  <c:v>0.96101049987138298</c:v>
                </c:pt>
                <c:pt idx="541">
                  <c:v>0.96094702626137096</c:v>
                </c:pt>
                <c:pt idx="542">
                  <c:v>0.96088021193504203</c:v>
                </c:pt>
                <c:pt idx="543">
                  <c:v>0.96082676047398197</c:v>
                </c:pt>
                <c:pt idx="544">
                  <c:v>0.96074658328238804</c:v>
                </c:pt>
                <c:pt idx="545">
                  <c:v>0.96067642823974397</c:v>
                </c:pt>
                <c:pt idx="546">
                  <c:v>0.960589569615516</c:v>
                </c:pt>
                <c:pt idx="547">
                  <c:v>0.96050939242392297</c:v>
                </c:pt>
                <c:pt idx="548">
                  <c:v>0.96041919308337997</c:v>
                </c:pt>
                <c:pt idx="549">
                  <c:v>0.96036574162231803</c:v>
                </c:pt>
                <c:pt idx="550">
                  <c:v>0.96028556443072499</c:v>
                </c:pt>
                <c:pt idx="551">
                  <c:v>0.96021206867176601</c:v>
                </c:pt>
                <c:pt idx="552">
                  <c:v>0.96012855076385595</c:v>
                </c:pt>
                <c:pt idx="553">
                  <c:v>0.960045032855946</c:v>
                </c:pt>
                <c:pt idx="554">
                  <c:v>0.95995483351540301</c:v>
                </c:pt>
                <c:pt idx="555">
                  <c:v>0.959877997040126</c:v>
                </c:pt>
                <c:pt idx="556">
                  <c:v>0.95979113841590002</c:v>
                </c:pt>
                <c:pt idx="557">
                  <c:v>0.95971764265693904</c:v>
                </c:pt>
                <c:pt idx="558">
                  <c:v>0.95965082833061099</c:v>
                </c:pt>
                <c:pt idx="559">
                  <c:v>0.95958735472059997</c:v>
                </c:pt>
                <c:pt idx="560">
                  <c:v>0.95951385896163799</c:v>
                </c:pt>
                <c:pt idx="561">
                  <c:v>0.95945038535162697</c:v>
                </c:pt>
                <c:pt idx="562">
                  <c:v>0.95935350457845203</c:v>
                </c:pt>
                <c:pt idx="563">
                  <c:v>0.95928669025212399</c:v>
                </c:pt>
                <c:pt idx="564">
                  <c:v>0.95922655735842899</c:v>
                </c:pt>
                <c:pt idx="565">
                  <c:v>0.95914303945051904</c:v>
                </c:pt>
                <c:pt idx="566">
                  <c:v>0.95904949939366002</c:v>
                </c:pt>
                <c:pt idx="567">
                  <c:v>0.95895930005311802</c:v>
                </c:pt>
                <c:pt idx="568">
                  <c:v>0.95888914501047295</c:v>
                </c:pt>
                <c:pt idx="569">
                  <c:v>0.95880562710256401</c:v>
                </c:pt>
                <c:pt idx="570">
                  <c:v>0.95870206489675502</c:v>
                </c:pt>
                <c:pt idx="571">
                  <c:v>0.95861854698884597</c:v>
                </c:pt>
                <c:pt idx="572">
                  <c:v>0.95855841409514997</c:v>
                </c:pt>
                <c:pt idx="573">
                  <c:v>0.95848825905250501</c:v>
                </c:pt>
                <c:pt idx="574">
                  <c:v>0.95838469684669902</c:v>
                </c:pt>
                <c:pt idx="575">
                  <c:v>0.95830786037142102</c:v>
                </c:pt>
                <c:pt idx="576">
                  <c:v>0.95825440891035896</c:v>
                </c:pt>
                <c:pt idx="577">
                  <c:v>0.95816086885349905</c:v>
                </c:pt>
                <c:pt idx="578">
                  <c:v>0.958063988080324</c:v>
                </c:pt>
                <c:pt idx="579">
                  <c:v>0.95798381088873197</c:v>
                </c:pt>
                <c:pt idx="580">
                  <c:v>0.95788693011555504</c:v>
                </c:pt>
                <c:pt idx="581">
                  <c:v>0.95779673077501404</c:v>
                </c:pt>
                <c:pt idx="582">
                  <c:v>0.95773325716500102</c:v>
                </c:pt>
                <c:pt idx="583">
                  <c:v>0.95767312427130702</c:v>
                </c:pt>
                <c:pt idx="584">
                  <c:v>0.95758960636339696</c:v>
                </c:pt>
                <c:pt idx="585">
                  <c:v>0.957489384873905</c:v>
                </c:pt>
                <c:pt idx="586">
                  <c:v>0.95741254839862699</c:v>
                </c:pt>
                <c:pt idx="587">
                  <c:v>0.95733237120703496</c:v>
                </c:pt>
                <c:pt idx="588">
                  <c:v>0.95725887544807398</c:v>
                </c:pt>
                <c:pt idx="589">
                  <c:v>0.95717535754016403</c:v>
                </c:pt>
                <c:pt idx="590">
                  <c:v>0.95709852106488702</c:v>
                </c:pt>
                <c:pt idx="591">
                  <c:v>0.957004981008029</c:v>
                </c:pt>
                <c:pt idx="592">
                  <c:v>0.956884715220638</c:v>
                </c:pt>
                <c:pt idx="593">
                  <c:v>0.95682458232694301</c:v>
                </c:pt>
                <c:pt idx="594">
                  <c:v>0.95673772370271604</c:v>
                </c:pt>
                <c:pt idx="595">
                  <c:v>0.95663750221322497</c:v>
                </c:pt>
                <c:pt idx="596">
                  <c:v>0.95657402860321405</c:v>
                </c:pt>
                <c:pt idx="597">
                  <c:v>0.95650053284425296</c:v>
                </c:pt>
                <c:pt idx="598">
                  <c:v>0.95642703708529297</c:v>
                </c:pt>
                <c:pt idx="599">
                  <c:v>0.95630677129790198</c:v>
                </c:pt>
                <c:pt idx="600">
                  <c:v>0.95622659410630895</c:v>
                </c:pt>
                <c:pt idx="601">
                  <c:v>0.95614641691471502</c:v>
                </c:pt>
                <c:pt idx="602">
                  <c:v>0.95607292115575504</c:v>
                </c:pt>
                <c:pt idx="603">
                  <c:v>0.95601946969469298</c:v>
                </c:pt>
                <c:pt idx="604">
                  <c:v>0.95595933680099698</c:v>
                </c:pt>
                <c:pt idx="605">
                  <c:v>0.95585577459519</c:v>
                </c:pt>
                <c:pt idx="606">
                  <c:v>0.95578227883622802</c:v>
                </c:pt>
                <c:pt idx="607">
                  <c:v>0.95571212379358395</c:v>
                </c:pt>
                <c:pt idx="608">
                  <c:v>0.95562526516935797</c:v>
                </c:pt>
                <c:pt idx="609">
                  <c:v>0.95550165866565095</c:v>
                </c:pt>
                <c:pt idx="610">
                  <c:v>0.95543150362300699</c:v>
                </c:pt>
                <c:pt idx="611">
                  <c:v>0.95536803001299597</c:v>
                </c:pt>
                <c:pt idx="612">
                  <c:v>0.95527783067245298</c:v>
                </c:pt>
                <c:pt idx="613">
                  <c:v>0.95518429061559396</c:v>
                </c:pt>
                <c:pt idx="614">
                  <c:v>0.95509075055873405</c:v>
                </c:pt>
                <c:pt idx="615">
                  <c:v>0.95499052906924298</c:v>
                </c:pt>
                <c:pt idx="616">
                  <c:v>0.95488696686343499</c:v>
                </c:pt>
                <c:pt idx="617">
                  <c:v>0.95477338250867705</c:v>
                </c:pt>
                <c:pt idx="618">
                  <c:v>0.95466313887023602</c:v>
                </c:pt>
                <c:pt idx="619">
                  <c:v>0.95457628024601104</c:v>
                </c:pt>
                <c:pt idx="620">
                  <c:v>0.95450612520336597</c:v>
                </c:pt>
                <c:pt idx="621">
                  <c:v>0.95442260729545703</c:v>
                </c:pt>
                <c:pt idx="622">
                  <c:v>0.95432906723859701</c:v>
                </c:pt>
                <c:pt idx="623">
                  <c:v>0.95421882360015697</c:v>
                </c:pt>
                <c:pt idx="624">
                  <c:v>0.95414198712487897</c:v>
                </c:pt>
                <c:pt idx="625">
                  <c:v>0.95406180993328604</c:v>
                </c:pt>
                <c:pt idx="626">
                  <c:v>0.95395156629484501</c:v>
                </c:pt>
                <c:pt idx="627">
                  <c:v>0.95388475196851696</c:v>
                </c:pt>
                <c:pt idx="628">
                  <c:v>0.95378787119534203</c:v>
                </c:pt>
                <c:pt idx="629">
                  <c:v>0.95369433113848201</c:v>
                </c:pt>
                <c:pt idx="630">
                  <c:v>0.95359410964899105</c:v>
                </c:pt>
                <c:pt idx="631">
                  <c:v>0.95351393245739702</c:v>
                </c:pt>
                <c:pt idx="632">
                  <c:v>0.95340368881895698</c:v>
                </c:pt>
                <c:pt idx="633">
                  <c:v>0.95331683019473001</c:v>
                </c:pt>
                <c:pt idx="634">
                  <c:v>0.95323331228682096</c:v>
                </c:pt>
                <c:pt idx="635">
                  <c:v>0.953133090797329</c:v>
                </c:pt>
                <c:pt idx="636">
                  <c:v>0.95305959503836801</c:v>
                </c:pt>
                <c:pt idx="637">
                  <c:v>0.95293932925097902</c:v>
                </c:pt>
                <c:pt idx="638">
                  <c:v>0.95284912991043502</c:v>
                </c:pt>
                <c:pt idx="639">
                  <c:v>0.95276895271884299</c:v>
                </c:pt>
                <c:pt idx="640">
                  <c:v>0.95268209409461602</c:v>
                </c:pt>
                <c:pt idx="641">
                  <c:v>0.95259189475407402</c:v>
                </c:pt>
                <c:pt idx="642">
                  <c:v>0.952528421144061</c:v>
                </c:pt>
                <c:pt idx="643">
                  <c:v>0.95243488108720398</c:v>
                </c:pt>
                <c:pt idx="644">
                  <c:v>0.95233800031402704</c:v>
                </c:pt>
                <c:pt idx="645">
                  <c:v>0.95223777882453498</c:v>
                </c:pt>
                <c:pt idx="646">
                  <c:v>0.95217096449820904</c:v>
                </c:pt>
                <c:pt idx="647">
                  <c:v>0.95203065441292001</c:v>
                </c:pt>
                <c:pt idx="648">
                  <c:v>0.95193377363974396</c:v>
                </c:pt>
                <c:pt idx="649">
                  <c:v>0.95183689286656803</c:v>
                </c:pt>
                <c:pt idx="650">
                  <c:v>0.95173333066076005</c:v>
                </c:pt>
                <c:pt idx="651">
                  <c:v>0.95165983490179895</c:v>
                </c:pt>
                <c:pt idx="652">
                  <c:v>0.951576316993889</c:v>
                </c:pt>
                <c:pt idx="653">
                  <c:v>0.95147275478808202</c:v>
                </c:pt>
                <c:pt idx="654">
                  <c:v>0.95139925902912204</c:v>
                </c:pt>
                <c:pt idx="655">
                  <c:v>0.95130571897226202</c:v>
                </c:pt>
                <c:pt idx="656">
                  <c:v>0.95117877175223997</c:v>
                </c:pt>
                <c:pt idx="657">
                  <c:v>0.95107855026274801</c:v>
                </c:pt>
                <c:pt idx="658">
                  <c:v>0.95099169163852104</c:v>
                </c:pt>
                <c:pt idx="659">
                  <c:v>0.95090817373061098</c:v>
                </c:pt>
                <c:pt idx="660">
                  <c:v>0.95081797439006999</c:v>
                </c:pt>
                <c:pt idx="661">
                  <c:v>0.95070773075162796</c:v>
                </c:pt>
                <c:pt idx="662">
                  <c:v>0.95065427929056601</c:v>
                </c:pt>
                <c:pt idx="663">
                  <c:v>0.95055071708475802</c:v>
                </c:pt>
                <c:pt idx="664">
                  <c:v>0.95043713273000097</c:v>
                </c:pt>
                <c:pt idx="665">
                  <c:v>0.95034025195682503</c:v>
                </c:pt>
                <c:pt idx="666">
                  <c:v>0.95025339333259795</c:v>
                </c:pt>
                <c:pt idx="667">
                  <c:v>0.950169875424689</c:v>
                </c:pt>
                <c:pt idx="668">
                  <c:v>0.95006631321888102</c:v>
                </c:pt>
                <c:pt idx="669">
                  <c:v>0.94994938814780705</c:v>
                </c:pt>
                <c:pt idx="670">
                  <c:v>0.94985918880726405</c:v>
                </c:pt>
                <c:pt idx="671">
                  <c:v>0.94970551585671004</c:v>
                </c:pt>
                <c:pt idx="672">
                  <c:v>0.94963202009774905</c:v>
                </c:pt>
                <c:pt idx="673">
                  <c:v>0.94952177645930802</c:v>
                </c:pt>
                <c:pt idx="674">
                  <c:v>0.94940151067191803</c:v>
                </c:pt>
                <c:pt idx="675">
                  <c:v>0.94930797061506</c:v>
                </c:pt>
                <c:pt idx="676">
                  <c:v>0.94923781557241405</c:v>
                </c:pt>
                <c:pt idx="677">
                  <c:v>0.94913759408292397</c:v>
                </c:pt>
                <c:pt idx="678">
                  <c:v>0.94903403187711599</c:v>
                </c:pt>
                <c:pt idx="679">
                  <c:v>0.94893046967130701</c:v>
                </c:pt>
                <c:pt idx="680">
                  <c:v>0.94882690746550002</c:v>
                </c:pt>
                <c:pt idx="681">
                  <c:v>0.94869327881284304</c:v>
                </c:pt>
                <c:pt idx="682">
                  <c:v>0.94858303517440201</c:v>
                </c:pt>
                <c:pt idx="683">
                  <c:v>0.94845274723806205</c:v>
                </c:pt>
                <c:pt idx="684">
                  <c:v>0.94838927362805103</c:v>
                </c:pt>
                <c:pt idx="685">
                  <c:v>0.94825230425908003</c:v>
                </c:pt>
                <c:pt idx="686">
                  <c:v>0.94817546778380302</c:v>
                </c:pt>
                <c:pt idx="687">
                  <c:v>0.94809529059220898</c:v>
                </c:pt>
                <c:pt idx="688">
                  <c:v>0.94800843196798401</c:v>
                </c:pt>
                <c:pt idx="689">
                  <c:v>0.94793493620902203</c:v>
                </c:pt>
                <c:pt idx="690">
                  <c:v>0.94781467042163303</c:v>
                </c:pt>
                <c:pt idx="691">
                  <c:v>0.94772447108108804</c:v>
                </c:pt>
                <c:pt idx="692">
                  <c:v>0.94761756815896503</c:v>
                </c:pt>
                <c:pt idx="693">
                  <c:v>0.94756077598158694</c:v>
                </c:pt>
                <c:pt idx="694">
                  <c:v>0.94744719162683</c:v>
                </c:pt>
                <c:pt idx="695">
                  <c:v>0.94735031085365395</c:v>
                </c:pt>
                <c:pt idx="696">
                  <c:v>0.94724340793152795</c:v>
                </c:pt>
                <c:pt idx="697">
                  <c:v>0.94713316429308803</c:v>
                </c:pt>
                <c:pt idx="698">
                  <c:v>0.94702626137096402</c:v>
                </c:pt>
                <c:pt idx="699">
                  <c:v>0.94695610632831895</c:v>
                </c:pt>
                <c:pt idx="700">
                  <c:v>0.94686924770409298</c:v>
                </c:pt>
                <c:pt idx="701">
                  <c:v>0.946782389079867</c:v>
                </c:pt>
                <c:pt idx="702">
                  <c:v>0.94669887117195595</c:v>
                </c:pt>
                <c:pt idx="703">
                  <c:v>0.94663539756194504</c:v>
                </c:pt>
                <c:pt idx="704">
                  <c:v>0.94654185750508701</c:v>
                </c:pt>
                <c:pt idx="705">
                  <c:v>0.94645833959717696</c:v>
                </c:pt>
                <c:pt idx="706">
                  <c:v>0.94636145882400102</c:v>
                </c:pt>
                <c:pt idx="707">
                  <c:v>0.94628462234872401</c:v>
                </c:pt>
                <c:pt idx="708">
                  <c:v>0.94617437871028398</c:v>
                </c:pt>
                <c:pt idx="709">
                  <c:v>0.94609086080237303</c:v>
                </c:pt>
                <c:pt idx="710">
                  <c:v>0.94603072790867904</c:v>
                </c:pt>
                <c:pt idx="711">
                  <c:v>0.945950550717086</c:v>
                </c:pt>
                <c:pt idx="712">
                  <c:v>0.94587371424180799</c:v>
                </c:pt>
                <c:pt idx="713">
                  <c:v>0.94577349275231704</c:v>
                </c:pt>
                <c:pt idx="714">
                  <c:v>0.94568663412808995</c:v>
                </c:pt>
                <c:pt idx="715">
                  <c:v>0.94561647908544599</c:v>
                </c:pt>
                <c:pt idx="716">
                  <c:v>0.94554632404280203</c:v>
                </c:pt>
                <c:pt idx="717">
                  <c:v>0.94542271753909501</c:v>
                </c:pt>
                <c:pt idx="718">
                  <c:v>0.94533919963118496</c:v>
                </c:pt>
                <c:pt idx="719">
                  <c:v>0.94525568172327501</c:v>
                </c:pt>
                <c:pt idx="720">
                  <c:v>0.94515880095009897</c:v>
                </c:pt>
                <c:pt idx="721">
                  <c:v>0.94505523874429098</c:v>
                </c:pt>
                <c:pt idx="722">
                  <c:v>0.94497506155269795</c:v>
                </c:pt>
                <c:pt idx="723">
                  <c:v>0.94487484006320699</c:v>
                </c:pt>
                <c:pt idx="724">
                  <c:v>0.94480802573687905</c:v>
                </c:pt>
                <c:pt idx="725">
                  <c:v>0.94472116711265297</c:v>
                </c:pt>
                <c:pt idx="726">
                  <c:v>0.94462762705579295</c:v>
                </c:pt>
                <c:pt idx="727">
                  <c:v>0.94452072413367005</c:v>
                </c:pt>
                <c:pt idx="728">
                  <c:v>0.94443052479312695</c:v>
                </c:pt>
                <c:pt idx="729">
                  <c:v>0.94431025900573595</c:v>
                </c:pt>
                <c:pt idx="730">
                  <c:v>0.94419667465097801</c:v>
                </c:pt>
                <c:pt idx="731">
                  <c:v>0.94406972743095596</c:v>
                </c:pt>
                <c:pt idx="732">
                  <c:v>0.94397284665778103</c:v>
                </c:pt>
                <c:pt idx="733">
                  <c:v>0.94388932874986997</c:v>
                </c:pt>
                <c:pt idx="734">
                  <c:v>0.943802470125645</c:v>
                </c:pt>
                <c:pt idx="735">
                  <c:v>0.943712270785102</c:v>
                </c:pt>
                <c:pt idx="736">
                  <c:v>0.94361204929561104</c:v>
                </c:pt>
                <c:pt idx="737">
                  <c:v>0.943515168522435</c:v>
                </c:pt>
                <c:pt idx="738">
                  <c:v>0.94344167276347402</c:v>
                </c:pt>
                <c:pt idx="739">
                  <c:v>0.94337485843714597</c:v>
                </c:pt>
                <c:pt idx="740">
                  <c:v>0.94329134052923702</c:v>
                </c:pt>
                <c:pt idx="741">
                  <c:v>0.94322452620290798</c:v>
                </c:pt>
                <c:pt idx="742">
                  <c:v>0.94317107474184603</c:v>
                </c:pt>
                <c:pt idx="743">
                  <c:v>0.94306751253603804</c:v>
                </c:pt>
                <c:pt idx="744">
                  <c:v>0.94299735749339397</c:v>
                </c:pt>
                <c:pt idx="745">
                  <c:v>0.94290715815285098</c:v>
                </c:pt>
                <c:pt idx="746">
                  <c:v>0.94282698096125905</c:v>
                </c:pt>
                <c:pt idx="747">
                  <c:v>0.94275682591861298</c:v>
                </c:pt>
                <c:pt idx="748">
                  <c:v>0.94269669302491899</c:v>
                </c:pt>
                <c:pt idx="749">
                  <c:v>0.942623197265957</c:v>
                </c:pt>
                <c:pt idx="750">
                  <c:v>0.94255638293962996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6F-4160-A461-4CE97B888915}"/>
            </c:ext>
          </c:extLst>
        </c:ser>
        <c:ser>
          <c:idx val="3"/>
          <c:order val="3"/>
          <c:tx>
            <c:strRef>
              <c:f>Sheet1!$AQ$1</c:f>
              <c:strCache>
                <c:ptCount val="1"/>
                <c:pt idx="0">
                  <c:v>MEASURED ACM Unvaccinated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Sheet1!$AQ$2:$AQ$752</c:f>
              <c:numCache>
                <c:formatCode>General</c:formatCode>
                <c:ptCount val="751"/>
                <c:pt idx="0">
                  <c:v>1</c:v>
                </c:pt>
                <c:pt idx="1">
                  <c:v>0.98405476102185896</c:v>
                </c:pt>
                <c:pt idx="2">
                  <c:v>0.97320077370989799</c:v>
                </c:pt>
                <c:pt idx="3">
                  <c:v>0.96482225718838599</c:v>
                </c:pt>
                <c:pt idx="4">
                  <c:v>0.95879894566992996</c:v>
                </c:pt>
                <c:pt idx="5">
                  <c:v>0.95305625432205199</c:v>
                </c:pt>
                <c:pt idx="6">
                  <c:v>0.948626464486515</c:v>
                </c:pt>
                <c:pt idx="7">
                  <c:v>0.94478798143898002</c:v>
                </c:pt>
                <c:pt idx="8">
                  <c:v>0.941731226009481</c:v>
                </c:pt>
                <c:pt idx="9">
                  <c:v>0.93881478066527002</c:v>
                </c:pt>
                <c:pt idx="10">
                  <c:v>0.93641948706641698</c:v>
                </c:pt>
                <c:pt idx="11">
                  <c:v>0.93417452570180104</c:v>
                </c:pt>
                <c:pt idx="12">
                  <c:v>0.93192956433718499</c:v>
                </c:pt>
                <c:pt idx="13">
                  <c:v>0.92998526744104404</c:v>
                </c:pt>
                <c:pt idx="14">
                  <c:v>0.92817125848124404</c:v>
                </c:pt>
                <c:pt idx="15">
                  <c:v>0.92668798043676603</c:v>
                </c:pt>
                <c:pt idx="16">
                  <c:v>0.92543521181811805</c:v>
                </c:pt>
                <c:pt idx="17">
                  <c:v>0.92410226600787704</c:v>
                </c:pt>
                <c:pt idx="18">
                  <c:v>0.92290963028292505</c:v>
                </c:pt>
                <c:pt idx="19">
                  <c:v>0.92171699455797196</c:v>
                </c:pt>
                <c:pt idx="20">
                  <c:v>0.92055442527986697</c:v>
                </c:pt>
                <c:pt idx="21">
                  <c:v>0.91966245402339197</c:v>
                </c:pt>
                <c:pt idx="22">
                  <c:v>0.91868028342637098</c:v>
                </c:pt>
                <c:pt idx="23">
                  <c:v>0.91773820142514895</c:v>
                </c:pt>
                <c:pt idx="24">
                  <c:v>0.91687629661551995</c:v>
                </c:pt>
                <c:pt idx="25">
                  <c:v>0.91619479048697605</c:v>
                </c:pt>
                <c:pt idx="26">
                  <c:v>0.91548321791158505</c:v>
                </c:pt>
                <c:pt idx="27">
                  <c:v>0.91492197757043003</c:v>
                </c:pt>
                <c:pt idx="28">
                  <c:v>0.91412020565449603</c:v>
                </c:pt>
                <c:pt idx="29">
                  <c:v>0.91354894316439395</c:v>
                </c:pt>
                <c:pt idx="30">
                  <c:v>0.91304783571693404</c:v>
                </c:pt>
                <c:pt idx="31">
                  <c:v>0.91254672826947503</c:v>
                </c:pt>
                <c:pt idx="32">
                  <c:v>0.91212579801361005</c:v>
                </c:pt>
                <c:pt idx="33">
                  <c:v>0.91155453552350696</c:v>
                </c:pt>
                <c:pt idx="34">
                  <c:v>0.91095320658655499</c:v>
                </c:pt>
                <c:pt idx="35">
                  <c:v>0.910562342777538</c:v>
                </c:pt>
                <c:pt idx="36">
                  <c:v>0.91007125747902795</c:v>
                </c:pt>
                <c:pt idx="37">
                  <c:v>0.90949999498892498</c:v>
                </c:pt>
                <c:pt idx="38">
                  <c:v>0.90906904258411003</c:v>
                </c:pt>
                <c:pt idx="39">
                  <c:v>0.90874833381773801</c:v>
                </c:pt>
                <c:pt idx="40">
                  <c:v>0.90831738141292195</c:v>
                </c:pt>
                <c:pt idx="41">
                  <c:v>0.90784634041231105</c:v>
                </c:pt>
                <c:pt idx="42">
                  <c:v>0.90742541015644596</c:v>
                </c:pt>
                <c:pt idx="43">
                  <c:v>0.90705459064532501</c:v>
                </c:pt>
                <c:pt idx="44">
                  <c:v>0.90663366038946103</c:v>
                </c:pt>
                <c:pt idx="45">
                  <c:v>0.90623277443149297</c:v>
                </c:pt>
                <c:pt idx="46">
                  <c:v>0.90577175557983003</c:v>
                </c:pt>
                <c:pt idx="47">
                  <c:v>0.90537086962186297</c:v>
                </c:pt>
                <c:pt idx="48">
                  <c:v>0.90490985077020203</c:v>
                </c:pt>
                <c:pt idx="49">
                  <c:v>0.90454905340803105</c:v>
                </c:pt>
                <c:pt idx="50">
                  <c:v>0.90411810100321599</c:v>
                </c:pt>
                <c:pt idx="51">
                  <c:v>0.90374728149209804</c:v>
                </c:pt>
                <c:pt idx="52">
                  <c:v>0.90336643983202902</c:v>
                </c:pt>
                <c:pt idx="53">
                  <c:v>0.90294550957616304</c:v>
                </c:pt>
                <c:pt idx="54">
                  <c:v>0.90266488940558598</c:v>
                </c:pt>
                <c:pt idx="55">
                  <c:v>0.902243959149721</c:v>
                </c:pt>
                <c:pt idx="56">
                  <c:v>0.90195331683019497</c:v>
                </c:pt>
                <c:pt idx="57">
                  <c:v>0.90162258591487199</c:v>
                </c:pt>
                <c:pt idx="58">
                  <c:v>0.901321921446396</c:v>
                </c:pt>
                <c:pt idx="59">
                  <c:v>0.90104130127581905</c:v>
                </c:pt>
                <c:pt idx="60">
                  <c:v>0.90078072540314102</c:v>
                </c:pt>
                <c:pt idx="61">
                  <c:v>0.900490083083615</c:v>
                </c:pt>
                <c:pt idx="62">
                  <c:v>0.90014933001934205</c:v>
                </c:pt>
                <c:pt idx="63">
                  <c:v>0.89983864340191799</c:v>
                </c:pt>
                <c:pt idx="64">
                  <c:v>0.89950791248659501</c:v>
                </c:pt>
                <c:pt idx="65">
                  <c:v>0.89923731446496702</c:v>
                </c:pt>
                <c:pt idx="66">
                  <c:v>0.89894667214544099</c:v>
                </c:pt>
                <c:pt idx="67">
                  <c:v>0.898736207017509</c:v>
                </c:pt>
                <c:pt idx="68">
                  <c:v>0.89848565329377805</c:v>
                </c:pt>
                <c:pt idx="69">
                  <c:v>0.89826516601689699</c:v>
                </c:pt>
                <c:pt idx="70">
                  <c:v>0.89807474518686303</c:v>
                </c:pt>
                <c:pt idx="71">
                  <c:v>0.89770392567574397</c:v>
                </c:pt>
                <c:pt idx="72">
                  <c:v>0.89744334980306395</c:v>
                </c:pt>
                <c:pt idx="73">
                  <c:v>0.897192796079335</c:v>
                </c:pt>
                <c:pt idx="74">
                  <c:v>0.89697230880245304</c:v>
                </c:pt>
                <c:pt idx="75">
                  <c:v>0.89670171078082594</c:v>
                </c:pt>
                <c:pt idx="76">
                  <c:v>0.89644113490814603</c:v>
                </c:pt>
                <c:pt idx="77">
                  <c:v>0.89620060333336704</c:v>
                </c:pt>
                <c:pt idx="78">
                  <c:v>0.89600016035438301</c:v>
                </c:pt>
                <c:pt idx="79">
                  <c:v>0.89576965092855199</c:v>
                </c:pt>
                <c:pt idx="80">
                  <c:v>0.89554916365167003</c:v>
                </c:pt>
                <c:pt idx="81">
                  <c:v>0.89533869852373704</c:v>
                </c:pt>
                <c:pt idx="82">
                  <c:v>0.89503803405526094</c:v>
                </c:pt>
                <c:pt idx="83">
                  <c:v>0.89490774611892199</c:v>
                </c:pt>
                <c:pt idx="84">
                  <c:v>0.894607081650447</c:v>
                </c:pt>
                <c:pt idx="85">
                  <c:v>0.89442668296936201</c:v>
                </c:pt>
                <c:pt idx="86">
                  <c:v>0.89414606279878395</c:v>
                </c:pt>
                <c:pt idx="87">
                  <c:v>0.89392557552190299</c:v>
                </c:pt>
                <c:pt idx="88">
                  <c:v>0.893775243287665</c:v>
                </c:pt>
                <c:pt idx="89">
                  <c:v>0.89350464526603701</c:v>
                </c:pt>
                <c:pt idx="90">
                  <c:v>0.89326411369125702</c:v>
                </c:pt>
                <c:pt idx="91">
                  <c:v>0.89312380360596899</c:v>
                </c:pt>
                <c:pt idx="92">
                  <c:v>0.89298349352067996</c:v>
                </c:pt>
                <c:pt idx="93">
                  <c:v>0.89268282905220497</c:v>
                </c:pt>
                <c:pt idx="94">
                  <c:v>0.89248238607322194</c:v>
                </c:pt>
                <c:pt idx="95">
                  <c:v>0.89228194309423803</c:v>
                </c:pt>
                <c:pt idx="96">
                  <c:v>0.89206145581735596</c:v>
                </c:pt>
                <c:pt idx="97">
                  <c:v>0.89185099068942297</c:v>
                </c:pt>
                <c:pt idx="98">
                  <c:v>0.89166056985938802</c:v>
                </c:pt>
                <c:pt idx="99">
                  <c:v>0.89146012688040499</c:v>
                </c:pt>
                <c:pt idx="100">
                  <c:v>0.89123963960352304</c:v>
                </c:pt>
                <c:pt idx="101">
                  <c:v>0.89098908587979397</c:v>
                </c:pt>
                <c:pt idx="102">
                  <c:v>0.89074855430501299</c:v>
                </c:pt>
                <c:pt idx="103">
                  <c:v>0.89045791198548796</c:v>
                </c:pt>
                <c:pt idx="104">
                  <c:v>0.89024744685755397</c:v>
                </c:pt>
                <c:pt idx="105">
                  <c:v>0.88998687098487606</c:v>
                </c:pt>
                <c:pt idx="106">
                  <c:v>0.88981649445274102</c:v>
                </c:pt>
                <c:pt idx="107">
                  <c:v>0.889646117920604</c:v>
                </c:pt>
                <c:pt idx="108">
                  <c:v>0.88944567494161997</c:v>
                </c:pt>
                <c:pt idx="109">
                  <c:v>0.88925525411158701</c:v>
                </c:pt>
                <c:pt idx="110">
                  <c:v>0.88903476683470495</c:v>
                </c:pt>
                <c:pt idx="111">
                  <c:v>0.88885436815361996</c:v>
                </c:pt>
                <c:pt idx="112">
                  <c:v>0.888633880876737</c:v>
                </c:pt>
                <c:pt idx="113">
                  <c:v>0.88845348219565301</c:v>
                </c:pt>
                <c:pt idx="114">
                  <c:v>0.88821295062087202</c:v>
                </c:pt>
                <c:pt idx="115">
                  <c:v>0.88799246334398896</c:v>
                </c:pt>
                <c:pt idx="116">
                  <c:v>0.88781206466290497</c:v>
                </c:pt>
                <c:pt idx="117">
                  <c:v>0.88762164383287001</c:v>
                </c:pt>
                <c:pt idx="118">
                  <c:v>0.88744124515178502</c:v>
                </c:pt>
                <c:pt idx="119">
                  <c:v>0.88723078002385203</c:v>
                </c:pt>
                <c:pt idx="120">
                  <c:v>0.88701029274696996</c:v>
                </c:pt>
                <c:pt idx="121">
                  <c:v>0.88679982761903697</c:v>
                </c:pt>
                <c:pt idx="122">
                  <c:v>0.88660940678900302</c:v>
                </c:pt>
                <c:pt idx="123">
                  <c:v>0.88636887521422303</c:v>
                </c:pt>
                <c:pt idx="124">
                  <c:v>0.886198498682087</c:v>
                </c:pt>
                <c:pt idx="125">
                  <c:v>0.88593792280940797</c:v>
                </c:pt>
                <c:pt idx="126">
                  <c:v>0.88567734693672895</c:v>
                </c:pt>
                <c:pt idx="127">
                  <c:v>0.88558714759618695</c:v>
                </c:pt>
                <c:pt idx="128">
                  <c:v>0.88545685965984799</c:v>
                </c:pt>
                <c:pt idx="129">
                  <c:v>0.88526643882981304</c:v>
                </c:pt>
                <c:pt idx="130">
                  <c:v>0.88501588510608498</c:v>
                </c:pt>
                <c:pt idx="131">
                  <c:v>0.88485553072289702</c:v>
                </c:pt>
                <c:pt idx="132">
                  <c:v>0.88464506559496503</c:v>
                </c:pt>
                <c:pt idx="133">
                  <c:v>0.88446466691387904</c:v>
                </c:pt>
                <c:pt idx="134">
                  <c:v>0.88421411319014998</c:v>
                </c:pt>
                <c:pt idx="135">
                  <c:v>0.88393349301957203</c:v>
                </c:pt>
                <c:pt idx="136">
                  <c:v>0.88375309433848703</c:v>
                </c:pt>
                <c:pt idx="137">
                  <c:v>0.88351256276370804</c:v>
                </c:pt>
                <c:pt idx="138">
                  <c:v>0.88333216408262105</c:v>
                </c:pt>
                <c:pt idx="139">
                  <c:v>0.88303149961414695</c:v>
                </c:pt>
                <c:pt idx="140">
                  <c:v>0.88285110093306196</c:v>
                </c:pt>
                <c:pt idx="141">
                  <c:v>0.88273083514567197</c:v>
                </c:pt>
                <c:pt idx="142">
                  <c:v>0.88263061365618001</c:v>
                </c:pt>
                <c:pt idx="143">
                  <c:v>0.88240010423034898</c:v>
                </c:pt>
                <c:pt idx="144">
                  <c:v>0.88216959480451795</c:v>
                </c:pt>
                <c:pt idx="145">
                  <c:v>0.88195912967658396</c:v>
                </c:pt>
                <c:pt idx="146">
                  <c:v>0.88170857595285601</c:v>
                </c:pt>
                <c:pt idx="147">
                  <c:v>0.88147806652702498</c:v>
                </c:pt>
                <c:pt idx="148">
                  <c:v>0.88133775644173595</c:v>
                </c:pt>
                <c:pt idx="149">
                  <c:v>0.881177402058549</c:v>
                </c:pt>
                <c:pt idx="150">
                  <c:v>0.88093687048376901</c:v>
                </c:pt>
                <c:pt idx="151">
                  <c:v>0.88075647180268402</c:v>
                </c:pt>
                <c:pt idx="152">
                  <c:v>0.88057607312159902</c:v>
                </c:pt>
                <c:pt idx="153">
                  <c:v>0.88040569658946199</c:v>
                </c:pt>
                <c:pt idx="154">
                  <c:v>0.88017518716363097</c:v>
                </c:pt>
                <c:pt idx="155">
                  <c:v>0.88000481063149505</c:v>
                </c:pt>
                <c:pt idx="156">
                  <c:v>0.87980436765251102</c:v>
                </c:pt>
                <c:pt idx="157">
                  <c:v>0.87963399112037599</c:v>
                </c:pt>
                <c:pt idx="158">
                  <c:v>0.87949368103508796</c:v>
                </c:pt>
                <c:pt idx="159">
                  <c:v>0.87929323805610304</c:v>
                </c:pt>
                <c:pt idx="160">
                  <c:v>0.87907275077922198</c:v>
                </c:pt>
                <c:pt idx="161">
                  <c:v>0.87880215275759399</c:v>
                </c:pt>
                <c:pt idx="162">
                  <c:v>0.87860170977861096</c:v>
                </c:pt>
                <c:pt idx="163">
                  <c:v>0.87845137754437197</c:v>
                </c:pt>
                <c:pt idx="164">
                  <c:v>0.87828100101223705</c:v>
                </c:pt>
                <c:pt idx="165">
                  <c:v>0.87810060233115095</c:v>
                </c:pt>
                <c:pt idx="166">
                  <c:v>0.87796029224586303</c:v>
                </c:pt>
                <c:pt idx="167">
                  <c:v>0.87776987141582796</c:v>
                </c:pt>
                <c:pt idx="168">
                  <c:v>0.87758947273474397</c:v>
                </c:pt>
                <c:pt idx="169">
                  <c:v>0.87739905190470902</c:v>
                </c:pt>
                <c:pt idx="170">
                  <c:v>0.87717856462782695</c:v>
                </c:pt>
                <c:pt idx="171">
                  <c:v>0.87693803305304696</c:v>
                </c:pt>
                <c:pt idx="172">
                  <c:v>0.87676765652091004</c:v>
                </c:pt>
                <c:pt idx="173">
                  <c:v>0.87653714709508002</c:v>
                </c:pt>
                <c:pt idx="174">
                  <c:v>0.87636677056294299</c:v>
                </c:pt>
                <c:pt idx="175">
                  <c:v>0.87617634973290903</c:v>
                </c:pt>
                <c:pt idx="176">
                  <c:v>0.87591577386023101</c:v>
                </c:pt>
                <c:pt idx="177">
                  <c:v>0.87577546377494198</c:v>
                </c:pt>
                <c:pt idx="178">
                  <c:v>0.87562513154070398</c:v>
                </c:pt>
                <c:pt idx="179">
                  <c:v>0.87548482145541595</c:v>
                </c:pt>
                <c:pt idx="180">
                  <c:v>0.875294400625382</c:v>
                </c:pt>
                <c:pt idx="181">
                  <c:v>0.87506389119954997</c:v>
                </c:pt>
                <c:pt idx="182">
                  <c:v>0.87485342607161798</c:v>
                </c:pt>
                <c:pt idx="183">
                  <c:v>0.87469307168843202</c:v>
                </c:pt>
                <c:pt idx="184">
                  <c:v>0.87447258441154996</c:v>
                </c:pt>
                <c:pt idx="185">
                  <c:v>0.874282163581514</c:v>
                </c:pt>
                <c:pt idx="186">
                  <c:v>0.87409174275148105</c:v>
                </c:pt>
                <c:pt idx="187">
                  <c:v>0.87390132192144598</c:v>
                </c:pt>
                <c:pt idx="188">
                  <c:v>0.87367081249561596</c:v>
                </c:pt>
                <c:pt idx="189">
                  <c:v>0.87352048026137696</c:v>
                </c:pt>
                <c:pt idx="190">
                  <c:v>0.87335010372924105</c:v>
                </c:pt>
                <c:pt idx="191">
                  <c:v>0.87320979364395201</c:v>
                </c:pt>
                <c:pt idx="192">
                  <c:v>0.87304943926076595</c:v>
                </c:pt>
                <c:pt idx="193">
                  <c:v>0.87275879694124003</c:v>
                </c:pt>
                <c:pt idx="194">
                  <c:v>0.872618486855951</c:v>
                </c:pt>
                <c:pt idx="195">
                  <c:v>0.87244811032381497</c:v>
                </c:pt>
                <c:pt idx="196">
                  <c:v>0.87224766734483195</c:v>
                </c:pt>
                <c:pt idx="197">
                  <c:v>0.87205724651479799</c:v>
                </c:pt>
                <c:pt idx="198">
                  <c:v>0.871876847833712</c:v>
                </c:pt>
                <c:pt idx="199">
                  <c:v>0.87160624981208401</c:v>
                </c:pt>
                <c:pt idx="200">
                  <c:v>0.87142585113100002</c:v>
                </c:pt>
                <c:pt idx="201">
                  <c:v>0.87126549674781195</c:v>
                </c:pt>
                <c:pt idx="202">
                  <c:v>0.871075075917777</c:v>
                </c:pt>
                <c:pt idx="203">
                  <c:v>0.87085458864089704</c:v>
                </c:pt>
                <c:pt idx="204">
                  <c:v>0.87060403491716698</c:v>
                </c:pt>
                <c:pt idx="205">
                  <c:v>0.87038354764028403</c:v>
                </c:pt>
                <c:pt idx="206">
                  <c:v>0.87011294961865604</c:v>
                </c:pt>
                <c:pt idx="207">
                  <c:v>0.86992252878862197</c:v>
                </c:pt>
                <c:pt idx="208">
                  <c:v>0.86968199721384298</c:v>
                </c:pt>
                <c:pt idx="209">
                  <c:v>0.86949157638380803</c:v>
                </c:pt>
                <c:pt idx="210">
                  <c:v>0.86924102266007797</c:v>
                </c:pt>
                <c:pt idx="211">
                  <c:v>0.86903055753214598</c:v>
                </c:pt>
                <c:pt idx="212">
                  <c:v>0.86880004810631495</c:v>
                </c:pt>
                <c:pt idx="213">
                  <c:v>0.86856953868048403</c:v>
                </c:pt>
                <c:pt idx="214">
                  <c:v>0.868429228595196</c:v>
                </c:pt>
                <c:pt idx="215">
                  <c:v>0.86824882991411001</c:v>
                </c:pt>
                <c:pt idx="216">
                  <c:v>0.86794816544563502</c:v>
                </c:pt>
                <c:pt idx="217">
                  <c:v>0.86773770031770203</c:v>
                </c:pt>
                <c:pt idx="218">
                  <c:v>0.86750719089187101</c:v>
                </c:pt>
                <c:pt idx="219">
                  <c:v>0.86728670361498805</c:v>
                </c:pt>
                <c:pt idx="220">
                  <c:v>0.86698603914651295</c:v>
                </c:pt>
                <c:pt idx="221">
                  <c:v>0.86674550757173296</c:v>
                </c:pt>
                <c:pt idx="222">
                  <c:v>0.86653504244379997</c:v>
                </c:pt>
                <c:pt idx="223">
                  <c:v>0.86626444442217199</c:v>
                </c:pt>
                <c:pt idx="224">
                  <c:v>0.865993846400544</c:v>
                </c:pt>
                <c:pt idx="225">
                  <c:v>0.86569318193207001</c:v>
                </c:pt>
                <c:pt idx="226">
                  <c:v>0.86547269465518695</c:v>
                </c:pt>
                <c:pt idx="227">
                  <c:v>0.86521211878250803</c:v>
                </c:pt>
                <c:pt idx="228">
                  <c:v>0.86498160935667801</c:v>
                </c:pt>
                <c:pt idx="229">
                  <c:v>0.86474107778189702</c:v>
                </c:pt>
                <c:pt idx="230">
                  <c:v>0.86455065695186395</c:v>
                </c:pt>
                <c:pt idx="231">
                  <c:v>0.86429008107918504</c:v>
                </c:pt>
                <c:pt idx="232">
                  <c:v>0.86412972669599797</c:v>
                </c:pt>
                <c:pt idx="233">
                  <c:v>0.86379899578067498</c:v>
                </c:pt>
                <c:pt idx="234">
                  <c:v>0.86355846420589399</c:v>
                </c:pt>
                <c:pt idx="235">
                  <c:v>0.86326782188636797</c:v>
                </c:pt>
                <c:pt idx="236">
                  <c:v>0.86301726816264002</c:v>
                </c:pt>
                <c:pt idx="237">
                  <c:v>0.86276671443890895</c:v>
                </c:pt>
                <c:pt idx="238">
                  <c:v>0.86255624931097696</c:v>
                </c:pt>
                <c:pt idx="239">
                  <c:v>0.86229567343829805</c:v>
                </c:pt>
                <c:pt idx="240">
                  <c:v>0.86201505326772099</c:v>
                </c:pt>
                <c:pt idx="241">
                  <c:v>0.86181461028873796</c:v>
                </c:pt>
                <c:pt idx="242">
                  <c:v>0.86155403441605904</c:v>
                </c:pt>
                <c:pt idx="243">
                  <c:v>0.86138365788392302</c:v>
                </c:pt>
                <c:pt idx="244">
                  <c:v>0.86117319275599102</c:v>
                </c:pt>
                <c:pt idx="245">
                  <c:v>0.860852483989617</c:v>
                </c:pt>
                <c:pt idx="246">
                  <c:v>0.86069212960643005</c:v>
                </c:pt>
                <c:pt idx="247">
                  <c:v>0.86044157588270098</c:v>
                </c:pt>
                <c:pt idx="248">
                  <c:v>0.860140911414225</c:v>
                </c:pt>
                <c:pt idx="249">
                  <c:v>0.85996051273314</c:v>
                </c:pt>
                <c:pt idx="250">
                  <c:v>0.85983022479680005</c:v>
                </c:pt>
                <c:pt idx="251">
                  <c:v>0.85953958247727402</c:v>
                </c:pt>
                <c:pt idx="252">
                  <c:v>0.85936920594513799</c:v>
                </c:pt>
                <c:pt idx="253">
                  <c:v>0.85908858577456204</c:v>
                </c:pt>
                <c:pt idx="254">
                  <c:v>0.85887812064662805</c:v>
                </c:pt>
                <c:pt idx="255">
                  <c:v>0.85862756692289899</c:v>
                </c:pt>
                <c:pt idx="256">
                  <c:v>0.85836699105021996</c:v>
                </c:pt>
                <c:pt idx="257">
                  <c:v>0.85820663666703301</c:v>
                </c:pt>
                <c:pt idx="258">
                  <c:v>0.85808637087964301</c:v>
                </c:pt>
                <c:pt idx="259">
                  <c:v>0.85783581715591395</c:v>
                </c:pt>
                <c:pt idx="260">
                  <c:v>0.85769550707062603</c:v>
                </c:pt>
                <c:pt idx="261">
                  <c:v>0.85747501979374396</c:v>
                </c:pt>
                <c:pt idx="262">
                  <c:v>0.85725453251686101</c:v>
                </c:pt>
                <c:pt idx="263">
                  <c:v>0.85702402309103098</c:v>
                </c:pt>
                <c:pt idx="264">
                  <c:v>0.85677346936730203</c:v>
                </c:pt>
                <c:pt idx="265">
                  <c:v>0.856603092835166</c:v>
                </c:pt>
                <c:pt idx="266">
                  <c:v>0.85639262770723201</c:v>
                </c:pt>
                <c:pt idx="267">
                  <c:v>0.85623227332404594</c:v>
                </c:pt>
                <c:pt idx="268">
                  <c:v>0.85598171960031699</c:v>
                </c:pt>
                <c:pt idx="269">
                  <c:v>0.85578127662133296</c:v>
                </c:pt>
                <c:pt idx="270">
                  <c:v>0.85558083364234805</c:v>
                </c:pt>
                <c:pt idx="271">
                  <c:v>0.85533027991861998</c:v>
                </c:pt>
                <c:pt idx="272">
                  <c:v>0.85507972619489103</c:v>
                </c:pt>
                <c:pt idx="273">
                  <c:v>0.85492939396065304</c:v>
                </c:pt>
                <c:pt idx="274">
                  <c:v>0.85478908387536401</c:v>
                </c:pt>
                <c:pt idx="275">
                  <c:v>0.85465879593902405</c:v>
                </c:pt>
                <c:pt idx="276">
                  <c:v>0.85454855230058402</c:v>
                </c:pt>
                <c:pt idx="277">
                  <c:v>0.85433808717265103</c:v>
                </c:pt>
                <c:pt idx="278">
                  <c:v>0.85412762204471904</c:v>
                </c:pt>
                <c:pt idx="279">
                  <c:v>0.85398731195942901</c:v>
                </c:pt>
                <c:pt idx="280">
                  <c:v>0.85375680253359998</c:v>
                </c:pt>
                <c:pt idx="281">
                  <c:v>0.85360647029936199</c:v>
                </c:pt>
                <c:pt idx="282">
                  <c:v>0.85341604946932603</c:v>
                </c:pt>
                <c:pt idx="283">
                  <c:v>0.85326571723508904</c:v>
                </c:pt>
                <c:pt idx="284">
                  <c:v>0.85305525210715605</c:v>
                </c:pt>
                <c:pt idx="285">
                  <c:v>0.85290491987291905</c:v>
                </c:pt>
                <c:pt idx="286">
                  <c:v>0.85280469838342698</c:v>
                </c:pt>
                <c:pt idx="287">
                  <c:v>0.85266438829813795</c:v>
                </c:pt>
                <c:pt idx="288">
                  <c:v>0.852504033914952</c:v>
                </c:pt>
                <c:pt idx="289">
                  <c:v>0.85228354663806905</c:v>
                </c:pt>
                <c:pt idx="290">
                  <c:v>0.85212319225488398</c:v>
                </c:pt>
                <c:pt idx="291">
                  <c:v>0.85198288216959395</c:v>
                </c:pt>
                <c:pt idx="292">
                  <c:v>0.85183254993535695</c:v>
                </c:pt>
                <c:pt idx="293">
                  <c:v>0.85171228414796596</c:v>
                </c:pt>
                <c:pt idx="294">
                  <c:v>0.85156195191372797</c:v>
                </c:pt>
                <c:pt idx="295">
                  <c:v>0.85143166397739001</c:v>
                </c:pt>
                <c:pt idx="296">
                  <c:v>0.85134146463684801</c:v>
                </c:pt>
                <c:pt idx="297">
                  <c:v>0.85117108810471098</c:v>
                </c:pt>
                <c:pt idx="298">
                  <c:v>0.85108088876416799</c:v>
                </c:pt>
                <c:pt idx="299">
                  <c:v>0.85096062297677799</c:v>
                </c:pt>
                <c:pt idx="300">
                  <c:v>0.85082031289148996</c:v>
                </c:pt>
                <c:pt idx="301">
                  <c:v>0.85071006925304804</c:v>
                </c:pt>
                <c:pt idx="302">
                  <c:v>0.85059982561460801</c:v>
                </c:pt>
                <c:pt idx="303">
                  <c:v>0.85043947123142105</c:v>
                </c:pt>
                <c:pt idx="304">
                  <c:v>0.85031920544403095</c:v>
                </c:pt>
                <c:pt idx="305">
                  <c:v>0.85018891750769099</c:v>
                </c:pt>
                <c:pt idx="306">
                  <c:v>0.85005862957135203</c:v>
                </c:pt>
                <c:pt idx="307">
                  <c:v>0.84989827518816596</c:v>
                </c:pt>
                <c:pt idx="308">
                  <c:v>0.84972789865602905</c:v>
                </c:pt>
                <c:pt idx="309">
                  <c:v>0.84955752212389302</c:v>
                </c:pt>
                <c:pt idx="310">
                  <c:v>0.84938714559175799</c:v>
                </c:pt>
                <c:pt idx="311">
                  <c:v>0.84925685765541803</c:v>
                </c:pt>
                <c:pt idx="312">
                  <c:v>0.84910652542118104</c:v>
                </c:pt>
                <c:pt idx="313">
                  <c:v>0.84899628178274</c:v>
                </c:pt>
                <c:pt idx="314">
                  <c:v>0.84884594954850201</c:v>
                </c:pt>
                <c:pt idx="315">
                  <c:v>0.84864550656951798</c:v>
                </c:pt>
                <c:pt idx="316">
                  <c:v>0.84857535152687402</c:v>
                </c:pt>
                <c:pt idx="317">
                  <c:v>0.84839495284578803</c:v>
                </c:pt>
                <c:pt idx="318">
                  <c:v>0.848314775654195</c:v>
                </c:pt>
                <c:pt idx="319">
                  <c:v>0.84820453201575496</c:v>
                </c:pt>
                <c:pt idx="320">
                  <c:v>0.84810431052626301</c:v>
                </c:pt>
                <c:pt idx="321">
                  <c:v>0.84787380110043198</c:v>
                </c:pt>
                <c:pt idx="322">
                  <c:v>0.84777357961094002</c:v>
                </c:pt>
                <c:pt idx="323">
                  <c:v>0.84761322522775295</c:v>
                </c:pt>
                <c:pt idx="324">
                  <c:v>0.84744284869561703</c:v>
                </c:pt>
                <c:pt idx="325">
                  <c:v>0.84728249431243097</c:v>
                </c:pt>
                <c:pt idx="326">
                  <c:v>0.84709207348239601</c:v>
                </c:pt>
                <c:pt idx="327">
                  <c:v>0.84698182984395498</c:v>
                </c:pt>
                <c:pt idx="328">
                  <c:v>0.84684151975866595</c:v>
                </c:pt>
                <c:pt idx="329">
                  <c:v>0.84670120967337803</c:v>
                </c:pt>
                <c:pt idx="330">
                  <c:v>0.84660098818388596</c:v>
                </c:pt>
                <c:pt idx="331">
                  <c:v>0.84649074454544604</c:v>
                </c:pt>
                <c:pt idx="332">
                  <c:v>0.84621012437486898</c:v>
                </c:pt>
                <c:pt idx="333">
                  <c:v>0.84607983643852802</c:v>
                </c:pt>
                <c:pt idx="334">
                  <c:v>0.84593952635323999</c:v>
                </c:pt>
                <c:pt idx="335">
                  <c:v>0.845759127672155</c:v>
                </c:pt>
                <c:pt idx="336">
                  <c:v>0.845608795437917</c:v>
                </c:pt>
                <c:pt idx="337">
                  <c:v>0.84543841890578197</c:v>
                </c:pt>
                <c:pt idx="338">
                  <c:v>0.84533819741629002</c:v>
                </c:pt>
                <c:pt idx="339">
                  <c:v>0.84514777658625595</c:v>
                </c:pt>
                <c:pt idx="340">
                  <c:v>0.84505757724571195</c:v>
                </c:pt>
                <c:pt idx="341">
                  <c:v>0.84497740005411903</c:v>
                </c:pt>
                <c:pt idx="342">
                  <c:v>0.84481704567093296</c:v>
                </c:pt>
                <c:pt idx="343">
                  <c:v>0.84472684633038897</c:v>
                </c:pt>
                <c:pt idx="344">
                  <c:v>0.84457651409615198</c:v>
                </c:pt>
                <c:pt idx="345">
                  <c:v>0.84450635905350802</c:v>
                </c:pt>
                <c:pt idx="346">
                  <c:v>0.84437607111716795</c:v>
                </c:pt>
                <c:pt idx="347">
                  <c:v>0.84420569458503303</c:v>
                </c:pt>
                <c:pt idx="348">
                  <c:v>0.844095450946591</c:v>
                </c:pt>
                <c:pt idx="349">
                  <c:v>0.84395514086130297</c:v>
                </c:pt>
                <c:pt idx="350">
                  <c:v>0.84377474218021797</c:v>
                </c:pt>
                <c:pt idx="351">
                  <c:v>0.84355425490333602</c:v>
                </c:pt>
                <c:pt idx="352">
                  <c:v>0.84341394481804699</c:v>
                </c:pt>
                <c:pt idx="353">
                  <c:v>0.84328365688170803</c:v>
                </c:pt>
                <c:pt idx="354">
                  <c:v>0.84312330249852196</c:v>
                </c:pt>
                <c:pt idx="355">
                  <c:v>0.84297297026428397</c:v>
                </c:pt>
                <c:pt idx="356">
                  <c:v>0.84284268232794401</c:v>
                </c:pt>
                <c:pt idx="357">
                  <c:v>0.84266228364686002</c:v>
                </c:pt>
                <c:pt idx="358">
                  <c:v>0.84257208430631703</c:v>
                </c:pt>
                <c:pt idx="359">
                  <c:v>0.84245181851892703</c:v>
                </c:pt>
                <c:pt idx="360">
                  <c:v>0.842251375539943</c:v>
                </c:pt>
                <c:pt idx="361">
                  <c:v>0.84215115405045105</c:v>
                </c:pt>
                <c:pt idx="362">
                  <c:v>0.84202086611411098</c:v>
                </c:pt>
                <c:pt idx="363">
                  <c:v>0.84189057817777302</c:v>
                </c:pt>
                <c:pt idx="364">
                  <c:v>0.84177031239038302</c:v>
                </c:pt>
                <c:pt idx="365">
                  <c:v>0.84170015734773795</c:v>
                </c:pt>
                <c:pt idx="366">
                  <c:v>0.84152978081560204</c:v>
                </c:pt>
                <c:pt idx="367">
                  <c:v>0.841449603624009</c:v>
                </c:pt>
                <c:pt idx="368">
                  <c:v>0.84129927138977101</c:v>
                </c:pt>
                <c:pt idx="369">
                  <c:v>0.84123913849607701</c:v>
                </c:pt>
                <c:pt idx="370">
                  <c:v>0.84117900560238101</c:v>
                </c:pt>
                <c:pt idx="371">
                  <c:v>0.84098858477234595</c:v>
                </c:pt>
                <c:pt idx="372">
                  <c:v>0.84081820824021003</c:v>
                </c:pt>
                <c:pt idx="373">
                  <c:v>0.84070796460177</c:v>
                </c:pt>
                <c:pt idx="374">
                  <c:v>0.84058769881438</c:v>
                </c:pt>
                <c:pt idx="375">
                  <c:v>0.84045741087804005</c:v>
                </c:pt>
                <c:pt idx="376">
                  <c:v>0.84032712294169998</c:v>
                </c:pt>
                <c:pt idx="377">
                  <c:v>0.84018681285641195</c:v>
                </c:pt>
                <c:pt idx="378">
                  <c:v>0.84011665781376699</c:v>
                </c:pt>
                <c:pt idx="379">
                  <c:v>0.84005652492007399</c:v>
                </c:pt>
                <c:pt idx="380">
                  <c:v>0.83996632557953099</c:v>
                </c:pt>
                <c:pt idx="381">
                  <c:v>0.83986610409003803</c:v>
                </c:pt>
                <c:pt idx="382">
                  <c:v>0.83967568326000497</c:v>
                </c:pt>
                <c:pt idx="383">
                  <c:v>0.83953537317471605</c:v>
                </c:pt>
                <c:pt idx="384">
                  <c:v>0.83948526242996901</c:v>
                </c:pt>
                <c:pt idx="385">
                  <c:v>0.83936499664257902</c:v>
                </c:pt>
                <c:pt idx="386">
                  <c:v>0.83921466440834203</c:v>
                </c:pt>
                <c:pt idx="387">
                  <c:v>0.83911444291884996</c:v>
                </c:pt>
                <c:pt idx="388">
                  <c:v>0.83894406638671404</c:v>
                </c:pt>
                <c:pt idx="389">
                  <c:v>0.83883382274827301</c:v>
                </c:pt>
                <c:pt idx="390">
                  <c:v>0.83871355696088301</c:v>
                </c:pt>
                <c:pt idx="391">
                  <c:v>0.83859329117349302</c:v>
                </c:pt>
                <c:pt idx="392">
                  <c:v>0.83847302538610302</c:v>
                </c:pt>
                <c:pt idx="393">
                  <c:v>0.83839284819450999</c:v>
                </c:pt>
                <c:pt idx="394">
                  <c:v>0.83829262670501803</c:v>
                </c:pt>
                <c:pt idx="395">
                  <c:v>0.838212449513424</c:v>
                </c:pt>
                <c:pt idx="396">
                  <c:v>0.83805209513023704</c:v>
                </c:pt>
                <c:pt idx="397">
                  <c:v>0.83796189578969504</c:v>
                </c:pt>
                <c:pt idx="398">
                  <c:v>0.83779151925755901</c:v>
                </c:pt>
                <c:pt idx="399">
                  <c:v>0.83768127561911798</c:v>
                </c:pt>
                <c:pt idx="400">
                  <c:v>0.83758105412962702</c:v>
                </c:pt>
                <c:pt idx="401">
                  <c:v>0.83744074404433799</c:v>
                </c:pt>
                <c:pt idx="402">
                  <c:v>0.837320478256948</c:v>
                </c:pt>
                <c:pt idx="403">
                  <c:v>0.83721023461850597</c:v>
                </c:pt>
                <c:pt idx="404">
                  <c:v>0.83712003527796297</c:v>
                </c:pt>
                <c:pt idx="405">
                  <c:v>0.83702983593742097</c:v>
                </c:pt>
                <c:pt idx="406">
                  <c:v>0.83691959229898005</c:v>
                </c:pt>
                <c:pt idx="407">
                  <c:v>0.83677928221369202</c:v>
                </c:pt>
                <c:pt idx="408">
                  <c:v>0.83672917146894599</c:v>
                </c:pt>
                <c:pt idx="409">
                  <c:v>0.83662894997945403</c:v>
                </c:pt>
                <c:pt idx="410">
                  <c:v>0.83653875063891203</c:v>
                </c:pt>
                <c:pt idx="411">
                  <c:v>0.83647861774521703</c:v>
                </c:pt>
                <c:pt idx="412">
                  <c:v>0.836338307659929</c:v>
                </c:pt>
                <c:pt idx="413">
                  <c:v>0.83625813046833497</c:v>
                </c:pt>
                <c:pt idx="414">
                  <c:v>0.83615790897884301</c:v>
                </c:pt>
                <c:pt idx="415">
                  <c:v>0.83602762104250405</c:v>
                </c:pt>
                <c:pt idx="416">
                  <c:v>0.83595746599985898</c:v>
                </c:pt>
                <c:pt idx="417">
                  <c:v>0.83588731095721502</c:v>
                </c:pt>
                <c:pt idx="418">
                  <c:v>0.83581715591456995</c:v>
                </c:pt>
                <c:pt idx="419">
                  <c:v>0.83566682368033396</c:v>
                </c:pt>
                <c:pt idx="420">
                  <c:v>0.83558664648873904</c:v>
                </c:pt>
                <c:pt idx="421">
                  <c:v>0.83551649144609497</c:v>
                </c:pt>
                <c:pt idx="422">
                  <c:v>0.83543631425450204</c:v>
                </c:pt>
                <c:pt idx="423">
                  <c:v>0.83535613706290901</c:v>
                </c:pt>
                <c:pt idx="424">
                  <c:v>0.83522584912656905</c:v>
                </c:pt>
                <c:pt idx="425">
                  <c:v>0.83514567193497602</c:v>
                </c:pt>
                <c:pt idx="426">
                  <c:v>0.83506549474338299</c:v>
                </c:pt>
                <c:pt idx="427">
                  <c:v>0.83500536184968699</c:v>
                </c:pt>
                <c:pt idx="428">
                  <c:v>0.83486505176439996</c:v>
                </c:pt>
                <c:pt idx="429">
                  <c:v>0.83478487457280603</c:v>
                </c:pt>
                <c:pt idx="430">
                  <c:v>0.83466460878541504</c:v>
                </c:pt>
                <c:pt idx="431">
                  <c:v>0.83456438729592397</c:v>
                </c:pt>
                <c:pt idx="432">
                  <c:v>0.83448421010432905</c:v>
                </c:pt>
                <c:pt idx="433">
                  <c:v>0.83439401076378805</c:v>
                </c:pt>
                <c:pt idx="434">
                  <c:v>0.83429378927429598</c:v>
                </c:pt>
                <c:pt idx="435">
                  <c:v>0.83419356778480402</c:v>
                </c:pt>
                <c:pt idx="436">
                  <c:v>0.83411339059321099</c:v>
                </c:pt>
                <c:pt idx="437">
                  <c:v>0.83406327984846396</c:v>
                </c:pt>
                <c:pt idx="438">
                  <c:v>0.83397308050792196</c:v>
                </c:pt>
                <c:pt idx="439">
                  <c:v>0.833963058358973</c:v>
                </c:pt>
                <c:pt idx="440">
                  <c:v>0.83388288116737996</c:v>
                </c:pt>
                <c:pt idx="441">
                  <c:v>0.83379268182683697</c:v>
                </c:pt>
                <c:pt idx="442">
                  <c:v>0.83368243818839605</c:v>
                </c:pt>
                <c:pt idx="443">
                  <c:v>0.83360226099680201</c:v>
                </c:pt>
                <c:pt idx="444">
                  <c:v>0.83352208380520998</c:v>
                </c:pt>
                <c:pt idx="445">
                  <c:v>0.83344190661361595</c:v>
                </c:pt>
                <c:pt idx="446">
                  <c:v>0.83339179586887002</c:v>
                </c:pt>
                <c:pt idx="447">
                  <c:v>0.83326150793253095</c:v>
                </c:pt>
                <c:pt idx="448">
                  <c:v>0.833131219996191</c:v>
                </c:pt>
                <c:pt idx="449">
                  <c:v>0.83302097635774996</c:v>
                </c:pt>
                <c:pt idx="450">
                  <c:v>0.83294079916615604</c:v>
                </c:pt>
                <c:pt idx="451">
                  <c:v>0.83289068842141101</c:v>
                </c:pt>
                <c:pt idx="452">
                  <c:v>0.83280048908086801</c:v>
                </c:pt>
                <c:pt idx="453">
                  <c:v>0.83272031188927498</c:v>
                </c:pt>
                <c:pt idx="454">
                  <c:v>0.83260004610188398</c:v>
                </c:pt>
                <c:pt idx="455">
                  <c:v>0.83254993535713895</c:v>
                </c:pt>
                <c:pt idx="456">
                  <c:v>0.83241964742079899</c:v>
                </c:pt>
                <c:pt idx="457">
                  <c:v>0.83231942593130803</c:v>
                </c:pt>
                <c:pt idx="458">
                  <c:v>0.83225929303761303</c:v>
                </c:pt>
                <c:pt idx="459">
                  <c:v>0.83215907154812196</c:v>
                </c:pt>
                <c:pt idx="460">
                  <c:v>0.83205885005862901</c:v>
                </c:pt>
                <c:pt idx="461">
                  <c:v>0.83198869501598505</c:v>
                </c:pt>
                <c:pt idx="462">
                  <c:v>0.83190851782439201</c:v>
                </c:pt>
                <c:pt idx="463">
                  <c:v>0.83182834063279898</c:v>
                </c:pt>
                <c:pt idx="464">
                  <c:v>0.83173814129225598</c:v>
                </c:pt>
                <c:pt idx="465">
                  <c:v>0.83165796410066195</c:v>
                </c:pt>
                <c:pt idx="466">
                  <c:v>0.83155774261116999</c:v>
                </c:pt>
                <c:pt idx="467">
                  <c:v>0.83148758756852603</c:v>
                </c:pt>
                <c:pt idx="468">
                  <c:v>0.83141743252588196</c:v>
                </c:pt>
                <c:pt idx="469">
                  <c:v>0.83132723318533897</c:v>
                </c:pt>
                <c:pt idx="470">
                  <c:v>0.83126710029164397</c:v>
                </c:pt>
                <c:pt idx="471">
                  <c:v>0.83113681235530501</c:v>
                </c:pt>
                <c:pt idx="472">
                  <c:v>0.83101654656791402</c:v>
                </c:pt>
                <c:pt idx="473">
                  <c:v>0.83094639152527106</c:v>
                </c:pt>
                <c:pt idx="474">
                  <c:v>0.83074594854628603</c:v>
                </c:pt>
                <c:pt idx="475">
                  <c:v>0.830605638460998</c:v>
                </c:pt>
                <c:pt idx="476">
                  <c:v>0.83050541697150604</c:v>
                </c:pt>
                <c:pt idx="477">
                  <c:v>0.83035508473726904</c:v>
                </c:pt>
                <c:pt idx="478">
                  <c:v>0.83029495184357405</c:v>
                </c:pt>
                <c:pt idx="479">
                  <c:v>0.83017468605618305</c:v>
                </c:pt>
                <c:pt idx="480">
                  <c:v>0.83011455316248794</c:v>
                </c:pt>
                <c:pt idx="481">
                  <c:v>0.83002435382194595</c:v>
                </c:pt>
                <c:pt idx="482">
                  <c:v>0.82994417663035203</c:v>
                </c:pt>
                <c:pt idx="483">
                  <c:v>0.82984395514085996</c:v>
                </c:pt>
                <c:pt idx="484">
                  <c:v>0.829803866545063</c:v>
                </c:pt>
                <c:pt idx="485">
                  <c:v>0.82975375580031896</c:v>
                </c:pt>
                <c:pt idx="486">
                  <c:v>0.82966355645977496</c:v>
                </c:pt>
                <c:pt idx="487">
                  <c:v>0.82960342356608097</c:v>
                </c:pt>
                <c:pt idx="488">
                  <c:v>0.82955331282133504</c:v>
                </c:pt>
                <c:pt idx="489">
                  <c:v>0.82947313562974201</c:v>
                </c:pt>
                <c:pt idx="490">
                  <c:v>0.82942302488499497</c:v>
                </c:pt>
                <c:pt idx="491">
                  <c:v>0.82933282554445198</c:v>
                </c:pt>
                <c:pt idx="492">
                  <c:v>0.82926267050180802</c:v>
                </c:pt>
                <c:pt idx="493">
                  <c:v>0.82912236041651999</c:v>
                </c:pt>
                <c:pt idx="494">
                  <c:v>0.82899207248018103</c:v>
                </c:pt>
                <c:pt idx="495">
                  <c:v>0.82889185099068996</c:v>
                </c:pt>
                <c:pt idx="496">
                  <c:v>0.828791629501197</c:v>
                </c:pt>
                <c:pt idx="497">
                  <c:v>0.82872147445855304</c:v>
                </c:pt>
                <c:pt idx="498">
                  <c:v>0.82864129726696001</c:v>
                </c:pt>
                <c:pt idx="499">
                  <c:v>0.82855109792641701</c:v>
                </c:pt>
                <c:pt idx="500">
                  <c:v>0.82843083213902702</c:v>
                </c:pt>
                <c:pt idx="501">
                  <c:v>0.82837069924533202</c:v>
                </c:pt>
                <c:pt idx="502">
                  <c:v>0.82827047775583995</c:v>
                </c:pt>
                <c:pt idx="503">
                  <c:v>0.82822036701109403</c:v>
                </c:pt>
                <c:pt idx="504">
                  <c:v>0.82813016767055203</c:v>
                </c:pt>
                <c:pt idx="505">
                  <c:v>0.82800990188316204</c:v>
                </c:pt>
                <c:pt idx="506">
                  <c:v>0.82794976898946604</c:v>
                </c:pt>
                <c:pt idx="507">
                  <c:v>0.82789965824472</c:v>
                </c:pt>
                <c:pt idx="508">
                  <c:v>0.82777939245733001</c:v>
                </c:pt>
                <c:pt idx="509">
                  <c:v>0.82773930386153405</c:v>
                </c:pt>
                <c:pt idx="510">
                  <c:v>0.82765912666994101</c:v>
                </c:pt>
                <c:pt idx="511">
                  <c:v>0.82750879443570302</c:v>
                </c:pt>
                <c:pt idx="512">
                  <c:v>0.82740857294621095</c:v>
                </c:pt>
                <c:pt idx="513">
                  <c:v>0.82728830715882096</c:v>
                </c:pt>
                <c:pt idx="514">
                  <c:v>0.82726826286092203</c:v>
                </c:pt>
                <c:pt idx="515">
                  <c:v>0.82717806352038004</c:v>
                </c:pt>
                <c:pt idx="516">
                  <c:v>0.82711793062668504</c:v>
                </c:pt>
                <c:pt idx="517">
                  <c:v>0.82702773128614104</c:v>
                </c:pt>
                <c:pt idx="518">
                  <c:v>0.82692750979665097</c:v>
                </c:pt>
                <c:pt idx="519">
                  <c:v>0.82677717756241298</c:v>
                </c:pt>
                <c:pt idx="520">
                  <c:v>0.82672706681766595</c:v>
                </c:pt>
                <c:pt idx="521">
                  <c:v>0.82659677888132699</c:v>
                </c:pt>
                <c:pt idx="522">
                  <c:v>0.82648653524288596</c:v>
                </c:pt>
                <c:pt idx="523">
                  <c:v>0.82639633590234396</c:v>
                </c:pt>
                <c:pt idx="524">
                  <c:v>0.82628609226390304</c:v>
                </c:pt>
                <c:pt idx="525">
                  <c:v>0.82616582647651204</c:v>
                </c:pt>
                <c:pt idx="526">
                  <c:v>0.82611571573176601</c:v>
                </c:pt>
                <c:pt idx="527">
                  <c:v>0.82606560498701997</c:v>
                </c:pt>
                <c:pt idx="528">
                  <c:v>0.82601549424227505</c:v>
                </c:pt>
                <c:pt idx="529">
                  <c:v>0.82595536134858005</c:v>
                </c:pt>
                <c:pt idx="530">
                  <c:v>0.82583509556119095</c:v>
                </c:pt>
                <c:pt idx="531">
                  <c:v>0.82571482977379995</c:v>
                </c:pt>
                <c:pt idx="532">
                  <c:v>0.82560458613535803</c:v>
                </c:pt>
                <c:pt idx="533">
                  <c:v>0.825554475390613</c:v>
                </c:pt>
                <c:pt idx="534">
                  <c:v>0.82545425390112104</c:v>
                </c:pt>
                <c:pt idx="535">
                  <c:v>0.82532396596478097</c:v>
                </c:pt>
                <c:pt idx="536">
                  <c:v>0.82521372232634105</c:v>
                </c:pt>
                <c:pt idx="537">
                  <c:v>0.82514356728369698</c:v>
                </c:pt>
                <c:pt idx="538">
                  <c:v>0.82504334579420402</c:v>
                </c:pt>
                <c:pt idx="539">
                  <c:v>0.82499323504945898</c:v>
                </c:pt>
                <c:pt idx="540">
                  <c:v>0.82494312430471295</c:v>
                </c:pt>
                <c:pt idx="541">
                  <c:v>0.82482285851732295</c:v>
                </c:pt>
                <c:pt idx="542">
                  <c:v>0.82474268132573003</c:v>
                </c:pt>
                <c:pt idx="543">
                  <c:v>0.82464245983623796</c:v>
                </c:pt>
                <c:pt idx="544">
                  <c:v>0.82456228264464404</c:v>
                </c:pt>
                <c:pt idx="545">
                  <c:v>0.82445203900620301</c:v>
                </c:pt>
                <c:pt idx="546">
                  <c:v>0.82435181751671205</c:v>
                </c:pt>
                <c:pt idx="547">
                  <c:v>0.82430170677196601</c:v>
                </c:pt>
                <c:pt idx="548">
                  <c:v>0.82421150743142302</c:v>
                </c:pt>
                <c:pt idx="549">
                  <c:v>0.82412130809088002</c:v>
                </c:pt>
                <c:pt idx="550">
                  <c:v>0.82403110875033703</c:v>
                </c:pt>
                <c:pt idx="551">
                  <c:v>0.82400104230349103</c:v>
                </c:pt>
                <c:pt idx="552">
                  <c:v>0.82388077651610003</c:v>
                </c:pt>
                <c:pt idx="553">
                  <c:v>0.823770532877659</c:v>
                </c:pt>
                <c:pt idx="554">
                  <c:v>0.82366028923921797</c:v>
                </c:pt>
                <c:pt idx="555">
                  <c:v>0.82353000130287901</c:v>
                </c:pt>
                <c:pt idx="556">
                  <c:v>0.82335962477074298</c:v>
                </c:pt>
                <c:pt idx="557">
                  <c:v>0.82329949187704798</c:v>
                </c:pt>
                <c:pt idx="558">
                  <c:v>0.82322933683440402</c:v>
                </c:pt>
                <c:pt idx="559">
                  <c:v>0.82313913749386203</c:v>
                </c:pt>
                <c:pt idx="560">
                  <c:v>0.82304893815331803</c:v>
                </c:pt>
                <c:pt idx="561">
                  <c:v>0.822998827408573</c:v>
                </c:pt>
                <c:pt idx="562">
                  <c:v>0.822878561621183</c:v>
                </c:pt>
                <c:pt idx="563">
                  <c:v>0.82279838442958897</c:v>
                </c:pt>
                <c:pt idx="564">
                  <c:v>0.82274827368484305</c:v>
                </c:pt>
                <c:pt idx="565">
                  <c:v>0.82267811864219897</c:v>
                </c:pt>
                <c:pt idx="566">
                  <c:v>0.82256787500375705</c:v>
                </c:pt>
                <c:pt idx="567">
                  <c:v>0.82253780855691006</c:v>
                </c:pt>
                <c:pt idx="568">
                  <c:v>0.82243758706741799</c:v>
                </c:pt>
                <c:pt idx="569">
                  <c:v>0.82235740987582495</c:v>
                </c:pt>
                <c:pt idx="570">
                  <c:v>0.82225718838633299</c:v>
                </c:pt>
                <c:pt idx="571">
                  <c:v>0.822136922598944</c:v>
                </c:pt>
                <c:pt idx="572">
                  <c:v>0.82206676755629904</c:v>
                </c:pt>
                <c:pt idx="573">
                  <c:v>0.82194650176890904</c:v>
                </c:pt>
                <c:pt idx="574">
                  <c:v>0.82183625813046801</c:v>
                </c:pt>
                <c:pt idx="575">
                  <c:v>0.82177612523677201</c:v>
                </c:pt>
                <c:pt idx="576">
                  <c:v>0.82163581515148398</c:v>
                </c:pt>
                <c:pt idx="577">
                  <c:v>0.82159572655568802</c:v>
                </c:pt>
                <c:pt idx="578">
                  <c:v>0.82150552721514603</c:v>
                </c:pt>
                <c:pt idx="579">
                  <c:v>0.82136521712985699</c:v>
                </c:pt>
                <c:pt idx="580">
                  <c:v>0.82126499564036504</c:v>
                </c:pt>
                <c:pt idx="581">
                  <c:v>0.821154752001924</c:v>
                </c:pt>
                <c:pt idx="582">
                  <c:v>0.82109461910822901</c:v>
                </c:pt>
                <c:pt idx="583">
                  <c:v>0.82094428687399001</c:v>
                </c:pt>
                <c:pt idx="584">
                  <c:v>0.82085408753344902</c:v>
                </c:pt>
                <c:pt idx="585">
                  <c:v>0.82073382174605902</c:v>
                </c:pt>
                <c:pt idx="586">
                  <c:v>0.82063360025656695</c:v>
                </c:pt>
                <c:pt idx="587">
                  <c:v>0.820533378767074</c:v>
                </c:pt>
                <c:pt idx="588">
                  <c:v>0.82045320157548096</c:v>
                </c:pt>
                <c:pt idx="589">
                  <c:v>0.82036300223493797</c:v>
                </c:pt>
                <c:pt idx="590">
                  <c:v>0.82025275859649804</c:v>
                </c:pt>
                <c:pt idx="591">
                  <c:v>0.82018260355385397</c:v>
                </c:pt>
                <c:pt idx="592">
                  <c:v>0.82004229346856605</c:v>
                </c:pt>
                <c:pt idx="593">
                  <c:v>0.81993204983012402</c:v>
                </c:pt>
                <c:pt idx="594">
                  <c:v>0.81986189478747995</c:v>
                </c:pt>
                <c:pt idx="595">
                  <c:v>0.81974162900008996</c:v>
                </c:pt>
                <c:pt idx="596">
                  <c:v>0.81966145180849603</c:v>
                </c:pt>
                <c:pt idx="597">
                  <c:v>0.81948105312741104</c:v>
                </c:pt>
                <c:pt idx="598">
                  <c:v>0.81935076519107097</c:v>
                </c:pt>
                <c:pt idx="599">
                  <c:v>0.81927058799947905</c:v>
                </c:pt>
                <c:pt idx="600">
                  <c:v>0.81915032221208794</c:v>
                </c:pt>
                <c:pt idx="601">
                  <c:v>0.81902003427574899</c:v>
                </c:pt>
                <c:pt idx="602">
                  <c:v>0.81892983493520699</c:v>
                </c:pt>
                <c:pt idx="603">
                  <c:v>0.81879954699886703</c:v>
                </c:pt>
                <c:pt idx="604">
                  <c:v>0.818689303360426</c:v>
                </c:pt>
                <c:pt idx="605">
                  <c:v>0.81858908187093404</c:v>
                </c:pt>
                <c:pt idx="606">
                  <c:v>0.81849888253039105</c:v>
                </c:pt>
                <c:pt idx="607">
                  <c:v>0.81839866104089998</c:v>
                </c:pt>
                <c:pt idx="608">
                  <c:v>0.81828841740245895</c:v>
                </c:pt>
                <c:pt idx="609">
                  <c:v>0.81817817376401702</c:v>
                </c:pt>
                <c:pt idx="610">
                  <c:v>0.81809799657242499</c:v>
                </c:pt>
                <c:pt idx="611">
                  <c:v>0.81798775293398396</c:v>
                </c:pt>
                <c:pt idx="612">
                  <c:v>0.81786748714659396</c:v>
                </c:pt>
                <c:pt idx="613">
                  <c:v>0.81774722135920297</c:v>
                </c:pt>
                <c:pt idx="614">
                  <c:v>0.81767706631656001</c:v>
                </c:pt>
                <c:pt idx="615">
                  <c:v>0.81757684482706705</c:v>
                </c:pt>
                <c:pt idx="616">
                  <c:v>0.81743653474177802</c:v>
                </c:pt>
                <c:pt idx="617">
                  <c:v>0.81735635755018499</c:v>
                </c:pt>
                <c:pt idx="618">
                  <c:v>0.81725613606069303</c:v>
                </c:pt>
                <c:pt idx="619">
                  <c:v>0.81709578167750596</c:v>
                </c:pt>
                <c:pt idx="620">
                  <c:v>0.81692540514537104</c:v>
                </c:pt>
                <c:pt idx="621">
                  <c:v>0.81676505076218497</c:v>
                </c:pt>
                <c:pt idx="622">
                  <c:v>0.81663476282584502</c:v>
                </c:pt>
                <c:pt idx="623">
                  <c:v>0.81653454133635295</c:v>
                </c:pt>
                <c:pt idx="624">
                  <c:v>0.81644434199581095</c:v>
                </c:pt>
                <c:pt idx="625">
                  <c:v>0.81637418695316599</c:v>
                </c:pt>
                <c:pt idx="626">
                  <c:v>0.81627396546367503</c:v>
                </c:pt>
                <c:pt idx="627">
                  <c:v>0.81617374397418196</c:v>
                </c:pt>
                <c:pt idx="628">
                  <c:v>0.81606350033574204</c:v>
                </c:pt>
                <c:pt idx="629">
                  <c:v>0.81595325669730101</c:v>
                </c:pt>
                <c:pt idx="630">
                  <c:v>0.81583299090991102</c:v>
                </c:pt>
                <c:pt idx="631">
                  <c:v>0.81574279156936802</c:v>
                </c:pt>
                <c:pt idx="632">
                  <c:v>0.81562252578197802</c:v>
                </c:pt>
                <c:pt idx="633">
                  <c:v>0.81546217139879096</c:v>
                </c:pt>
                <c:pt idx="634">
                  <c:v>0.81532186131350204</c:v>
                </c:pt>
                <c:pt idx="635">
                  <c:v>0.81516150693031597</c:v>
                </c:pt>
                <c:pt idx="636">
                  <c:v>0.81509135188767101</c:v>
                </c:pt>
                <c:pt idx="637">
                  <c:v>0.81495104180238198</c:v>
                </c:pt>
                <c:pt idx="638">
                  <c:v>0.81481073171709495</c:v>
                </c:pt>
                <c:pt idx="639">
                  <c:v>0.81473055452550103</c:v>
                </c:pt>
                <c:pt idx="640">
                  <c:v>0.81464035518495803</c:v>
                </c:pt>
                <c:pt idx="641">
                  <c:v>0.81454013369546696</c:v>
                </c:pt>
                <c:pt idx="642">
                  <c:v>0.81441986790807597</c:v>
                </c:pt>
                <c:pt idx="643">
                  <c:v>0.81427955782278705</c:v>
                </c:pt>
                <c:pt idx="644">
                  <c:v>0.81413924773750002</c:v>
                </c:pt>
                <c:pt idx="645">
                  <c:v>0.81400895980115995</c:v>
                </c:pt>
                <c:pt idx="646">
                  <c:v>0.81389871616271903</c:v>
                </c:pt>
                <c:pt idx="647">
                  <c:v>0.81375840607743</c:v>
                </c:pt>
                <c:pt idx="648">
                  <c:v>0.813728339630583</c:v>
                </c:pt>
                <c:pt idx="649">
                  <c:v>0.81361809599214296</c:v>
                </c:pt>
                <c:pt idx="650">
                  <c:v>0.81350785235370104</c:v>
                </c:pt>
                <c:pt idx="651">
                  <c:v>0.81339760871526001</c:v>
                </c:pt>
                <c:pt idx="652">
                  <c:v>0.81332745367261605</c:v>
                </c:pt>
                <c:pt idx="653">
                  <c:v>0.81325729862997098</c:v>
                </c:pt>
                <c:pt idx="654">
                  <c:v>0.81316709928942899</c:v>
                </c:pt>
                <c:pt idx="655">
                  <c:v>0.81301676705519199</c:v>
                </c:pt>
                <c:pt idx="656">
                  <c:v>0.81290652341675096</c:v>
                </c:pt>
                <c:pt idx="657">
                  <c:v>0.81282634622515704</c:v>
                </c:pt>
                <c:pt idx="658">
                  <c:v>0.81270608043776804</c:v>
                </c:pt>
                <c:pt idx="659">
                  <c:v>0.81258581465037705</c:v>
                </c:pt>
                <c:pt idx="660">
                  <c:v>0.81253570390563101</c:v>
                </c:pt>
                <c:pt idx="661">
                  <c:v>0.81247557101193602</c:v>
                </c:pt>
                <c:pt idx="662">
                  <c:v>0.81236532737349498</c:v>
                </c:pt>
                <c:pt idx="663">
                  <c:v>0.81231521662874995</c:v>
                </c:pt>
                <c:pt idx="664">
                  <c:v>0.81220497299030903</c:v>
                </c:pt>
                <c:pt idx="665">
                  <c:v>0.81210475150081596</c:v>
                </c:pt>
                <c:pt idx="666">
                  <c:v>0.812004530011325</c:v>
                </c:pt>
                <c:pt idx="667">
                  <c:v>0.81189428637288397</c:v>
                </c:pt>
                <c:pt idx="668">
                  <c:v>0.81181410918129004</c:v>
                </c:pt>
                <c:pt idx="669">
                  <c:v>0.81170386554285001</c:v>
                </c:pt>
                <c:pt idx="670">
                  <c:v>0.81163371050020605</c:v>
                </c:pt>
                <c:pt idx="671">
                  <c:v>0.81153348901071298</c:v>
                </c:pt>
                <c:pt idx="672">
                  <c:v>0.81148337826596795</c:v>
                </c:pt>
                <c:pt idx="673">
                  <c:v>0.81139317892542495</c:v>
                </c:pt>
                <c:pt idx="674">
                  <c:v>0.81129295743593399</c:v>
                </c:pt>
                <c:pt idx="675">
                  <c:v>0.81121278024433996</c:v>
                </c:pt>
                <c:pt idx="676">
                  <c:v>0.811142625201696</c:v>
                </c:pt>
                <c:pt idx="677">
                  <c:v>0.81094218222271197</c:v>
                </c:pt>
                <c:pt idx="678">
                  <c:v>0.81086200503111805</c:v>
                </c:pt>
                <c:pt idx="679">
                  <c:v>0.81069162849898202</c:v>
                </c:pt>
                <c:pt idx="680">
                  <c:v>0.81060142915843902</c:v>
                </c:pt>
                <c:pt idx="681">
                  <c:v>0.81053127411579595</c:v>
                </c:pt>
                <c:pt idx="682">
                  <c:v>0.81036089758365903</c:v>
                </c:pt>
                <c:pt idx="683">
                  <c:v>0.810310786838913</c:v>
                </c:pt>
                <c:pt idx="684">
                  <c:v>0.81024063179627004</c:v>
                </c:pt>
                <c:pt idx="685">
                  <c:v>0.81015043245572604</c:v>
                </c:pt>
                <c:pt idx="686">
                  <c:v>0.81006023311518505</c:v>
                </c:pt>
                <c:pt idx="687">
                  <c:v>0.80991992302989602</c:v>
                </c:pt>
                <c:pt idx="688">
                  <c:v>0.80976959079565802</c:v>
                </c:pt>
                <c:pt idx="689">
                  <c:v>0.80965934715721799</c:v>
                </c:pt>
                <c:pt idx="690">
                  <c:v>0.80951903707192796</c:v>
                </c:pt>
                <c:pt idx="691">
                  <c:v>0.80945890417823396</c:v>
                </c:pt>
                <c:pt idx="692">
                  <c:v>0.80932861624189401</c:v>
                </c:pt>
                <c:pt idx="693">
                  <c:v>0.80923841690135201</c:v>
                </c:pt>
                <c:pt idx="694">
                  <c:v>0.80911815111396201</c:v>
                </c:pt>
                <c:pt idx="695">
                  <c:v>0.80899788532657102</c:v>
                </c:pt>
                <c:pt idx="696">
                  <c:v>0.80890768598602902</c:v>
                </c:pt>
                <c:pt idx="697">
                  <c:v>0.80880746449653595</c:v>
                </c:pt>
                <c:pt idx="698">
                  <c:v>0.808677176560198</c:v>
                </c:pt>
                <c:pt idx="699">
                  <c:v>0.808556910772807</c:v>
                </c:pt>
                <c:pt idx="700">
                  <c:v>0.80846671143226501</c:v>
                </c:pt>
                <c:pt idx="701">
                  <c:v>0.80831637919802801</c:v>
                </c:pt>
                <c:pt idx="702">
                  <c:v>0.80820613555958598</c:v>
                </c:pt>
                <c:pt idx="703">
                  <c:v>0.80811593621904398</c:v>
                </c:pt>
                <c:pt idx="704">
                  <c:v>0.80800569258060195</c:v>
                </c:pt>
                <c:pt idx="705">
                  <c:v>0.807845338197415</c:v>
                </c:pt>
                <c:pt idx="706">
                  <c:v>0.80767496166527997</c:v>
                </c:pt>
                <c:pt idx="707">
                  <c:v>0.80753465157999105</c:v>
                </c:pt>
                <c:pt idx="708">
                  <c:v>0.80744445223944805</c:v>
                </c:pt>
                <c:pt idx="709">
                  <c:v>0.80736427504785502</c:v>
                </c:pt>
                <c:pt idx="710">
                  <c:v>0.80728409785626098</c:v>
                </c:pt>
                <c:pt idx="711">
                  <c:v>0.80719389851571899</c:v>
                </c:pt>
                <c:pt idx="712">
                  <c:v>0.80712374347307603</c:v>
                </c:pt>
                <c:pt idx="713">
                  <c:v>0.80704356628148199</c:v>
                </c:pt>
                <c:pt idx="714">
                  <c:v>0.80697341123883704</c:v>
                </c:pt>
                <c:pt idx="715">
                  <c:v>0.80687318974934596</c:v>
                </c:pt>
                <c:pt idx="716">
                  <c:v>0.80676294611090404</c:v>
                </c:pt>
                <c:pt idx="717">
                  <c:v>0.80662263602561601</c:v>
                </c:pt>
                <c:pt idx="718">
                  <c:v>0.80653243668507302</c:v>
                </c:pt>
                <c:pt idx="719">
                  <c:v>0.80643221519558095</c:v>
                </c:pt>
                <c:pt idx="720">
                  <c:v>0.80633199370608999</c:v>
                </c:pt>
                <c:pt idx="721">
                  <c:v>0.80622175006764896</c:v>
                </c:pt>
                <c:pt idx="722">
                  <c:v>0.80610148428025996</c:v>
                </c:pt>
                <c:pt idx="723">
                  <c:v>0.80599124064181804</c:v>
                </c:pt>
                <c:pt idx="724">
                  <c:v>0.80586095270547897</c:v>
                </c:pt>
                <c:pt idx="725">
                  <c:v>0.80577075336493598</c:v>
                </c:pt>
                <c:pt idx="726">
                  <c:v>0.80566050972649506</c:v>
                </c:pt>
                <c:pt idx="727">
                  <c:v>0.80557031038595295</c:v>
                </c:pt>
                <c:pt idx="728">
                  <c:v>0.80547008889646099</c:v>
                </c:pt>
                <c:pt idx="729">
                  <c:v>0.80534982310907</c:v>
                </c:pt>
                <c:pt idx="730">
                  <c:v>0.80524960161957904</c:v>
                </c:pt>
                <c:pt idx="731">
                  <c:v>0.80514938013008797</c:v>
                </c:pt>
                <c:pt idx="732">
                  <c:v>0.80499904789584897</c:v>
                </c:pt>
                <c:pt idx="733">
                  <c:v>0.80490884855530698</c:v>
                </c:pt>
                <c:pt idx="734">
                  <c:v>0.80484871566161198</c:v>
                </c:pt>
                <c:pt idx="735">
                  <c:v>0.80476853847001895</c:v>
                </c:pt>
                <c:pt idx="736">
                  <c:v>0.80464827268262795</c:v>
                </c:pt>
                <c:pt idx="737">
                  <c:v>0.80457811763998399</c:v>
                </c:pt>
                <c:pt idx="738">
                  <c:v>0.80446787400154396</c:v>
                </c:pt>
                <c:pt idx="739">
                  <c:v>0.80438769680995004</c:v>
                </c:pt>
                <c:pt idx="740">
                  <c:v>0.80425740887361097</c:v>
                </c:pt>
                <c:pt idx="741">
                  <c:v>0.80414716523516905</c:v>
                </c:pt>
                <c:pt idx="742">
                  <c:v>0.80404694374567698</c:v>
                </c:pt>
                <c:pt idx="743">
                  <c:v>0.80392667795828698</c:v>
                </c:pt>
                <c:pt idx="744">
                  <c:v>0.80376632357510003</c:v>
                </c:pt>
                <c:pt idx="745">
                  <c:v>0.80364605778771103</c:v>
                </c:pt>
                <c:pt idx="746">
                  <c:v>0.80357590274506596</c:v>
                </c:pt>
                <c:pt idx="747">
                  <c:v>0.80341554836187901</c:v>
                </c:pt>
                <c:pt idx="748">
                  <c:v>0.80334539331923605</c:v>
                </c:pt>
                <c:pt idx="749">
                  <c:v>0.80324517182974298</c:v>
                </c:pt>
                <c:pt idx="750">
                  <c:v>0.80316499463814905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6F-4160-A461-4CE97B888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6572704"/>
        <c:axId val="1241338704"/>
      </c:lineChart>
      <c:catAx>
        <c:axId val="1756572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338704"/>
        <c:crosses val="autoZero"/>
        <c:auto val="1"/>
        <c:lblAlgn val="ctr"/>
        <c:lblOffset val="100"/>
        <c:noMultiLvlLbl val="0"/>
      </c:catAx>
      <c:valAx>
        <c:axId val="1241338704"/>
        <c:scaling>
          <c:orientation val="minMax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57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Sheet1!$AL$1</c:f>
              <c:strCache>
                <c:ptCount val="1"/>
                <c:pt idx="0">
                  <c:v>SIMULATED ACM Vaccinated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Sheet1!$AL$2:$AL$752</c:f>
              <c:numCache>
                <c:formatCode>General</c:formatCode>
                <c:ptCount val="751"/>
                <c:pt idx="0">
                  <c:v>1</c:v>
                </c:pt>
                <c:pt idx="1">
                  <c:v>0.99971119333333336</c:v>
                </c:pt>
                <c:pt idx="2">
                  <c:v>0.99945262434699988</c:v>
                </c:pt>
                <c:pt idx="3">
                  <c:v>0.99921979162967589</c:v>
                </c:pt>
                <c:pt idx="4">
                  <c:v>0.99900886877850426</c:v>
                </c:pt>
                <c:pt idx="5">
                  <c:v>0.99881660314904486</c:v>
                </c:pt>
                <c:pt idx="6">
                  <c:v>0.99864022979272304</c:v>
                </c:pt>
                <c:pt idx="7">
                  <c:v>0.99847739830365489</c:v>
                </c:pt>
                <c:pt idx="8">
                  <c:v>0.99832611063844157</c:v>
                </c:pt>
                <c:pt idx="9">
                  <c:v>0.99818466826298546</c:v>
                </c:pt>
                <c:pt idx="10">
                  <c:v>0.99805162722728025</c:v>
                </c:pt>
                <c:pt idx="11">
                  <c:v>0.99792575997897026</c:v>
                </c:pt>
                <c:pt idx="12">
                  <c:v>0.99780602290487541</c:v>
                </c:pt>
                <c:pt idx="13">
                  <c:v>0.99769152874127398</c:v>
                </c:pt>
                <c:pt idx="14">
                  <c:v>0.99758152312263992</c:v>
                </c:pt>
                <c:pt idx="15">
                  <c:v>0.99747536464806241</c:v>
                </c:pt>
                <c:pt idx="16">
                  <c:v>0.99737250793769228</c:v>
                </c:pt>
                <c:pt idx="17">
                  <c:v>0.9972724892307202</c:v>
                </c:pt>
                <c:pt idx="18">
                  <c:v>0.99717491414364645</c:v>
                </c:pt>
                <c:pt idx="19">
                  <c:v>0.99707944726480469</c:v>
                </c:pt>
                <c:pt idx="20">
                  <c:v>0.99698580330970232</c:v>
                </c:pt>
                <c:pt idx="21">
                  <c:v>0.99689373960305216</c:v>
                </c:pt>
                <c:pt idx="22">
                  <c:v>0.99680304968848943</c:v>
                </c:pt>
                <c:pt idx="23">
                  <c:v>0.99671355789683125</c:v>
                </c:pt>
                <c:pt idx="24">
                  <c:v>0.99662511472908399</c:v>
                </c:pt>
                <c:pt idx="25">
                  <c:v>0.99653759293199828</c:v>
                </c:pt>
                <c:pt idx="26">
                  <c:v>0.99645088416228</c:v>
                </c:pt>
                <c:pt idx="27">
                  <c:v>0.99636489615116497</c:v>
                </c:pt>
                <c:pt idx="28">
                  <c:v>0.99627955029430304</c:v>
                </c:pt>
                <c:pt idx="29">
                  <c:v>0.99619477960314939</c:v>
                </c:pt>
                <c:pt idx="30">
                  <c:v>0.99611052696364433</c:v>
                </c:pt>
                <c:pt idx="31">
                  <c:v>0.99602674365608146</c:v>
                </c:pt>
                <c:pt idx="32">
                  <c:v>0.99594338809699234</c:v>
                </c:pt>
                <c:pt idx="33">
                  <c:v>0.99586042476974024</c:v>
                </c:pt>
                <c:pt idx="34">
                  <c:v>0.99577782331552067</c:v>
                </c:pt>
                <c:pt idx="35">
                  <c:v>0.99569555776070229</c:v>
                </c:pt>
                <c:pt idx="36">
                  <c:v>0.9956136058600652</c:v>
                </c:pt>
                <c:pt idx="37">
                  <c:v>0.99553194853854232</c:v>
                </c:pt>
                <c:pt idx="38">
                  <c:v>0.99545056941669852</c:v>
                </c:pt>
                <c:pt idx="39">
                  <c:v>0.99536945440737845</c:v>
                </c:pt>
                <c:pt idx="40">
                  <c:v>0.99528859137285119</c:v>
                </c:pt>
                <c:pt idx="41">
                  <c:v>0.99520796983338078</c:v>
                </c:pt>
                <c:pt idx="42">
                  <c:v>0.99512758071950069</c:v>
                </c:pt>
                <c:pt idx="43">
                  <c:v>0.99504741616144443</c:v>
                </c:pt>
                <c:pt idx="44">
                  <c:v>0.99496746931015445</c:v>
                </c:pt>
                <c:pt idx="45">
                  <c:v>0.99488773418513488</c:v>
                </c:pt>
                <c:pt idx="46">
                  <c:v>0.99480820554511873</c:v>
                </c:pt>
                <c:pt idx="47">
                  <c:v>0.99472887877813188</c:v>
                </c:pt>
                <c:pt idx="48">
                  <c:v>0.99464974980803955</c:v>
                </c:pt>
                <c:pt idx="49">
                  <c:v>0.9945708150151058</c:v>
                </c:pt>
                <c:pt idx="50">
                  <c:v>0.99449207116846483</c:v>
                </c:pt>
                <c:pt idx="51">
                  <c:v>0.99441351536871403</c:v>
                </c:pt>
                <c:pt idx="52">
                  <c:v>0.99433514499911324</c:v>
                </c:pt>
                <c:pt idx="53">
                  <c:v>0.99425695768409939</c:v>
                </c:pt>
                <c:pt idx="54">
                  <c:v>0.99417895125401767</c:v>
                </c:pt>
                <c:pt idx="55">
                  <c:v>0.99410112371513737</c:v>
                </c:pt>
                <c:pt idx="56">
                  <c:v>0.99402347322416051</c:v>
                </c:pt>
                <c:pt idx="57">
                  <c:v>0.99394599806654882</c:v>
                </c:pt>
                <c:pt idx="58">
                  <c:v>0.99386869663809607</c:v>
                </c:pt>
                <c:pt idx="59">
                  <c:v>0.99379156742925834</c:v>
                </c:pt>
                <c:pt idx="60">
                  <c:v>0.99371460901183206</c:v>
                </c:pt>
                <c:pt idx="61">
                  <c:v>0.99363782002762158</c:v>
                </c:pt>
                <c:pt idx="62">
                  <c:v>0.99356119917880403</c:v>
                </c:pt>
                <c:pt idx="63">
                  <c:v>0.99348474521973473</c:v>
                </c:pt>
                <c:pt idx="64">
                  <c:v>0.99340845694997248</c:v>
                </c:pt>
                <c:pt idx="65">
                  <c:v>0.99333233320835101</c:v>
                </c:pt>
                <c:pt idx="66">
                  <c:v>0.99325637286793189</c:v>
                </c:pt>
                <c:pt idx="67">
                  <c:v>0.9931805748317093</c:v>
                </c:pt>
                <c:pt idx="68">
                  <c:v>0.99310493802895583</c:v>
                </c:pt>
                <c:pt idx="69">
                  <c:v>0.9930294614121089</c:v>
                </c:pt>
                <c:pt idx="70">
                  <c:v>0.9929541439541214</c:v>
                </c:pt>
                <c:pt idx="71">
                  <c:v>0.99287898464620405</c:v>
                </c:pt>
                <c:pt idx="72">
                  <c:v>0.99280398249590074</c:v>
                </c:pt>
                <c:pt idx="73">
                  <c:v>0.99272913652544936</c:v>
                </c:pt>
                <c:pt idx="74">
                  <c:v>0.99265444577038153</c:v>
                </c:pt>
                <c:pt idx="75">
                  <c:v>0.99257990927832951</c:v>
                </c:pt>
                <c:pt idx="76">
                  <c:v>0.99250552610800602</c:v>
                </c:pt>
                <c:pt idx="77">
                  <c:v>0.99243129532833285</c:v>
                </c:pt>
                <c:pt idx="78">
                  <c:v>0.99235721601769455</c:v>
                </c:pt>
                <c:pt idx="79">
                  <c:v>0.99228328726330206</c:v>
                </c:pt>
                <c:pt idx="80">
                  <c:v>0.99220950816064268</c:v>
                </c:pt>
                <c:pt idx="81">
                  <c:v>0.99213587781301205</c:v>
                </c:pt>
                <c:pt idx="82">
                  <c:v>0.99206239533110963</c:v>
                </c:pt>
                <c:pt idx="83">
                  <c:v>0.99198905983269026</c:v>
                </c:pt>
                <c:pt idx="84">
                  <c:v>0.99191587044226337</c:v>
                </c:pt>
                <c:pt idx="85">
                  <c:v>0.99184282629083498</c:v>
                </c:pt>
                <c:pt idx="86">
                  <c:v>0.99176992651568019</c:v>
                </c:pt>
                <c:pt idx="87">
                  <c:v>0.99169717026014803</c:v>
                </c:pt>
                <c:pt idx="88">
                  <c:v>0.9916245566734897</c:v>
                </c:pt>
                <c:pt idx="89">
                  <c:v>0.99155208491071045</c:v>
                </c:pt>
                <c:pt idx="90">
                  <c:v>0.9914797541324345</c:v>
                </c:pt>
                <c:pt idx="91">
                  <c:v>0.99140756350479142</c:v>
                </c:pt>
                <c:pt idx="92">
                  <c:v>0.99133551219931171</c:v>
                </c:pt>
                <c:pt idx="93">
                  <c:v>0.99126359939283426</c:v>
                </c:pt>
                <c:pt idx="94">
                  <c:v>0.99119182426742525</c:v>
                </c:pt>
                <c:pt idx="95">
                  <c:v>0.99112018601030105</c:v>
                </c:pt>
                <c:pt idx="96">
                  <c:v>0.99104868381376299</c:v>
                </c:pt>
                <c:pt idx="97">
                  <c:v>0.99097731687513424</c:v>
                </c:pt>
                <c:pt idx="98">
                  <c:v>0.99090608439670347</c:v>
                </c:pt>
                <c:pt idx="99">
                  <c:v>0.99083498558567307</c:v>
                </c:pt>
                <c:pt idx="100">
                  <c:v>0.99076401965411021</c:v>
                </c:pt>
                <c:pt idx="101">
                  <c:v>0.99069318581890031</c:v>
                </c:pt>
                <c:pt idx="102">
                  <c:v>0.99062248330170599</c:v>
                </c:pt>
                <c:pt idx="103">
                  <c:v>0.99055191132892595</c:v>
                </c:pt>
                <c:pt idx="104">
                  <c:v>0.9904814691316558</c:v>
                </c:pt>
                <c:pt idx="105">
                  <c:v>0.99041115594565221</c:v>
                </c:pt>
                <c:pt idx="106">
                  <c:v>0.99034097101129803</c:v>
                </c:pt>
                <c:pt idx="107">
                  <c:v>0.99027091357356722</c:v>
                </c:pt>
                <c:pt idx="108">
                  <c:v>0.99020098288199343</c:v>
                </c:pt>
                <c:pt idx="109">
                  <c:v>0.99013117819063723</c:v>
                </c:pt>
                <c:pt idx="110">
                  <c:v>0.99006149875805449</c:v>
                </c:pt>
                <c:pt idx="111">
                  <c:v>0.98999194384726907</c:v>
                </c:pt>
                <c:pt idx="112">
                  <c:v>0.98992251272574028</c:v>
                </c:pt>
                <c:pt idx="113">
                  <c:v>0.989853204665335</c:v>
                </c:pt>
                <c:pt idx="114">
                  <c:v>0.98978401894229939</c:v>
                </c:pt>
                <c:pt idx="115">
                  <c:v>0.98971495483723115</c:v>
                </c:pt>
                <c:pt idx="116">
                  <c:v>0.98964601163505184</c:v>
                </c:pt>
                <c:pt idx="117">
                  <c:v>0.98957718862497934</c:v>
                </c:pt>
                <c:pt idx="118">
                  <c:v>0.98950848510050116</c:v>
                </c:pt>
                <c:pt idx="119">
                  <c:v>0.98943990035934837</c:v>
                </c:pt>
                <c:pt idx="120">
                  <c:v>0.98937143370346947</c:v>
                </c:pt>
                <c:pt idx="121">
                  <c:v>0.98930308443900306</c:v>
                </c:pt>
                <c:pt idx="122">
                  <c:v>0.98923485187625415</c:v>
                </c:pt>
                <c:pt idx="123">
                  <c:v>0.98916673532966759</c:v>
                </c:pt>
                <c:pt idx="124">
                  <c:v>0.98909873411780269</c:v>
                </c:pt>
                <c:pt idx="125">
                  <c:v>0.98903084756330917</c:v>
                </c:pt>
                <c:pt idx="126">
                  <c:v>0.98896307499290104</c:v>
                </c:pt>
                <c:pt idx="127">
                  <c:v>0.98889541573733264</c:v>
                </c:pt>
                <c:pt idx="128">
                  <c:v>0.9888278691313751</c:v>
                </c:pt>
                <c:pt idx="129">
                  <c:v>0.98876043451379003</c:v>
                </c:pt>
                <c:pt idx="130">
                  <c:v>0.98869311122730719</c:v>
                </c:pt>
                <c:pt idx="131">
                  <c:v>0.98862589861859995</c:v>
                </c:pt>
                <c:pt idx="132">
                  <c:v>0.98855879603826136</c:v>
                </c:pt>
                <c:pt idx="133">
                  <c:v>0.98849180284078031</c:v>
                </c:pt>
                <c:pt idx="134">
                  <c:v>0.98842491838451907</c:v>
                </c:pt>
                <c:pt idx="135">
                  <c:v>0.98835814203168937</c:v>
                </c:pt>
                <c:pt idx="136">
                  <c:v>0.98829147314832877</c:v>
                </c:pt>
                <c:pt idx="137">
                  <c:v>0.98822491110427824</c:v>
                </c:pt>
                <c:pt idx="138">
                  <c:v>0.98815845527315982</c:v>
                </c:pt>
                <c:pt idx="139">
                  <c:v>0.98809210503235201</c:v>
                </c:pt>
                <c:pt idx="140">
                  <c:v>0.98802585976297008</c:v>
                </c:pt>
                <c:pt idx="141">
                  <c:v>0.98795971884984091</c:v>
                </c:pt>
                <c:pt idx="142">
                  <c:v>0.98789368168148173</c:v>
                </c:pt>
                <c:pt idx="143">
                  <c:v>0.98782774765007886</c:v>
                </c:pt>
                <c:pt idx="144">
                  <c:v>0.98776191615146425</c:v>
                </c:pt>
                <c:pt idx="145">
                  <c:v>0.98769618658509439</c:v>
                </c:pt>
                <c:pt idx="146">
                  <c:v>0.98763055835402813</c:v>
                </c:pt>
                <c:pt idx="147">
                  <c:v>0.98756503086490532</c:v>
                </c:pt>
                <c:pt idx="148">
                  <c:v>0.98749960352792554</c:v>
                </c:pt>
                <c:pt idx="149">
                  <c:v>0.98743427575682674</c:v>
                </c:pt>
                <c:pt idx="150">
                  <c:v>0.98736904696886307</c:v>
                </c:pt>
                <c:pt idx="151">
                  <c:v>0.98730391658478445</c:v>
                </c:pt>
                <c:pt idx="152">
                  <c:v>0.98723888402881654</c:v>
                </c:pt>
                <c:pt idx="153">
                  <c:v>0.98717394872863751</c:v>
                </c:pt>
                <c:pt idx="154">
                  <c:v>0.98710911011536007</c:v>
                </c:pt>
                <c:pt idx="155">
                  <c:v>0.98704436762350878</c:v>
                </c:pt>
                <c:pt idx="156">
                  <c:v>0.98697972069100059</c:v>
                </c:pt>
                <c:pt idx="157">
                  <c:v>0.986915168759124</c:v>
                </c:pt>
                <c:pt idx="158">
                  <c:v>0.98685071127251933</c:v>
                </c:pt>
                <c:pt idx="159">
                  <c:v>0.98678634767915829</c:v>
                </c:pt>
                <c:pt idx="160">
                  <c:v>0.98672207743032403</c:v>
                </c:pt>
                <c:pt idx="161">
                  <c:v>0.98665789998059106</c:v>
                </c:pt>
                <c:pt idx="162">
                  <c:v>0.98659381478780583</c:v>
                </c:pt>
                <c:pt idx="163">
                  <c:v>0.98652982131306699</c:v>
                </c:pt>
                <c:pt idx="164">
                  <c:v>0.98646591902070602</c:v>
                </c:pt>
                <c:pt idx="165">
                  <c:v>0.98640210737826761</c:v>
                </c:pt>
                <c:pt idx="166">
                  <c:v>0.98633838585649025</c:v>
                </c:pt>
                <c:pt idx="167">
                  <c:v>0.98627475392928743</c:v>
                </c:pt>
                <c:pt idx="168">
                  <c:v>0.98621121107372889</c:v>
                </c:pt>
                <c:pt idx="169">
                  <c:v>0.98614775677001987</c:v>
                </c:pt>
                <c:pt idx="170">
                  <c:v>0.98608439050148522</c:v>
                </c:pt>
                <c:pt idx="171">
                  <c:v>0.98602111175454832</c:v>
                </c:pt>
                <c:pt idx="172">
                  <c:v>0.98595792001871285</c:v>
                </c:pt>
                <c:pt idx="173">
                  <c:v>0.98589481478654628</c:v>
                </c:pt>
                <c:pt idx="174">
                  <c:v>0.98583179555365785</c:v>
                </c:pt>
                <c:pt idx="175">
                  <c:v>0.98576886181868439</c:v>
                </c:pt>
                <c:pt idx="176">
                  <c:v>0.98570601308326844</c:v>
                </c:pt>
                <c:pt idx="177">
                  <c:v>0.98564324885204357</c:v>
                </c:pt>
                <c:pt idx="178">
                  <c:v>0.98558056863261345</c:v>
                </c:pt>
                <c:pt idx="179">
                  <c:v>0.98551797193553625</c:v>
                </c:pt>
                <c:pt idx="180">
                  <c:v>0.98545545827430581</c:v>
                </c:pt>
                <c:pt idx="181">
                  <c:v>0.98539302716533417</c:v>
                </c:pt>
                <c:pt idx="182">
                  <c:v>0.98533067812793462</c:v>
                </c:pt>
                <c:pt idx="183">
                  <c:v>0.98526841068430304</c:v>
                </c:pt>
                <c:pt idx="184">
                  <c:v>0.98520622435950211</c:v>
                </c:pt>
                <c:pt idx="185">
                  <c:v>0.98514411868144292</c:v>
                </c:pt>
                <c:pt idx="186">
                  <c:v>0.98508209318086848</c:v>
                </c:pt>
                <c:pt idx="187">
                  <c:v>0.98502014739133714</c:v>
                </c:pt>
                <c:pt idx="188">
                  <c:v>0.98495828084920434</c:v>
                </c:pt>
                <c:pt idx="189">
                  <c:v>0.98489649309360727</c:v>
                </c:pt>
                <c:pt idx="190">
                  <c:v>0.9848347836664475</c:v>
                </c:pt>
                <c:pt idx="191">
                  <c:v>0.98477315211237404</c:v>
                </c:pt>
                <c:pt idx="192">
                  <c:v>0.98471159797876762</c:v>
                </c:pt>
                <c:pt idx="193">
                  <c:v>0.98465012081572378</c:v>
                </c:pt>
                <c:pt idx="194">
                  <c:v>0.98458872017603694</c:v>
                </c:pt>
                <c:pt idx="195">
                  <c:v>0.98452739561518432</c:v>
                </c:pt>
                <c:pt idx="196">
                  <c:v>0.98446614669130839</c:v>
                </c:pt>
                <c:pt idx="197">
                  <c:v>0.98440497296520346</c:v>
                </c:pt>
                <c:pt idx="198">
                  <c:v>0.98434387400029744</c:v>
                </c:pt>
                <c:pt idx="199">
                  <c:v>0.98428284936263721</c:v>
                </c:pt>
                <c:pt idx="200">
                  <c:v>0.9842218986208725</c:v>
                </c:pt>
                <c:pt idx="201">
                  <c:v>0.98416102134624073</c:v>
                </c:pt>
                <c:pt idx="202">
                  <c:v>0.98410021711255091</c:v>
                </c:pt>
                <c:pt idx="203">
                  <c:v>0.98403948549616849</c:v>
                </c:pt>
                <c:pt idx="204">
                  <c:v>0.98397882607600018</c:v>
                </c:pt>
                <c:pt idx="205">
                  <c:v>0.98391823843347803</c:v>
                </c:pt>
                <c:pt idx="206">
                  <c:v>0.98385772215254541</c:v>
                </c:pt>
                <c:pt idx="207">
                  <c:v>0.98379727681964091</c:v>
                </c:pt>
                <c:pt idx="208">
                  <c:v>0.98373690202368391</c:v>
                </c:pt>
                <c:pt idx="209">
                  <c:v>0.98367659735605917</c:v>
                </c:pt>
                <c:pt idx="210">
                  <c:v>0.98361636241060313</c:v>
                </c:pt>
                <c:pt idx="211">
                  <c:v>0.98355619678358763</c:v>
                </c:pt>
                <c:pt idx="212">
                  <c:v>0.98349610007370725</c:v>
                </c:pt>
                <c:pt idx="213">
                  <c:v>0.98343607188206261</c:v>
                </c:pt>
                <c:pt idx="214">
                  <c:v>0.98337611181214712</c:v>
                </c:pt>
                <c:pt idx="215">
                  <c:v>0.98331621946983316</c:v>
                </c:pt>
                <c:pt idx="216">
                  <c:v>0.98325639446335678</c:v>
                </c:pt>
                <c:pt idx="217">
                  <c:v>0.98319663640330357</c:v>
                </c:pt>
                <c:pt idx="218">
                  <c:v>0.98313694490259518</c:v>
                </c:pt>
                <c:pt idx="219">
                  <c:v>0.98307731957647526</c:v>
                </c:pt>
                <c:pt idx="220">
                  <c:v>0.98301776004249497</c:v>
                </c:pt>
                <c:pt idx="221">
                  <c:v>0.98295826592049929</c:v>
                </c:pt>
                <c:pt idx="222">
                  <c:v>0.98289883683261381</c:v>
                </c:pt>
                <c:pt idx="223">
                  <c:v>0.98283947240323022</c:v>
                </c:pt>
                <c:pt idx="224">
                  <c:v>0.98278017225899339</c:v>
                </c:pt>
                <c:pt idx="225">
                  <c:v>0.98272093602878741</c:v>
                </c:pt>
                <c:pt idx="226">
                  <c:v>0.98266176334372246</c:v>
                </c:pt>
                <c:pt idx="227">
                  <c:v>0.98260265383712142</c:v>
                </c:pt>
                <c:pt idx="228">
                  <c:v>0.98254360714450617</c:v>
                </c:pt>
                <c:pt idx="229">
                  <c:v>0.9824846229035854</c:v>
                </c:pt>
                <c:pt idx="230">
                  <c:v>0.98242570075423985</c:v>
                </c:pt>
                <c:pt idx="231">
                  <c:v>0.98236684033851074</c:v>
                </c:pt>
                <c:pt idx="232">
                  <c:v>0.98230804130058691</c:v>
                </c:pt>
                <c:pt idx="233">
                  <c:v>0.98224930328679039</c:v>
                </c:pt>
                <c:pt idx="234">
                  <c:v>0.98219062594556494</c:v>
                </c:pt>
                <c:pt idx="235">
                  <c:v>0.98213200892746289</c:v>
                </c:pt>
                <c:pt idx="236">
                  <c:v>0.98207345188513262</c:v>
                </c:pt>
                <c:pt idx="237">
                  <c:v>0.98201495447330567</c:v>
                </c:pt>
                <c:pt idx="238">
                  <c:v>0.98195651634878489</c:v>
                </c:pt>
                <c:pt idx="239">
                  <c:v>0.98189813717043084</c:v>
                </c:pt>
                <c:pt idx="240">
                  <c:v>0.98183981659915109</c:v>
                </c:pt>
                <c:pt idx="241">
                  <c:v>0.98178155429788638</c:v>
                </c:pt>
                <c:pt idx="242">
                  <c:v>0.98172334993159938</c:v>
                </c:pt>
                <c:pt idx="243">
                  <c:v>0.98166520316726225</c:v>
                </c:pt>
                <c:pt idx="244">
                  <c:v>0.98160711367384434</c:v>
                </c:pt>
                <c:pt idx="245">
                  <c:v>0.98154908112230044</c:v>
                </c:pt>
                <c:pt idx="246">
                  <c:v>0.98149110518555926</c:v>
                </c:pt>
                <c:pt idx="247">
                  <c:v>0.98143318553851111</c:v>
                </c:pt>
                <c:pt idx="248">
                  <c:v>0.98137532185799614</c:v>
                </c:pt>
                <c:pt idx="249">
                  <c:v>0.98131751382279264</c:v>
                </c:pt>
                <c:pt idx="250">
                  <c:v>0.98125976111360558</c:v>
                </c:pt>
                <c:pt idx="251">
                  <c:v>0.98120206341305471</c:v>
                </c:pt>
                <c:pt idx="252">
                  <c:v>0.98114442040566396</c:v>
                </c:pt>
                <c:pt idx="253">
                  <c:v>0.98108683177784917</c:v>
                </c:pt>
                <c:pt idx="254">
                  <c:v>0.98102929721790633</c:v>
                </c:pt>
                <c:pt idx="255">
                  <c:v>0.98097181641600151</c:v>
                </c:pt>
                <c:pt idx="256">
                  <c:v>0.98091438906415906</c:v>
                </c:pt>
                <c:pt idx="257">
                  <c:v>0.98085701485625054</c:v>
                </c:pt>
                <c:pt idx="258">
                  <c:v>0.98079969348798302</c:v>
                </c:pt>
                <c:pt idx="259">
                  <c:v>0.98074242465688899</c:v>
                </c:pt>
                <c:pt idx="260">
                  <c:v>0.98068520806231518</c:v>
                </c:pt>
                <c:pt idx="261">
                  <c:v>0.9806280434054111</c:v>
                </c:pt>
                <c:pt idx="262">
                  <c:v>0.98057093038911869</c:v>
                </c:pt>
                <c:pt idx="263">
                  <c:v>0.98051386871816204</c:v>
                </c:pt>
                <c:pt idx="264">
                  <c:v>0.98045685809903549</c:v>
                </c:pt>
                <c:pt idx="265">
                  <c:v>0.98039989823999418</c:v>
                </c:pt>
                <c:pt idx="266">
                  <c:v>0.98034298885104254</c:v>
                </c:pt>
                <c:pt idx="267">
                  <c:v>0.98028612964392459</c:v>
                </c:pt>
                <c:pt idx="268">
                  <c:v>0.98022932033211307</c:v>
                </c:pt>
                <c:pt idx="269">
                  <c:v>0.98017256063079905</c:v>
                </c:pt>
                <c:pt idx="270">
                  <c:v>0.98011585025688208</c:v>
                </c:pt>
                <c:pt idx="271">
                  <c:v>0.98005918892895894</c:v>
                </c:pt>
                <c:pt idx="272">
                  <c:v>0.98000257636731469</c:v>
                </c:pt>
                <c:pt idx="273">
                  <c:v>0.97994601229391176</c:v>
                </c:pt>
                <c:pt idx="274">
                  <c:v>0.97988949643237977</c:v>
                </c:pt>
                <c:pt idx="275">
                  <c:v>0.97983302850800635</c:v>
                </c:pt>
                <c:pt idx="276">
                  <c:v>0.97977660824772661</c:v>
                </c:pt>
                <c:pt idx="277">
                  <c:v>0.97972023538011321</c:v>
                </c:pt>
                <c:pt idx="278">
                  <c:v>0.9796639096353662</c:v>
                </c:pt>
                <c:pt idx="279">
                  <c:v>0.97960763074530421</c:v>
                </c:pt>
                <c:pt idx="280">
                  <c:v>0.97955139844335437</c:v>
                </c:pt>
                <c:pt idx="281">
                  <c:v>0.97949521246454208</c:v>
                </c:pt>
                <c:pt idx="282">
                  <c:v>0.97943907254548179</c:v>
                </c:pt>
                <c:pt idx="283">
                  <c:v>0.9793829784243685</c:v>
                </c:pt>
                <c:pt idx="284">
                  <c:v>0.9793269298409657</c:v>
                </c:pt>
                <c:pt idx="285">
                  <c:v>0.97927092653659942</c:v>
                </c:pt>
                <c:pt idx="286">
                  <c:v>0.97921496825414556</c:v>
                </c:pt>
                <c:pt idx="287">
                  <c:v>0.97915905473802234</c:v>
                </c:pt>
                <c:pt idx="288">
                  <c:v>0.9791031857341812</c:v>
                </c:pt>
                <c:pt idx="289">
                  <c:v>0.97904736099009682</c:v>
                </c:pt>
                <c:pt idx="290">
                  <c:v>0.97899158025475852</c:v>
                </c:pt>
                <c:pt idx="291">
                  <c:v>0.97893584327866079</c:v>
                </c:pt>
                <c:pt idx="292">
                  <c:v>0.97888014981379423</c:v>
                </c:pt>
                <c:pt idx="293">
                  <c:v>0.97882449961363716</c:v>
                </c:pt>
                <c:pt idx="294">
                  <c:v>0.97876889243314613</c:v>
                </c:pt>
                <c:pt idx="295">
                  <c:v>0.97871332802874733</c:v>
                </c:pt>
                <c:pt idx="296">
                  <c:v>0.97865780615832731</c:v>
                </c:pt>
                <c:pt idx="297">
                  <c:v>0.97860232658122503</c:v>
                </c:pt>
                <c:pt idx="298">
                  <c:v>0.97854688905822218</c:v>
                </c:pt>
                <c:pt idx="299">
                  <c:v>0.97849149335153573</c:v>
                </c:pt>
                <c:pt idx="300">
                  <c:v>0.97843613922480788</c:v>
                </c:pt>
                <c:pt idx="301">
                  <c:v>0.97838082644309876</c:v>
                </c:pt>
                <c:pt idx="302">
                  <c:v>0.9783255547728773</c:v>
                </c:pt>
                <c:pt idx="303">
                  <c:v>0.97827032398201252</c:v>
                </c:pt>
                <c:pt idx="304">
                  <c:v>0.97821513383976633</c:v>
                </c:pt>
                <c:pt idx="305">
                  <c:v>0.97815998411678329</c:v>
                </c:pt>
                <c:pt idx="306">
                  <c:v>0.97810487458508444</c:v>
                </c:pt>
                <c:pt idx="307">
                  <c:v>0.97804980501805705</c:v>
                </c:pt>
                <c:pt idx="308">
                  <c:v>0.97799477519044775</c:v>
                </c:pt>
                <c:pt idx="309">
                  <c:v>0.97793978487835398</c:v>
                </c:pt>
                <c:pt idx="310">
                  <c:v>0.97788483385921576</c:v>
                </c:pt>
                <c:pt idx="311">
                  <c:v>0.97782992191180795</c:v>
                </c:pt>
                <c:pt idx="312">
                  <c:v>0.97777504881623167</c:v>
                </c:pt>
                <c:pt idx="313">
                  <c:v>0.9777202143539071</c:v>
                </c:pt>
                <c:pt idx="314">
                  <c:v>0.97766541830756515</c:v>
                </c:pt>
                <c:pt idx="315">
                  <c:v>0.9776106604612389</c:v>
                </c:pt>
                <c:pt idx="316">
                  <c:v>0.97755594060025786</c:v>
                </c:pt>
                <c:pt idx="317">
                  <c:v>0.97750125851123748</c:v>
                </c:pt>
                <c:pt idx="318">
                  <c:v>0.97744661398207322</c:v>
                </c:pt>
                <c:pt idx="319">
                  <c:v>0.97739200680193306</c:v>
                </c:pt>
                <c:pt idx="320">
                  <c:v>0.97733743676124851</c:v>
                </c:pt>
                <c:pt idx="321">
                  <c:v>0.977282903651708</c:v>
                </c:pt>
                <c:pt idx="322">
                  <c:v>0.97722840726624927</c:v>
                </c:pt>
                <c:pt idx="323">
                  <c:v>0.97717394739905139</c:v>
                </c:pt>
                <c:pt idx="324">
                  <c:v>0.9771195238455278</c:v>
                </c:pt>
                <c:pt idx="325">
                  <c:v>0.97706513640231896</c:v>
                </c:pt>
                <c:pt idx="326">
                  <c:v>0.97701078486728454</c:v>
                </c:pt>
                <c:pt idx="327">
                  <c:v>0.97695646903949585</c:v>
                </c:pt>
                <c:pt idx="328">
                  <c:v>0.97690218871922996</c:v>
                </c:pt>
                <c:pt idx="329">
                  <c:v>0.9768479437079608</c:v>
                </c:pt>
                <c:pt idx="330">
                  <c:v>0.97679373380835344</c:v>
                </c:pt>
                <c:pt idx="331">
                  <c:v>0.97673955882425545</c:v>
                </c:pt>
                <c:pt idx="332">
                  <c:v>0.97668541856069135</c:v>
                </c:pt>
                <c:pt idx="333">
                  <c:v>0.97663131282385396</c:v>
                </c:pt>
                <c:pt idx="334">
                  <c:v>0.97657724142109881</c:v>
                </c:pt>
                <c:pt idx="335">
                  <c:v>0.97652320416093652</c:v>
                </c:pt>
                <c:pt idx="336">
                  <c:v>0.97646920085302602</c:v>
                </c:pt>
                <c:pt idx="337">
                  <c:v>0.97641523130816688</c:v>
                </c:pt>
                <c:pt idx="338">
                  <c:v>0.97636129533829386</c:v>
                </c:pt>
                <c:pt idx="339">
                  <c:v>0.97630739275646927</c:v>
                </c:pt>
                <c:pt idx="340">
                  <c:v>0.97625352337687621</c:v>
                </c:pt>
                <c:pt idx="341">
                  <c:v>0.97619968701481163</c:v>
                </c:pt>
                <c:pt idx="342">
                  <c:v>0.97614588348668052</c:v>
                </c:pt>
                <c:pt idx="343">
                  <c:v>0.97609211260998852</c:v>
                </c:pt>
                <c:pt idx="344">
                  <c:v>0.97603837420333572</c:v>
                </c:pt>
                <c:pt idx="345">
                  <c:v>0.97598466808640927</c:v>
                </c:pt>
                <c:pt idx="346">
                  <c:v>0.97593099407997796</c:v>
                </c:pt>
                <c:pt idx="347">
                  <c:v>0.9758773520058851</c:v>
                </c:pt>
                <c:pt idx="348">
                  <c:v>0.97582374168704222</c:v>
                </c:pt>
                <c:pt idx="349">
                  <c:v>0.97577016294742291</c:v>
                </c:pt>
                <c:pt idx="350">
                  <c:v>0.97571661561205547</c:v>
                </c:pt>
                <c:pt idx="351">
                  <c:v>0.97566309950701846</c:v>
                </c:pt>
                <c:pt idx="352">
                  <c:v>0.97560961445943206</c:v>
                </c:pt>
                <c:pt idx="353">
                  <c:v>0.97555616029745373</c:v>
                </c:pt>
                <c:pt idx="354">
                  <c:v>0.97550273685027111</c:v>
                </c:pt>
                <c:pt idx="355">
                  <c:v>0.97544934394809579</c:v>
                </c:pt>
                <c:pt idx="356">
                  <c:v>0.97539598142215744</c:v>
                </c:pt>
                <c:pt idx="357">
                  <c:v>0.97534264910469792</c:v>
                </c:pt>
                <c:pt idx="358">
                  <c:v>0.97528934682896495</c:v>
                </c:pt>
                <c:pt idx="359">
                  <c:v>0.97523607442920501</c:v>
                </c:pt>
                <c:pt idx="360">
                  <c:v>0.97518283174065978</c:v>
                </c:pt>
                <c:pt idx="361">
                  <c:v>0.97512961859955793</c:v>
                </c:pt>
                <c:pt idx="362">
                  <c:v>0.97507643484311002</c:v>
                </c:pt>
                <c:pt idx="363">
                  <c:v>0.97502328030950303</c:v>
                </c:pt>
                <c:pt idx="364">
                  <c:v>0.97497015483789407</c:v>
                </c:pt>
                <c:pt idx="365">
                  <c:v>0.97491705826840436</c:v>
                </c:pt>
                <c:pt idx="366">
                  <c:v>0.97486399044211336</c:v>
                </c:pt>
                <c:pt idx="367">
                  <c:v>0.97481095120105399</c:v>
                </c:pt>
                <c:pt idx="368">
                  <c:v>0.97475794038820596</c:v>
                </c:pt>
                <c:pt idx="369">
                  <c:v>0.97470495784749012</c:v>
                </c:pt>
                <c:pt idx="370">
                  <c:v>0.97465200342376401</c:v>
                </c:pt>
                <c:pt idx="371">
                  <c:v>0.97459907696281356</c:v>
                </c:pt>
                <c:pt idx="372">
                  <c:v>0.97454617831135104</c:v>
                </c:pt>
                <c:pt idx="373">
                  <c:v>0.97449330731700667</c:v>
                </c:pt>
                <c:pt idx="374">
                  <c:v>0.97444046382832483</c:v>
                </c:pt>
                <c:pt idx="375">
                  <c:v>0.97438764769475716</c:v>
                </c:pt>
                <c:pt idx="376">
                  <c:v>0.97433485876665826</c:v>
                </c:pt>
                <c:pt idx="377">
                  <c:v>0.97428209689528023</c:v>
                </c:pt>
                <c:pt idx="378">
                  <c:v>0.97422936193276655</c:v>
                </c:pt>
                <c:pt idx="379">
                  <c:v>0.97417665373214668</c:v>
                </c:pt>
                <c:pt idx="380">
                  <c:v>0.97412397214733237</c:v>
                </c:pt>
                <c:pt idx="381">
                  <c:v>0.97407131703310967</c:v>
                </c:pt>
                <c:pt idx="382">
                  <c:v>0.9740186882451366</c:v>
                </c:pt>
                <c:pt idx="383">
                  <c:v>0.97396608563993547</c:v>
                </c:pt>
                <c:pt idx="384">
                  <c:v>0.97391350907488961</c:v>
                </c:pt>
                <c:pt idx="385">
                  <c:v>0.97386095840823639</c:v>
                </c:pt>
                <c:pt idx="386">
                  <c:v>0.97380843349906387</c:v>
                </c:pt>
                <c:pt idx="387">
                  <c:v>0.97375593420730422</c:v>
                </c:pt>
                <c:pt idx="388">
                  <c:v>0.97370346039372957</c:v>
                </c:pt>
                <c:pt idx="389">
                  <c:v>0.97365101191994707</c:v>
                </c:pt>
                <c:pt idx="390">
                  <c:v>0.97359858864839255</c:v>
                </c:pt>
                <c:pt idx="391">
                  <c:v>0.97354619044232749</c:v>
                </c:pt>
                <c:pt idx="392">
                  <c:v>0.97349381716583239</c:v>
                </c:pt>
                <c:pt idx="393">
                  <c:v>0.9734414686838031</c:v>
                </c:pt>
                <c:pt idx="394">
                  <c:v>0.97338914486194483</c:v>
                </c:pt>
                <c:pt idx="395">
                  <c:v>0.97333684556676803</c:v>
                </c:pt>
                <c:pt idx="396">
                  <c:v>0.97328457066558405</c:v>
                </c:pt>
                <c:pt idx="397">
                  <c:v>0.97323232002649818</c:v>
                </c:pt>
                <c:pt idx="398">
                  <c:v>0.97318009351840784</c:v>
                </c:pt>
                <c:pt idx="399">
                  <c:v>0.97312789101099539</c:v>
                </c:pt>
                <c:pt idx="400">
                  <c:v>0.97307571237472457</c:v>
                </c:pt>
                <c:pt idx="401">
                  <c:v>0.97302355748083602</c:v>
                </c:pt>
                <c:pt idx="402">
                  <c:v>0.9729714262013418</c:v>
                </c:pt>
                <c:pt idx="403">
                  <c:v>0.97291931840902113</c:v>
                </c:pt>
                <c:pt idx="404">
                  <c:v>0.97286723397741615</c:v>
                </c:pt>
                <c:pt idx="405">
                  <c:v>0.97281517278082708</c:v>
                </c:pt>
                <c:pt idx="406">
                  <c:v>0.97276313469430709</c:v>
                </c:pt>
                <c:pt idx="407">
                  <c:v>0.97271111959365875</c:v>
                </c:pt>
                <c:pt idx="408">
                  <c:v>0.97265912735542881</c:v>
                </c:pt>
                <c:pt idx="409">
                  <c:v>0.97260715785690444</c:v>
                </c:pt>
                <c:pt idx="410">
                  <c:v>0.97255521097610775</c:v>
                </c:pt>
                <c:pt idx="411">
                  <c:v>0.97250328659179242</c:v>
                </c:pt>
                <c:pt idx="412">
                  <c:v>0.97245138458343916</c:v>
                </c:pt>
                <c:pt idx="413">
                  <c:v>0.97239950483125048</c:v>
                </c:pt>
                <c:pt idx="414">
                  <c:v>0.97234764721614686</c:v>
                </c:pt>
                <c:pt idx="415">
                  <c:v>0.97229581161976331</c:v>
                </c:pt>
                <c:pt idx="416">
                  <c:v>0.97224399792444394</c:v>
                </c:pt>
                <c:pt idx="417">
                  <c:v>0.97219220601323764</c:v>
                </c:pt>
                <c:pt idx="418">
                  <c:v>0.97214043576989462</c:v>
                </c:pt>
                <c:pt idx="419">
                  <c:v>0.9720886870788622</c:v>
                </c:pt>
                <c:pt idx="420">
                  <c:v>0.97203695982527982</c:v>
                </c:pt>
                <c:pt idx="421">
                  <c:v>0.97198525389497537</c:v>
                </c:pt>
                <c:pt idx="422">
                  <c:v>0.97193356917446128</c:v>
                </c:pt>
                <c:pt idx="423">
                  <c:v>0.97188190555093035</c:v>
                </c:pt>
                <c:pt idx="424">
                  <c:v>0.97183026291225061</c:v>
                </c:pt>
                <c:pt idx="425">
                  <c:v>0.97177864114696344</c:v>
                </c:pt>
                <c:pt idx="426">
                  <c:v>0.97172704014427724</c:v>
                </c:pt>
                <c:pt idx="427">
                  <c:v>0.97167545979406522</c:v>
                </c:pt>
                <c:pt idx="428">
                  <c:v>0.97162389998685983</c:v>
                </c:pt>
                <c:pt idx="429">
                  <c:v>0.97157236061385011</c:v>
                </c:pt>
                <c:pt idx="430">
                  <c:v>0.97152084156687701</c:v>
                </c:pt>
                <c:pt idx="431">
                  <c:v>0.97146934273843011</c:v>
                </c:pt>
                <c:pt idx="432">
                  <c:v>0.97141786402164276</c:v>
                </c:pt>
                <c:pt idx="433">
                  <c:v>0.97136640531028906</c:v>
                </c:pt>
                <c:pt idx="434">
                  <c:v>0.97131496649877991</c:v>
                </c:pt>
                <c:pt idx="435">
                  <c:v>0.97126354748215893</c:v>
                </c:pt>
                <c:pt idx="436">
                  <c:v>0.97121214815609835</c:v>
                </c:pt>
                <c:pt idx="437">
                  <c:v>0.97116076841689625</c:v>
                </c:pt>
                <c:pt idx="438">
                  <c:v>0.97110940816147184</c:v>
                </c:pt>
                <c:pt idx="439">
                  <c:v>0.97105806728736244</c:v>
                </c:pt>
                <c:pt idx="440">
                  <c:v>0.97100674569271872</c:v>
                </c:pt>
                <c:pt idx="441">
                  <c:v>0.97095544327630234</c:v>
                </c:pt>
                <c:pt idx="442">
                  <c:v>0.9709041599374818</c:v>
                </c:pt>
                <c:pt idx="443">
                  <c:v>0.97085289557622811</c:v>
                </c:pt>
                <c:pt idx="444">
                  <c:v>0.97080165009311192</c:v>
                </c:pt>
                <c:pt idx="445">
                  <c:v>0.97075042338929995</c:v>
                </c:pt>
                <c:pt idx="446">
                  <c:v>0.97069921536655102</c:v>
                </c:pt>
                <c:pt idx="447">
                  <c:v>0.97064802592721267</c:v>
                </c:pt>
                <c:pt idx="448">
                  <c:v>0.97059685497421777</c:v>
                </c:pt>
                <c:pt idx="449">
                  <c:v>0.97054570241108062</c:v>
                </c:pt>
                <c:pt idx="450">
                  <c:v>0.97049456814189416</c:v>
                </c:pt>
                <c:pt idx="451">
                  <c:v>0.97044345207132532</c:v>
                </c:pt>
                <c:pt idx="452">
                  <c:v>0.970392354104613</c:v>
                </c:pt>
                <c:pt idx="453">
                  <c:v>0.97034127414756377</c:v>
                </c:pt>
                <c:pt idx="454">
                  <c:v>0.97029021210654842</c:v>
                </c:pt>
                <c:pt idx="455">
                  <c:v>0.97023916788849895</c:v>
                </c:pt>
                <c:pt idx="456">
                  <c:v>0.97018814140090515</c:v>
                </c:pt>
                <c:pt idx="457">
                  <c:v>0.97013713255181089</c:v>
                </c:pt>
                <c:pt idx="458">
                  <c:v>0.97008614124981118</c:v>
                </c:pt>
                <c:pt idx="459">
                  <c:v>0.97003516740404871</c:v>
                </c:pt>
                <c:pt idx="460">
                  <c:v>0.96998421092421094</c:v>
                </c:pt>
                <c:pt idx="461">
                  <c:v>0.96993327172052579</c:v>
                </c:pt>
                <c:pt idx="462">
                  <c:v>0.96988234970375975</c:v>
                </c:pt>
                <c:pt idx="463">
                  <c:v>0.96983144478521355</c:v>
                </c:pt>
                <c:pt idx="464">
                  <c:v>0.9697805568767196</c:v>
                </c:pt>
                <c:pt idx="465">
                  <c:v>0.96972968589063879</c:v>
                </c:pt>
                <c:pt idx="466">
                  <c:v>0.96967883173985658</c:v>
                </c:pt>
                <c:pt idx="467">
                  <c:v>0.96962799433778091</c:v>
                </c:pt>
                <c:pt idx="468">
                  <c:v>0.96957717359833817</c:v>
                </c:pt>
                <c:pt idx="469">
                  <c:v>0.96952636943597081</c:v>
                </c:pt>
                <c:pt idx="470">
                  <c:v>0.96947558176563375</c:v>
                </c:pt>
                <c:pt idx="471">
                  <c:v>0.96942481050279139</c:v>
                </c:pt>
                <c:pt idx="472">
                  <c:v>0.9693740555634146</c:v>
                </c:pt>
                <c:pt idx="473">
                  <c:v>0.96932331686397799</c:v>
                </c:pt>
                <c:pt idx="474">
                  <c:v>0.96927259432145607</c:v>
                </c:pt>
                <c:pt idx="475">
                  <c:v>0.96922188785332153</c:v>
                </c:pt>
                <c:pt idx="476">
                  <c:v>0.96917119737754098</c:v>
                </c:pt>
                <c:pt idx="477">
                  <c:v>0.96912052281257244</c:v>
                </c:pt>
                <c:pt idx="478">
                  <c:v>0.96906986407736284</c:v>
                </c:pt>
                <c:pt idx="479">
                  <c:v>0.96901922109134431</c:v>
                </c:pt>
                <c:pt idx="480">
                  <c:v>0.96896859377443201</c:v>
                </c:pt>
                <c:pt idx="481">
                  <c:v>0.96891798204702073</c:v>
                </c:pt>
                <c:pt idx="482">
                  <c:v>0.96886738582998211</c:v>
                </c:pt>
                <c:pt idx="483">
                  <c:v>0.96881680504466194</c:v>
                </c:pt>
                <c:pt idx="484">
                  <c:v>0.96876623961287722</c:v>
                </c:pt>
                <c:pt idx="485">
                  <c:v>0.96871568945691333</c:v>
                </c:pt>
                <c:pt idx="486">
                  <c:v>0.96866515449952117</c:v>
                </c:pt>
                <c:pt idx="487">
                  <c:v>0.96861463466391429</c:v>
                </c:pt>
                <c:pt idx="488">
                  <c:v>0.96856412987376661</c:v>
                </c:pt>
                <c:pt idx="489">
                  <c:v>0.96851364005320872</c:v>
                </c:pt>
                <c:pt idx="490">
                  <c:v>0.96846316512682651</c:v>
                </c:pt>
                <c:pt idx="491">
                  <c:v>0.96841270501965682</c:v>
                </c:pt>
                <c:pt idx="492">
                  <c:v>0.96836225965718592</c:v>
                </c:pt>
                <c:pt idx="493">
                  <c:v>0.9683118289653464</c:v>
                </c:pt>
                <c:pt idx="494">
                  <c:v>0.96826141287051459</c:v>
                </c:pt>
                <c:pt idx="495">
                  <c:v>0.96821101129950793</c:v>
                </c:pt>
                <c:pt idx="496">
                  <c:v>0.96816062417958204</c:v>
                </c:pt>
                <c:pt idx="497">
                  <c:v>0.96811025143842833</c:v>
                </c:pt>
                <c:pt idx="498">
                  <c:v>0.96805989300417117</c:v>
                </c:pt>
                <c:pt idx="499">
                  <c:v>0.96800954880536605</c:v>
                </c:pt>
                <c:pt idx="500">
                  <c:v>0.96795921877099556</c:v>
                </c:pt>
                <c:pt idx="501">
                  <c:v>0.96790890283046849</c:v>
                </c:pt>
                <c:pt idx="502">
                  <c:v>0.96785860091361597</c:v>
                </c:pt>
                <c:pt idx="503">
                  <c:v>0.96780831295068948</c:v>
                </c:pt>
                <c:pt idx="504">
                  <c:v>0.96775803887235845</c:v>
                </c:pt>
                <c:pt idx="505">
                  <c:v>0.96770777860970758</c:v>
                </c:pt>
                <c:pt idx="506">
                  <c:v>0.96765753209423389</c:v>
                </c:pt>
                <c:pt idx="507">
                  <c:v>0.96760729925784539</c:v>
                </c:pt>
                <c:pt idx="508">
                  <c:v>0.96755708003285745</c:v>
                </c:pt>
                <c:pt idx="509">
                  <c:v>0.96750687435199079</c:v>
                </c:pt>
                <c:pt idx="510">
                  <c:v>0.96745668214836922</c:v>
                </c:pt>
                <c:pt idx="511">
                  <c:v>0.96740650335551737</c:v>
                </c:pt>
                <c:pt idx="512">
                  <c:v>0.96735633790735776</c:v>
                </c:pt>
                <c:pt idx="513">
                  <c:v>0.96730618573820859</c:v>
                </c:pt>
                <c:pt idx="514">
                  <c:v>0.96725604678278121</c:v>
                </c:pt>
                <c:pt idx="515">
                  <c:v>0.96720592097617841</c:v>
                </c:pt>
                <c:pt idx="516">
                  <c:v>0.96715580825389158</c:v>
                </c:pt>
                <c:pt idx="517">
                  <c:v>0.96710570855179834</c:v>
                </c:pt>
                <c:pt idx="518">
                  <c:v>0.96705562180616023</c:v>
                </c:pt>
                <c:pt idx="519">
                  <c:v>0.9670055479536207</c:v>
                </c:pt>
                <c:pt idx="520">
                  <c:v>0.96695548693120259</c:v>
                </c:pt>
                <c:pt idx="521">
                  <c:v>0.96690543867630552</c:v>
                </c:pt>
                <c:pt idx="522">
                  <c:v>0.96685540312670448</c:v>
                </c:pt>
                <c:pt idx="523">
                  <c:v>0.96680538022054707</c:v>
                </c:pt>
                <c:pt idx="524">
                  <c:v>0.96675536989635091</c:v>
                </c:pt>
                <c:pt idx="525">
                  <c:v>0.96670537209300222</c:v>
                </c:pt>
                <c:pt idx="526">
                  <c:v>0.9666553867497526</c:v>
                </c:pt>
                <c:pt idx="527">
                  <c:v>0.96660541380621801</c:v>
                </c:pt>
                <c:pt idx="528">
                  <c:v>0.9665554532023759</c:v>
                </c:pt>
                <c:pt idx="529">
                  <c:v>0.9665055048785629</c:v>
                </c:pt>
                <c:pt idx="530">
                  <c:v>0.96645556877547312</c:v>
                </c:pt>
                <c:pt idx="531">
                  <c:v>0.96640564483415548</c:v>
                </c:pt>
                <c:pt idx="532">
                  <c:v>0.96635573299601196</c:v>
                </c:pt>
                <c:pt idx="533">
                  <c:v>0.96630583320279606</c:v>
                </c:pt>
                <c:pt idx="534">
                  <c:v>0.96625594539660897</c:v>
                </c:pt>
                <c:pt idx="535">
                  <c:v>0.96620606951989951</c:v>
                </c:pt>
                <c:pt idx="536">
                  <c:v>0.96615620551546044</c:v>
                </c:pt>
                <c:pt idx="537">
                  <c:v>0.96610635332642736</c:v>
                </c:pt>
                <c:pt idx="538">
                  <c:v>0.96605651289627648</c:v>
                </c:pt>
                <c:pt idx="539">
                  <c:v>0.96600668416882185</c:v>
                </c:pt>
                <c:pt idx="540">
                  <c:v>0.96595686708821438</c:v>
                </c:pt>
                <c:pt idx="541">
                  <c:v>0.96590706159893946</c:v>
                </c:pt>
                <c:pt idx="542">
                  <c:v>0.96585726764581448</c:v>
                </c:pt>
                <c:pt idx="543">
                  <c:v>0.96580748517398751</c:v>
                </c:pt>
                <c:pt idx="544">
                  <c:v>0.96575771412893474</c:v>
                </c:pt>
                <c:pt idx="545">
                  <c:v>0.96570795445645896</c:v>
                </c:pt>
                <c:pt idx="546">
                  <c:v>0.96565820610268738</c:v>
                </c:pt>
                <c:pt idx="547">
                  <c:v>0.96560846901406983</c:v>
                </c:pt>
                <c:pt idx="548">
                  <c:v>0.96555874313737655</c:v>
                </c:pt>
                <c:pt idx="549">
                  <c:v>0.96550902841969666</c:v>
                </c:pt>
                <c:pt idx="550">
                  <c:v>0.96545932480843566</c:v>
                </c:pt>
                <c:pt idx="551">
                  <c:v>0.96540963225131438</c:v>
                </c:pt>
                <c:pt idx="552">
                  <c:v>0.96535995069636604</c:v>
                </c:pt>
                <c:pt idx="553">
                  <c:v>0.96531028009193576</c:v>
                </c:pt>
                <c:pt idx="554">
                  <c:v>0.96526062038667693</c:v>
                </c:pt>
                <c:pt idx="555">
                  <c:v>0.96521097152955082</c:v>
                </c:pt>
                <c:pt idx="556">
                  <c:v>0.96516133346982436</c:v>
                </c:pt>
                <c:pt idx="557">
                  <c:v>0.96511170615706765</c:v>
                </c:pt>
                <c:pt idx="558">
                  <c:v>0.96506208954115313</c:v>
                </c:pt>
                <c:pt idx="559">
                  <c:v>0.965012483572253</c:v>
                </c:pt>
                <c:pt idx="560">
                  <c:v>0.96496288820083786</c:v>
                </c:pt>
                <c:pt idx="561">
                  <c:v>0.96491330337767478</c:v>
                </c:pt>
                <c:pt idx="562">
                  <c:v>0.96486372905382534</c:v>
                </c:pt>
                <c:pt idx="563">
                  <c:v>0.96481416518064411</c:v>
                </c:pt>
                <c:pt idx="564">
                  <c:v>0.9647646117097769</c:v>
                </c:pt>
                <c:pt idx="565">
                  <c:v>0.96471506859315903</c:v>
                </c:pt>
                <c:pt idx="566">
                  <c:v>0.96466553578301317</c:v>
                </c:pt>
                <c:pt idx="567">
                  <c:v>0.96461601323184809</c:v>
                </c:pt>
                <c:pt idx="568">
                  <c:v>0.96456650089245688</c:v>
                </c:pt>
                <c:pt idx="569">
                  <c:v>0.96451699871791485</c:v>
                </c:pt>
                <c:pt idx="570">
                  <c:v>0.96446750666157854</c:v>
                </c:pt>
                <c:pt idx="571">
                  <c:v>0.9644180246770836</c:v>
                </c:pt>
                <c:pt idx="572">
                  <c:v>0.96436855271834265</c:v>
                </c:pt>
                <c:pt idx="573">
                  <c:v>0.96431909073954492</c:v>
                </c:pt>
                <c:pt idx="574">
                  <c:v>0.96426963869515292</c:v>
                </c:pt>
                <c:pt idx="575">
                  <c:v>0.96422019653990232</c:v>
                </c:pt>
                <c:pt idx="576">
                  <c:v>0.96417076422879944</c:v>
                </c:pt>
                <c:pt idx="577">
                  <c:v>0.96412134171711972</c:v>
                </c:pt>
                <c:pt idx="578">
                  <c:v>0.9640719289604065</c:v>
                </c:pt>
                <c:pt idx="579">
                  <c:v>0.96402252591446869</c:v>
                </c:pt>
                <c:pt idx="580">
                  <c:v>0.96397313253538019</c:v>
                </c:pt>
                <c:pt idx="581">
                  <c:v>0.9639237487794774</c:v>
                </c:pt>
                <c:pt idx="582">
                  <c:v>0.96387437460335812</c:v>
                </c:pt>
                <c:pt idx="583">
                  <c:v>0.96382500996387965</c:v>
                </c:pt>
                <c:pt idx="584">
                  <c:v>0.96377565481815763</c:v>
                </c:pt>
                <c:pt idx="585">
                  <c:v>0.96372630912356427</c:v>
                </c:pt>
                <c:pt idx="586">
                  <c:v>0.96367697283772669</c:v>
                </c:pt>
                <c:pt idx="587">
                  <c:v>0.96362764591852579</c:v>
                </c:pt>
                <c:pt idx="588">
                  <c:v>0.96357832832409418</c:v>
                </c:pt>
                <c:pt idx="589">
                  <c:v>0.96352902001281526</c:v>
                </c:pt>
                <c:pt idx="590">
                  <c:v>0.96347972094332091</c:v>
                </c:pt>
                <c:pt idx="591">
                  <c:v>0.96343043107449111</c:v>
                </c:pt>
                <c:pt idx="592">
                  <c:v>0.96338115036545124</c:v>
                </c:pt>
                <c:pt idx="593">
                  <c:v>0.9633318787755718</c:v>
                </c:pt>
                <c:pt idx="594">
                  <c:v>0.96328261626446621</c:v>
                </c:pt>
                <c:pt idx="595">
                  <c:v>0.96323336279198901</c:v>
                </c:pt>
                <c:pt idx="596">
                  <c:v>0.96318411831823547</c:v>
                </c:pt>
                <c:pt idx="597">
                  <c:v>0.96313488280353932</c:v>
                </c:pt>
                <c:pt idx="598">
                  <c:v>0.96308565620847142</c:v>
                </c:pt>
                <c:pt idx="599">
                  <c:v>0.96303643849383902</c:v>
                </c:pt>
                <c:pt idx="600">
                  <c:v>0.96298722962068328</c:v>
                </c:pt>
                <c:pt idx="601">
                  <c:v>0.96293802955027863</c:v>
                </c:pt>
                <c:pt idx="602">
                  <c:v>0.96288883824413096</c:v>
                </c:pt>
                <c:pt idx="603">
                  <c:v>0.96283965566397656</c:v>
                </c:pt>
                <c:pt idx="604">
                  <c:v>0.96279048177178073</c:v>
                </c:pt>
                <c:pt idx="605">
                  <c:v>0.96274131652973582</c:v>
                </c:pt>
                <c:pt idx="606">
                  <c:v>0.96269215990026091</c:v>
                </c:pt>
                <c:pt idx="607">
                  <c:v>0.96264301184599921</c:v>
                </c:pt>
                <c:pt idx="608">
                  <c:v>0.96259387232981797</c:v>
                </c:pt>
                <c:pt idx="609">
                  <c:v>0.96254474131480605</c:v>
                </c:pt>
                <c:pt idx="610">
                  <c:v>0.96249561876427325</c:v>
                </c:pt>
                <c:pt idx="611">
                  <c:v>0.96244650464174875</c:v>
                </c:pt>
                <c:pt idx="612">
                  <c:v>0.96239739891097986</c:v>
                </c:pt>
                <c:pt idx="613">
                  <c:v>0.96234830153593087</c:v>
                </c:pt>
                <c:pt idx="614">
                  <c:v>0.9622992124807811</c:v>
                </c:pt>
                <c:pt idx="615">
                  <c:v>0.96225013170992457</c:v>
                </c:pt>
                <c:pt idx="616">
                  <c:v>0.96220105918796794</c:v>
                </c:pt>
                <c:pt idx="617">
                  <c:v>0.96215199487972969</c:v>
                </c:pt>
                <c:pt idx="618">
                  <c:v>0.96210293875023856</c:v>
                </c:pt>
                <c:pt idx="619">
                  <c:v>0.96205389076473236</c:v>
                </c:pt>
                <c:pt idx="620">
                  <c:v>0.96200485088865684</c:v>
                </c:pt>
                <c:pt idx="621">
                  <c:v>0.96195581908766414</c:v>
                </c:pt>
                <c:pt idx="622">
                  <c:v>0.96190679532761247</c:v>
                </c:pt>
                <c:pt idx="623">
                  <c:v>0.96185777957456331</c:v>
                </c:pt>
                <c:pt idx="624">
                  <c:v>0.96180877179478153</c:v>
                </c:pt>
                <c:pt idx="625">
                  <c:v>0.9617597719547335</c:v>
                </c:pt>
                <c:pt idx="626">
                  <c:v>0.96171078002108612</c:v>
                </c:pt>
                <c:pt idx="627">
                  <c:v>0.961661795960706</c:v>
                </c:pt>
                <c:pt idx="628">
                  <c:v>0.96161281974065693</c:v>
                </c:pt>
                <c:pt idx="629">
                  <c:v>0.96156385132820055</c:v>
                </c:pt>
                <c:pt idx="630">
                  <c:v>0.96151489069079343</c:v>
                </c:pt>
                <c:pt idx="631">
                  <c:v>0.96146593779608736</c:v>
                </c:pt>
                <c:pt idx="632">
                  <c:v>0.96141699261192692</c:v>
                </c:pt>
                <c:pt idx="633">
                  <c:v>0.96136805510634937</c:v>
                </c:pt>
                <c:pt idx="634">
                  <c:v>0.96131912524758278</c:v>
                </c:pt>
                <c:pt idx="635">
                  <c:v>0.96127020300404509</c:v>
                </c:pt>
                <c:pt idx="636">
                  <c:v>0.96122128834434339</c:v>
                </c:pt>
                <c:pt idx="637">
                  <c:v>0.96117238123727189</c:v>
                </c:pt>
                <c:pt idx="638">
                  <c:v>0.96112348165181172</c:v>
                </c:pt>
                <c:pt idx="639">
                  <c:v>0.96107458955712932</c:v>
                </c:pt>
                <c:pt idx="640">
                  <c:v>0.961025704922575</c:v>
                </c:pt>
                <c:pt idx="641">
                  <c:v>0.960976827717683</c:v>
                </c:pt>
                <c:pt idx="642">
                  <c:v>0.96092795791216912</c:v>
                </c:pt>
                <c:pt idx="643">
                  <c:v>0.96087909547593042</c:v>
                </c:pt>
                <c:pt idx="644">
                  <c:v>0.96083024037904341</c:v>
                </c:pt>
                <c:pt idx="645">
                  <c:v>0.96078139259176409</c:v>
                </c:pt>
                <c:pt idx="646">
                  <c:v>0.96073255208452546</c:v>
                </c:pt>
                <c:pt idx="647">
                  <c:v>0.96068371882793802</c:v>
                </c:pt>
                <c:pt idx="648">
                  <c:v>0.96063489279278724</c:v>
                </c:pt>
                <c:pt idx="649">
                  <c:v>0.96058607395003348</c:v>
                </c:pt>
                <c:pt idx="650">
                  <c:v>0.9605372622708106</c:v>
                </c:pt>
                <c:pt idx="651">
                  <c:v>0.96048845772642477</c:v>
                </c:pt>
                <c:pt idx="652">
                  <c:v>0.9604396602883537</c:v>
                </c:pt>
                <c:pt idx="653">
                  <c:v>0.96039086992824585</c:v>
                </c:pt>
                <c:pt idx="654">
                  <c:v>0.96034208661791842</c:v>
                </c:pt>
                <c:pt idx="655">
                  <c:v>0.9602933103293575</c:v>
                </c:pt>
                <c:pt idx="656">
                  <c:v>0.96024454103471646</c:v>
                </c:pt>
                <c:pt idx="657">
                  <c:v>0.9601957787063149</c:v>
                </c:pt>
                <c:pt idx="658">
                  <c:v>0.9601470233166377</c:v>
                </c:pt>
                <c:pt idx="659">
                  <c:v>0.96009827483833454</c:v>
                </c:pt>
                <c:pt idx="660">
                  <c:v>0.96004953324421816</c:v>
                </c:pt>
                <c:pt idx="661">
                  <c:v>0.96000079850726372</c:v>
                </c:pt>
                <c:pt idx="662">
                  <c:v>0.95995207060060805</c:v>
                </c:pt>
                <c:pt idx="663">
                  <c:v>0.95990334949754785</c:v>
                </c:pt>
                <c:pt idx="664">
                  <c:v>0.95985463517154002</c:v>
                </c:pt>
                <c:pt idx="665">
                  <c:v>0.95980592759619976</c:v>
                </c:pt>
                <c:pt idx="666">
                  <c:v>0.95975722674529973</c:v>
                </c:pt>
                <c:pt idx="667">
                  <c:v>0.95970853259276934</c:v>
                </c:pt>
                <c:pt idx="668">
                  <c:v>0.95965984511269387</c:v>
                </c:pt>
                <c:pt idx="669">
                  <c:v>0.95961116427931292</c:v>
                </c:pt>
                <c:pt idx="670">
                  <c:v>0.95956249006702043</c:v>
                </c:pt>
                <c:pt idx="671">
                  <c:v>0.95951382245036299</c:v>
                </c:pt>
                <c:pt idx="672">
                  <c:v>0.95946516140403937</c:v>
                </c:pt>
                <c:pt idx="673">
                  <c:v>0.95941650690289926</c:v>
                </c:pt>
                <c:pt idx="674">
                  <c:v>0.95936785892194265</c:v>
                </c:pt>
                <c:pt idx="675">
                  <c:v>0.95931921743631876</c:v>
                </c:pt>
                <c:pt idx="676">
                  <c:v>0.95927058242132512</c:v>
                </c:pt>
                <c:pt idx="677">
                  <c:v>0.95922195385240705</c:v>
                </c:pt>
                <c:pt idx="678">
                  <c:v>0.95917333170515628</c:v>
                </c:pt>
                <c:pt idx="679">
                  <c:v>0.95912471595531001</c:v>
                </c:pt>
                <c:pt idx="680">
                  <c:v>0.95907610657875098</c:v>
                </c:pt>
                <c:pt idx="681">
                  <c:v>0.95902750355150523</c:v>
                </c:pt>
                <c:pt idx="682">
                  <c:v>0.95897890684974241</c:v>
                </c:pt>
                <c:pt idx="683">
                  <c:v>0.95893031644977422</c:v>
                </c:pt>
                <c:pt idx="684">
                  <c:v>0.95888173232805374</c:v>
                </c:pt>
                <c:pt idx="685">
                  <c:v>0.95883315446117467</c:v>
                </c:pt>
                <c:pt idx="686">
                  <c:v>0.95878458282587065</c:v>
                </c:pt>
                <c:pt idx="687">
                  <c:v>0.95873601739901371</c:v>
                </c:pt>
                <c:pt idx="688">
                  <c:v>0.95868745815761458</c:v>
                </c:pt>
                <c:pt idx="689">
                  <c:v>0.95863890507882066</c:v>
                </c:pt>
                <c:pt idx="690">
                  <c:v>0.95859035813991589</c:v>
                </c:pt>
                <c:pt idx="691">
                  <c:v>0.95854181731832011</c:v>
                </c:pt>
                <c:pt idx="692">
                  <c:v>0.95849328259158728</c:v>
                </c:pt>
                <c:pt idx="693">
                  <c:v>0.95844475393740636</c:v>
                </c:pt>
                <c:pt idx="694">
                  <c:v>0.95839623133359819</c:v>
                </c:pt>
                <c:pt idx="695">
                  <c:v>0.95834771475811698</c:v>
                </c:pt>
                <c:pt idx="696">
                  <c:v>0.95829920418904802</c:v>
                </c:pt>
                <c:pt idx="697">
                  <c:v>0.95825069960460751</c:v>
                </c:pt>
                <c:pt idx="698">
                  <c:v>0.95820220098314157</c:v>
                </c:pt>
                <c:pt idx="699">
                  <c:v>0.95815370830312563</c:v>
                </c:pt>
                <c:pt idx="700">
                  <c:v>0.95810522154316347</c:v>
                </c:pt>
                <c:pt idx="701">
                  <c:v>0.95805674068198665</c:v>
                </c:pt>
                <c:pt idx="702">
                  <c:v>0.95800826569845332</c:v>
                </c:pt>
                <c:pt idx="703">
                  <c:v>0.95795979657154828</c:v>
                </c:pt>
                <c:pt idx="704">
                  <c:v>0.95791133328038136</c:v>
                </c:pt>
                <c:pt idx="705">
                  <c:v>0.95786287580418705</c:v>
                </c:pt>
                <c:pt idx="706">
                  <c:v>0.95781442412232376</c:v>
                </c:pt>
                <c:pt idx="707">
                  <c:v>0.9577659782142729</c:v>
                </c:pt>
                <c:pt idx="708">
                  <c:v>0.95771753805963855</c:v>
                </c:pt>
                <c:pt idx="709">
                  <c:v>0.95766910363814628</c:v>
                </c:pt>
                <c:pt idx="710">
                  <c:v>0.95762067492964253</c:v>
                </c:pt>
                <c:pt idx="711">
                  <c:v>0.95757225191409412</c:v>
                </c:pt>
                <c:pt idx="712">
                  <c:v>0.95752383457158741</c:v>
                </c:pt>
                <c:pt idx="713">
                  <c:v>0.95747542288232723</c:v>
                </c:pt>
                <c:pt idx="714">
                  <c:v>0.95742701682663678</c:v>
                </c:pt>
                <c:pt idx="715">
                  <c:v>0.95737861638495636</c:v>
                </c:pt>
                <c:pt idx="716">
                  <c:v>0.95733022153784308</c:v>
                </c:pt>
                <c:pt idx="717">
                  <c:v>0.95728183226596986</c:v>
                </c:pt>
                <c:pt idx="718">
                  <c:v>0.95723344855012504</c:v>
                </c:pt>
                <c:pt idx="719">
                  <c:v>0.95718507037121126</c:v>
                </c:pt>
                <c:pt idx="720">
                  <c:v>0.95713669771024557</c:v>
                </c:pt>
                <c:pt idx="721">
                  <c:v>0.9570883305483574</c:v>
                </c:pt>
                <c:pt idx="722">
                  <c:v>0.95703996886678944</c:v>
                </c:pt>
                <c:pt idx="723">
                  <c:v>0.95699161264689581</c:v>
                </c:pt>
                <c:pt idx="724">
                  <c:v>0.956943261870142</c:v>
                </c:pt>
                <c:pt idx="725">
                  <c:v>0.95689491651810354</c:v>
                </c:pt>
                <c:pt idx="726">
                  <c:v>0.95684657657246641</c:v>
                </c:pt>
                <c:pt idx="727">
                  <c:v>0.9567982420150255</c:v>
                </c:pt>
                <c:pt idx="728">
                  <c:v>0.95674991282768407</c:v>
                </c:pt>
                <c:pt idx="729">
                  <c:v>0.95670158899245361</c:v>
                </c:pt>
                <c:pt idx="730">
                  <c:v>0.95665327049145221</c:v>
                </c:pt>
                <c:pt idx="731">
                  <c:v>0.95660495730690531</c:v>
                </c:pt>
                <c:pt idx="732">
                  <c:v>0.95655664942114371</c:v>
                </c:pt>
                <c:pt idx="733">
                  <c:v>0.95650834681660379</c:v>
                </c:pt>
                <c:pt idx="734">
                  <c:v>0.95646004947582663</c:v>
                </c:pt>
                <c:pt idx="735">
                  <c:v>0.95641175738145701</c:v>
                </c:pt>
                <c:pt idx="736">
                  <c:v>0.95636347051624349</c:v>
                </c:pt>
                <c:pt idx="737">
                  <c:v>0.95631518886303735</c:v>
                </c:pt>
                <c:pt idx="738">
                  <c:v>0.95626691240479189</c:v>
                </c:pt>
                <c:pt idx="739">
                  <c:v>0.95621864112456212</c:v>
                </c:pt>
                <c:pt idx="740">
                  <c:v>0.95617037500550406</c:v>
                </c:pt>
                <c:pt idx="741">
                  <c:v>0.95612211403087399</c:v>
                </c:pt>
                <c:pt idx="742">
                  <c:v>0.95607385818402801</c:v>
                </c:pt>
                <c:pt idx="743">
                  <c:v>0.95602560744842102</c:v>
                </c:pt>
                <c:pt idx="744">
                  <c:v>0.95597736180760717</c:v>
                </c:pt>
                <c:pt idx="745">
                  <c:v>0.95592912124523799</c:v>
                </c:pt>
                <c:pt idx="746">
                  <c:v>0.95588088574506247</c:v>
                </c:pt>
                <c:pt idx="747">
                  <c:v>0.95583265529092676</c:v>
                </c:pt>
                <c:pt idx="748">
                  <c:v>0.95578442986677292</c:v>
                </c:pt>
                <c:pt idx="749">
                  <c:v>0.95573620945663851</c:v>
                </c:pt>
                <c:pt idx="750">
                  <c:v>0.95568799404465643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C6-409A-92BA-28D9C9A712F4}"/>
            </c:ext>
          </c:extLst>
        </c:ser>
        <c:ser>
          <c:idx val="1"/>
          <c:order val="1"/>
          <c:tx>
            <c:strRef>
              <c:f>Sheet1!$AM$1</c:f>
              <c:strCache>
                <c:ptCount val="1"/>
                <c:pt idx="0">
                  <c:v>SIMULATED ACM Unvaccinated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Sheet1!$AM$2:$AM$752</c:f>
              <c:numCache>
                <c:formatCode>General</c:formatCode>
                <c:ptCount val="751"/>
                <c:pt idx="0">
                  <c:v>1</c:v>
                </c:pt>
                <c:pt idx="1">
                  <c:v>0.98845550615384614</c:v>
                </c:pt>
                <c:pt idx="2">
                  <c:v>0.97858174566469236</c:v>
                </c:pt>
                <c:pt idx="3">
                  <c:v>0.97012843568369211</c:v>
                </c:pt>
                <c:pt idx="4">
                  <c:v>0.96288283382832252</c:v>
                </c:pt>
                <c:pt idx="5">
                  <c:v>0.95666410712420102</c:v>
                </c:pt>
                <c:pt idx="6">
                  <c:v>0.95131854560556028</c:v>
                </c:pt>
                <c:pt idx="7">
                  <c:v>0.94671549387557996</c:v>
                </c:pt>
                <c:pt idx="8">
                  <c:v>0.94274389293260197</c:v>
                </c:pt>
                <c:pt idx="9">
                  <c:v>0.93930934072234029</c:v>
                </c:pt>
                <c:pt idx="10">
                  <c:v>0.93633159360719331</c:v>
                </c:pt>
                <c:pt idx="11">
                  <c:v>0.93374244261508987</c:v>
                </c:pt>
                <c:pt idx="12">
                  <c:v>0.93148390825093963</c:v>
                </c:pt>
                <c:pt idx="13">
                  <c:v>0.92950670608629937</c:v>
                </c:pt>
                <c:pt idx="14">
                  <c:v>0.92776894251052155</c:v>
                </c:pt>
                <c:pt idx="15">
                  <c:v>0.92623500611916332</c:v>
                </c:pt>
                <c:pt idx="16">
                  <c:v>0.92487462539406828</c:v>
                </c:pt>
                <c:pt idx="17">
                  <c:v>0.92366206773136994</c:v>
                </c:pt>
                <c:pt idx="18">
                  <c:v>0.92257545861522816</c:v>
                </c:pt>
                <c:pt idx="19">
                  <c:v>0.92159620291544053</c:v>
                </c:pt>
                <c:pt idx="20">
                  <c:v>0.92070849299034785</c:v>
                </c:pt>
                <c:pt idx="21">
                  <c:v>0.91989889057423757</c:v>
                </c:pt>
                <c:pt idx="22">
                  <c:v>0.91915597138157412</c:v>
                </c:pt>
                <c:pt idx="23">
                  <c:v>0.91847002302052916</c:v>
                </c:pt>
                <c:pt idx="24">
                  <c:v>0.91783278821942238</c:v>
                </c:pt>
                <c:pt idx="25">
                  <c:v>0.91723724656912831</c:v>
                </c:pt>
                <c:pt idx="26">
                  <c:v>0.91667742900406413</c:v>
                </c:pt>
                <c:pt idx="27">
                  <c:v>0.91614826011096473</c:v>
                </c:pt>
                <c:pt idx="28">
                  <c:v>0.91564542409127903</c:v>
                </c:pt>
                <c:pt idx="29">
                  <c:v>0.91516525082914801</c:v>
                </c:pt>
                <c:pt idx="30">
                  <c:v>0.91470461904912193</c:v>
                </c:pt>
                <c:pt idx="31">
                  <c:v>0.91426087400016176</c:v>
                </c:pt>
                <c:pt idx="32">
                  <c:v>0.91383175748697831</c:v>
                </c:pt>
                <c:pt idx="33">
                  <c:v>0.9134153483966112</c:v>
                </c:pt>
                <c:pt idx="34">
                  <c:v>0.91301001214596134</c:v>
                </c:pt>
                <c:pt idx="35">
                  <c:v>0.91261435771213395</c:v>
                </c:pt>
                <c:pt idx="36">
                  <c:v>0.91222720110817124</c:v>
                </c:pt>
                <c:pt idx="37">
                  <c:v>0.91184753433736776</c:v>
                </c:pt>
                <c:pt idx="38">
                  <c:v>0.91147449900437771</c:v>
                </c:pt>
                <c:pt idx="39">
                  <c:v>0.91110736388460101</c:v>
                </c:pt>
                <c:pt idx="40">
                  <c:v>0.91074550585810177</c:v>
                </c:pt>
                <c:pt idx="41">
                  <c:v>0.91038839370338331</c:v>
                </c:pt>
                <c:pt idx="42">
                  <c:v>0.91003557432203963</c:v>
                </c:pt>
                <c:pt idx="43">
                  <c:v>0.90968666102965157</c:v>
                </c:pt>
                <c:pt idx="44">
                  <c:v>0.90934132360299424</c:v>
                </c:pt>
                <c:pt idx="45">
                  <c:v>0.90899927982010653</c:v>
                </c:pt>
                <c:pt idx="46">
                  <c:v>0.90866028826929435</c:v>
                </c:pt>
                <c:pt idx="47">
                  <c:v>0.90832414223672864</c:v>
                </c:pt>
                <c:pt idx="48">
                  <c:v>0.90799066451084953</c:v>
                </c:pt>
                <c:pt idx="49">
                  <c:v>0.90765970296605392</c:v>
                </c:pt>
                <c:pt idx="50">
                  <c:v>0.9073311268087767</c:v>
                </c:pt>
                <c:pt idx="51">
                  <c:v>0.90700482338660637</c:v>
                </c:pt>
                <c:pt idx="52">
                  <c:v>0.90668069547597829</c:v>
                </c:pt>
                <c:pt idx="53">
                  <c:v>0.90635865897666212</c:v>
                </c:pt>
                <c:pt idx="54">
                  <c:v>0.90603864095202324</c:v>
                </c:pt>
                <c:pt idx="55">
                  <c:v>0.90572057796319039</c:v>
                </c:pt>
                <c:pt idx="56">
                  <c:v>0.90540441465304966</c:v>
                </c:pt>
                <c:pt idx="57">
                  <c:v>0.90509010254258349</c:v>
                </c:pt>
                <c:pt idx="58">
                  <c:v>0.9047775990077096</c:v>
                </c:pt>
                <c:pt idx="59">
                  <c:v>0.9044668664095421</c:v>
                </c:pt>
                <c:pt idx="60">
                  <c:v>0.90415787135506209</c:v>
                </c:pt>
                <c:pt idx="61">
                  <c:v>0.90385058406863772</c:v>
                </c:pt>
                <c:pt idx="62">
                  <c:v>0.90354497785776589</c:v>
                </c:pt>
                <c:pt idx="63">
                  <c:v>0.90324102865890055</c:v>
                </c:pt>
                <c:pt idx="64">
                  <c:v>0.90293871465136</c:v>
                </c:pt>
                <c:pt idx="65">
                  <c:v>0.9026380159290972</c:v>
                </c:pt>
                <c:pt idx="66">
                  <c:v>0.90233891422165391</c:v>
                </c:pt>
                <c:pt idx="67">
                  <c:v>0.90204139265692562</c:v>
                </c:pt>
                <c:pt idx="68">
                  <c:v>0.90174543555946096</c:v>
                </c:pt>
                <c:pt idx="69">
                  <c:v>0.90145102827896828</c:v>
                </c:pt>
                <c:pt idx="70">
                  <c:v>0.90115815704450031</c:v>
                </c:pt>
                <c:pt idx="71">
                  <c:v>0.900866808840459</c:v>
                </c:pt>
                <c:pt idx="72">
                  <c:v>0.90057697130115688</c:v>
                </c:pt>
                <c:pt idx="73">
                  <c:v>0.90028863262114422</c:v>
                </c:pt>
                <c:pt idx="74">
                  <c:v>0.90000178147893994</c:v>
                </c:pt>
                <c:pt idx="75">
                  <c:v>0.8997164069721596</c:v>
                </c:pt>
                <c:pt idx="76">
                  <c:v>0.89943249856232343</c:v>
                </c:pt>
                <c:pt idx="77">
                  <c:v>0.8991500460279005</c:v>
                </c:pt>
                <c:pt idx="78">
                  <c:v>0.89886903942434881</c:v>
                </c:pt>
                <c:pt idx="79">
                  <c:v>0.89858946905010417</c:v>
                </c:pt>
                <c:pt idx="80">
                  <c:v>0.89831132541762593</c:v>
                </c:pt>
                <c:pt idx="81">
                  <c:v>0.89803459922874029</c:v>
                </c:pt>
                <c:pt idx="82">
                  <c:v>0.89775928135363803</c:v>
                </c:pt>
                <c:pt idx="83">
                  <c:v>0.89748536281297775</c:v>
                </c:pt>
                <c:pt idx="84">
                  <c:v>0.89721283476263014</c:v>
                </c:pt>
                <c:pt idx="85">
                  <c:v>0.89694168848066547</c:v>
                </c:pt>
                <c:pt idx="86">
                  <c:v>0.89667191535625013</c:v>
                </c:pt>
                <c:pt idx="87">
                  <c:v>0.89640350688016579</c:v>
                </c:pt>
                <c:pt idx="88">
                  <c:v>0.89613645463670688</c:v>
                </c:pt>
                <c:pt idx="89">
                  <c:v>0.89587075029675056</c:v>
                </c:pt>
                <c:pt idx="90">
                  <c:v>0.89560638561182404</c:v>
                </c:pt>
                <c:pt idx="91">
                  <c:v>0.89534335240901908</c:v>
                </c:pt>
                <c:pt idx="92">
                  <c:v>0.89508164258662826</c:v>
                </c:pt>
                <c:pt idx="93">
                  <c:v>0.89482124811039165</c:v>
                </c:pt>
                <c:pt idx="94">
                  <c:v>0.89456216101026831</c:v>
                </c:pt>
                <c:pt idx="95">
                  <c:v>0.8943043733776469</c:v>
                </c:pt>
                <c:pt idx="96">
                  <c:v>0.89404787736293723</c:v>
                </c:pt>
                <c:pt idx="97">
                  <c:v>0.89379266517347977</c:v>
                </c:pt>
                <c:pt idx="98">
                  <c:v>0.89353872907172927</c:v>
                </c:pt>
                <c:pt idx="99">
                  <c:v>0.89328606137367039</c:v>
                </c:pt>
                <c:pt idx="100">
                  <c:v>0.89303465444742991</c:v>
                </c:pt>
                <c:pt idx="101">
                  <c:v>0.89278450071205939</c:v>
                </c:pt>
                <c:pt idx="102">
                  <c:v>0.89253559263645843</c:v>
                </c:pt>
                <c:pt idx="103">
                  <c:v>0.89228792273842128</c:v>
                </c:pt>
                <c:pt idx="104">
                  <c:v>0.89204148358378765</c:v>
                </c:pt>
                <c:pt idx="105">
                  <c:v>0.89179626778568133</c:v>
                </c:pt>
                <c:pt idx="106">
                  <c:v>0.89155226800382414</c:v>
                </c:pt>
                <c:pt idx="107">
                  <c:v>0.89130947694391538</c:v>
                </c:pt>
                <c:pt idx="108">
                  <c:v>0.89106788735706477</c:v>
                </c:pt>
                <c:pt idx="109">
                  <c:v>0.89082749203927369</c:v>
                </c:pt>
                <c:pt idx="110">
                  <c:v>0.89058828383095601</c:v>
                </c:pt>
                <c:pt idx="111">
                  <c:v>0.89035025561649295</c:v>
                </c:pt>
                <c:pt idx="112">
                  <c:v>0.89011340032381769</c:v>
                </c:pt>
                <c:pt idx="113">
                  <c:v>0.88987771092402568</c:v>
                </c:pt>
                <c:pt idx="114">
                  <c:v>0.88964318043100554</c:v>
                </c:pt>
                <c:pt idx="115">
                  <c:v>0.88940980190108987</c:v>
                </c:pt>
                <c:pt idx="116">
                  <c:v>0.88917756843272078</c:v>
                </c:pt>
                <c:pt idx="117">
                  <c:v>0.88894647316612985</c:v>
                </c:pt>
                <c:pt idx="118">
                  <c:v>0.88871650928303159</c:v>
                </c:pt>
                <c:pt idx="119">
                  <c:v>0.88848767000632412</c:v>
                </c:pt>
                <c:pt idx="120">
                  <c:v>0.88825994859980217</c:v>
                </c:pt>
                <c:pt idx="121">
                  <c:v>0.88803333836787568</c:v>
                </c:pt>
                <c:pt idx="122">
                  <c:v>0.88780783265529639</c:v>
                </c:pt>
                <c:pt idx="123">
                  <c:v>0.88758342484689168</c:v>
                </c:pt>
                <c:pt idx="124">
                  <c:v>0.88736010836730017</c:v>
                </c:pt>
                <c:pt idx="125">
                  <c:v>0.88713787668071697</c:v>
                </c:pt>
                <c:pt idx="126">
                  <c:v>0.88691672329063886</c:v>
                </c:pt>
                <c:pt idx="127">
                  <c:v>0.8866966417396166</c:v>
                </c:pt>
                <c:pt idx="128">
                  <c:v>0.88647762560900845</c:v>
                </c:pt>
                <c:pt idx="129">
                  <c:v>0.8862596685187385</c:v>
                </c:pt>
                <c:pt idx="130">
                  <c:v>0.88604276412705629</c:v>
                </c:pt>
                <c:pt idx="131">
                  <c:v>0.88582690613030046</c:v>
                </c:pt>
                <c:pt idx="132">
                  <c:v>0.88561208826266491</c:v>
                </c:pt>
                <c:pt idx="133">
                  <c:v>0.885398304295965</c:v>
                </c:pt>
                <c:pt idx="134">
                  <c:v>0.88518554803940941</c:v>
                </c:pt>
                <c:pt idx="135">
                  <c:v>0.8849738133393712</c:v>
                </c:pt>
                <c:pt idx="136">
                  <c:v>0.88476309407916143</c:v>
                </c:pt>
                <c:pt idx="137">
                  <c:v>0.88455338417880636</c:v>
                </c:pt>
                <c:pt idx="138">
                  <c:v>0.88434467759482327</c:v>
                </c:pt>
                <c:pt idx="139">
                  <c:v>0.88413696832000077</c:v>
                </c:pt>
                <c:pt idx="140">
                  <c:v>0.88393025038317863</c:v>
                </c:pt>
                <c:pt idx="141">
                  <c:v>0.88372451784903172</c:v>
                </c:pt>
                <c:pt idx="142">
                  <c:v>0.88351976481785155</c:v>
                </c:pt>
                <c:pt idx="143">
                  <c:v>0.88331598542533318</c:v>
                </c:pt>
                <c:pt idx="144">
                  <c:v>0.88311317384236265</c:v>
                </c:pt>
                <c:pt idx="145">
                  <c:v>0.88291132427480257</c:v>
                </c:pt>
                <c:pt idx="146">
                  <c:v>0.88271043096328383</c:v>
                </c:pt>
                <c:pt idx="147">
                  <c:v>0.88251048818299593</c:v>
                </c:pt>
                <c:pt idx="148">
                  <c:v>0.88231149024347866</c:v>
                </c:pt>
                <c:pt idx="149">
                  <c:v>0.88211343148841637</c:v>
                </c:pt>
                <c:pt idx="150">
                  <c:v>0.88191630629543283</c:v>
                </c:pt>
                <c:pt idx="151">
                  <c:v>0.88172010907588605</c:v>
                </c:pt>
                <c:pt idx="152">
                  <c:v>0.88152483427466699</c:v>
                </c:pt>
                <c:pt idx="153">
                  <c:v>0.88133047636999773</c:v>
                </c:pt>
                <c:pt idx="154">
                  <c:v>0.8811370298732315</c:v>
                </c:pt>
                <c:pt idx="155">
                  <c:v>0.8809444893286531</c:v>
                </c:pt>
                <c:pt idx="156">
                  <c:v>0.88075284931328202</c:v>
                </c:pt>
                <c:pt idx="157">
                  <c:v>0.88056210443667571</c:v>
                </c:pt>
                <c:pt idx="158">
                  <c:v>0.88037224934073366</c:v>
                </c:pt>
                <c:pt idx="159">
                  <c:v>0.88018327869950397</c:v>
                </c:pt>
                <c:pt idx="160">
                  <c:v>0.87999518721899017</c:v>
                </c:pt>
                <c:pt idx="161">
                  <c:v>0.87980796963695962</c:v>
                </c:pt>
                <c:pt idx="162">
                  <c:v>0.87962162072275218</c:v>
                </c:pt>
                <c:pt idx="163">
                  <c:v>0.87943613527709186</c:v>
                </c:pt>
                <c:pt idx="164">
                  <c:v>0.87925150813189734</c:v>
                </c:pt>
                <c:pt idx="165">
                  <c:v>0.87906773415009565</c:v>
                </c:pt>
                <c:pt idx="166">
                  <c:v>0.87888480822543569</c:v>
                </c:pt>
                <c:pt idx="167">
                  <c:v>0.87870272528230331</c:v>
                </c:pt>
                <c:pt idx="168">
                  <c:v>0.87852148027553745</c:v>
                </c:pt>
                <c:pt idx="169">
                  <c:v>0.8783410681902476</c:v>
                </c:pt>
                <c:pt idx="170">
                  <c:v>0.87816148404163197</c:v>
                </c:pt>
                <c:pt idx="171">
                  <c:v>0.87798272287479673</c:v>
                </c:pt>
                <c:pt idx="172">
                  <c:v>0.87780477976457749</c:v>
                </c:pt>
                <c:pt idx="173">
                  <c:v>0.87762764981535946</c:v>
                </c:pt>
                <c:pt idx="174">
                  <c:v>0.87745132816090121</c:v>
                </c:pt>
                <c:pt idx="175">
                  <c:v>0.87727580996415877</c:v>
                </c:pt>
                <c:pt idx="176">
                  <c:v>0.87710109041710904</c:v>
                </c:pt>
                <c:pt idx="177">
                  <c:v>0.87692716474057641</c:v>
                </c:pt>
                <c:pt idx="178">
                  <c:v>0.87675402818406034</c:v>
                </c:pt>
                <c:pt idx="179">
                  <c:v>0.87658167602556236</c:v>
                </c:pt>
                <c:pt idx="180">
                  <c:v>0.87641010357141524</c:v>
                </c:pt>
                <c:pt idx="181">
                  <c:v>0.87623930615611345</c:v>
                </c:pt>
                <c:pt idx="182">
                  <c:v>0.87606927914214339</c:v>
                </c:pt>
                <c:pt idx="183">
                  <c:v>0.87590001791981642</c:v>
                </c:pt>
                <c:pt idx="184">
                  <c:v>0.87573151790710091</c:v>
                </c:pt>
                <c:pt idx="185">
                  <c:v>0.875563774549457</c:v>
                </c:pt>
                <c:pt idx="186">
                  <c:v>0.87539678331967163</c:v>
                </c:pt>
                <c:pt idx="187">
                  <c:v>0.87523053971769427</c:v>
                </c:pt>
                <c:pt idx="188">
                  <c:v>0.87506503927047408</c:v>
                </c:pt>
                <c:pt idx="189">
                  <c:v>0.87490027753179767</c:v>
                </c:pt>
                <c:pt idx="190">
                  <c:v>0.87473625008212874</c:v>
                </c:pt>
                <c:pt idx="191">
                  <c:v>0.87457295252844691</c:v>
                </c:pt>
                <c:pt idx="192">
                  <c:v>0.87441038050408992</c:v>
                </c:pt>
                <c:pt idx="193">
                  <c:v>0.87424852966859468</c:v>
                </c:pt>
                <c:pt idx="194">
                  <c:v>0.87408739570754002</c:v>
                </c:pt>
                <c:pt idx="195">
                  <c:v>0.87392697433239086</c:v>
                </c:pt>
                <c:pt idx="196">
                  <c:v>0.87376726128034277</c:v>
                </c:pt>
                <c:pt idx="197">
                  <c:v>0.87360825231416706</c:v>
                </c:pt>
                <c:pt idx="198">
                  <c:v>0.8734499432220586</c:v>
                </c:pt>
                <c:pt idx="199">
                  <c:v>0.87329232981748162</c:v>
                </c:pt>
                <c:pt idx="200">
                  <c:v>0.87313540793901956</c:v>
                </c:pt>
                <c:pt idx="201">
                  <c:v>0.87297917345022302</c:v>
                </c:pt>
                <c:pt idx="202">
                  <c:v>0.87282362223946142</c:v>
                </c:pt>
                <c:pt idx="203">
                  <c:v>0.87266875021977297</c:v>
                </c:pt>
                <c:pt idx="204">
                  <c:v>0.87251455332871697</c:v>
                </c:pt>
                <c:pt idx="205">
                  <c:v>0.87236102752822664</c:v>
                </c:pt>
                <c:pt idx="206">
                  <c:v>0.87220816880446339</c:v>
                </c:pt>
                <c:pt idx="207">
                  <c:v>0.87205597316767081</c:v>
                </c:pt>
                <c:pt idx="208">
                  <c:v>0.87190443665202977</c:v>
                </c:pt>
                <c:pt idx="209">
                  <c:v>0.87175355531551679</c:v>
                </c:pt>
                <c:pt idx="210">
                  <c:v>0.87160332523975859</c:v>
                </c:pt>
                <c:pt idx="211">
                  <c:v>0.87145374252989205</c:v>
                </c:pt>
                <c:pt idx="212">
                  <c:v>0.87130480331442284</c:v>
                </c:pt>
                <c:pt idx="213">
                  <c:v>0.87115650374508435</c:v>
                </c:pt>
                <c:pt idx="214">
                  <c:v>0.87100883999669942</c:v>
                </c:pt>
                <c:pt idx="215">
                  <c:v>0.87086180826704074</c:v>
                </c:pt>
                <c:pt idx="216">
                  <c:v>0.87071540477669496</c:v>
                </c:pt>
                <c:pt idx="217">
                  <c:v>0.87056962576892316</c:v>
                </c:pt>
                <c:pt idx="218">
                  <c:v>0.87042446750952684</c:v>
                </c:pt>
                <c:pt idx="219">
                  <c:v>0.87027992628671236</c:v>
                </c:pt>
                <c:pt idx="220">
                  <c:v>0.87013599841095546</c:v>
                </c:pt>
                <c:pt idx="221">
                  <c:v>0.86999268021486909</c:v>
                </c:pt>
                <c:pt idx="222">
                  <c:v>0.86984996805306947</c:v>
                </c:pt>
                <c:pt idx="223">
                  <c:v>0.86970785830204467</c:v>
                </c:pt>
                <c:pt idx="224">
                  <c:v>0.86956634736002303</c:v>
                </c:pt>
                <c:pt idx="225">
                  <c:v>0.86942543164684338</c:v>
                </c:pt>
                <c:pt idx="226">
                  <c:v>0.86928510760382416</c:v>
                </c:pt>
                <c:pt idx="227">
                  <c:v>0.8691453716936357</c:v>
                </c:pt>
                <c:pt idx="228">
                  <c:v>0.8690062204001715</c:v>
                </c:pt>
                <c:pt idx="229">
                  <c:v>0.86886765022842138</c:v>
                </c:pt>
                <c:pt idx="230">
                  <c:v>0.86872965770434418</c:v>
                </c:pt>
                <c:pt idx="231">
                  <c:v>0.86859223937474261</c:v>
                </c:pt>
                <c:pt idx="232">
                  <c:v>0.86845539180713782</c:v>
                </c:pt>
                <c:pt idx="233">
                  <c:v>0.86831911158964514</c:v>
                </c:pt>
                <c:pt idx="234">
                  <c:v>0.86818339533085087</c:v>
                </c:pt>
                <c:pt idx="235">
                  <c:v>0.8680482396596888</c:v>
                </c:pt>
                <c:pt idx="236">
                  <c:v>0.86791364122531856</c:v>
                </c:pt>
                <c:pt idx="237">
                  <c:v>0.86777959669700455</c:v>
                </c:pt>
                <c:pt idx="238">
                  <c:v>0.86764610276399434</c:v>
                </c:pt>
                <c:pt idx="239">
                  <c:v>0.86751315613539981</c:v>
                </c:pt>
                <c:pt idx="240">
                  <c:v>0.86738075354007749</c:v>
                </c:pt>
                <c:pt idx="241">
                  <c:v>0.86724889172651021</c:v>
                </c:pt>
                <c:pt idx="242">
                  <c:v>0.86711756746268864</c:v>
                </c:pt>
                <c:pt idx="243">
                  <c:v>0.86698677753599596</c:v>
                </c:pt>
                <c:pt idx="244">
                  <c:v>0.86685651875308922</c:v>
                </c:pt>
                <c:pt idx="245">
                  <c:v>0.86672678793978597</c:v>
                </c:pt>
                <c:pt idx="246">
                  <c:v>0.86659758194094771</c:v>
                </c:pt>
                <c:pt idx="247">
                  <c:v>0.86646889762036583</c:v>
                </c:pt>
                <c:pt idx="248">
                  <c:v>0.86634073186064897</c:v>
                </c:pt>
                <c:pt idx="249">
                  <c:v>0.86621308156310906</c:v>
                </c:pt>
                <c:pt idx="250">
                  <c:v>0.86608594364764968</c:v>
                </c:pt>
                <c:pt idx="251">
                  <c:v>0.86595931505265444</c:v>
                </c:pt>
                <c:pt idx="252">
                  <c:v>0.86583319273487591</c:v>
                </c:pt>
                <c:pt idx="253">
                  <c:v>0.86570757366932527</c:v>
                </c:pt>
                <c:pt idx="254">
                  <c:v>0.86558245484916352</c:v>
                </c:pt>
                <c:pt idx="255">
                  <c:v>0.86545783328559156</c:v>
                </c:pt>
                <c:pt idx="256">
                  <c:v>0.86533370600774284</c:v>
                </c:pt>
                <c:pt idx="257">
                  <c:v>0.865210070062575</c:v>
                </c:pt>
                <c:pt idx="258">
                  <c:v>0.8650869225147636</c:v>
                </c:pt>
                <c:pt idx="259">
                  <c:v>0.86496426044659558</c:v>
                </c:pt>
                <c:pt idx="260">
                  <c:v>0.86484208095786319</c:v>
                </c:pt>
                <c:pt idx="261">
                  <c:v>0.86472038116575944</c:v>
                </c:pt>
                <c:pt idx="262">
                  <c:v>0.86459915820477373</c:v>
                </c:pt>
                <c:pt idx="263">
                  <c:v>0.86447840922658759</c:v>
                </c:pt>
                <c:pt idx="264">
                  <c:v>0.86435813139997197</c:v>
                </c:pt>
                <c:pt idx="265">
                  <c:v>0.86423832191068461</c:v>
                </c:pt>
                <c:pt idx="266">
                  <c:v>0.86411897796136794</c:v>
                </c:pt>
                <c:pt idx="267">
                  <c:v>0.86400009677144818</c:v>
                </c:pt>
                <c:pt idx="268">
                  <c:v>0.86388167557703399</c:v>
                </c:pt>
                <c:pt idx="269">
                  <c:v>0.86376371163081711</c:v>
                </c:pt>
                <c:pt idx="270">
                  <c:v>0.86364620220197197</c:v>
                </c:pt>
                <c:pt idx="271">
                  <c:v>0.86352914457605801</c:v>
                </c:pt>
                <c:pt idx="272">
                  <c:v>0.86341253605492008</c:v>
                </c:pt>
                <c:pt idx="273">
                  <c:v>0.86329637395659165</c:v>
                </c:pt>
                <c:pt idx="274">
                  <c:v>0.8631806556151973</c:v>
                </c:pt>
                <c:pt idx="275">
                  <c:v>0.86306537838085629</c:v>
                </c:pt>
                <c:pt idx="276">
                  <c:v>0.86295053961958634</c:v>
                </c:pt>
                <c:pt idx="277">
                  <c:v>0.86283613671320847</c:v>
                </c:pt>
                <c:pt idx="278">
                  <c:v>0.86272216705925231</c:v>
                </c:pt>
                <c:pt idx="279">
                  <c:v>0.86260862807086169</c:v>
                </c:pt>
                <c:pt idx="280">
                  <c:v>0.86249551717670059</c:v>
                </c:pt>
                <c:pt idx="281">
                  <c:v>0.86238283182086073</c:v>
                </c:pt>
                <c:pt idx="282">
                  <c:v>0.86227056946276848</c:v>
                </c:pt>
                <c:pt idx="283">
                  <c:v>0.86215872757709344</c:v>
                </c:pt>
                <c:pt idx="284">
                  <c:v>0.86204730365365567</c:v>
                </c:pt>
                <c:pt idx="285">
                  <c:v>0.8619362951973365</c:v>
                </c:pt>
                <c:pt idx="286">
                  <c:v>0.86182569972798684</c:v>
                </c:pt>
                <c:pt idx="287">
                  <c:v>0.86171551478033848</c:v>
                </c:pt>
                <c:pt idx="288">
                  <c:v>0.86160573790391337</c:v>
                </c:pt>
                <c:pt idx="289">
                  <c:v>0.86149636666293605</c:v>
                </c:pt>
                <c:pt idx="290">
                  <c:v>0.86138739863624525</c:v>
                </c:pt>
                <c:pt idx="291">
                  <c:v>0.86127883141720596</c:v>
                </c:pt>
                <c:pt idx="292">
                  <c:v>0.86117066261362252</c:v>
                </c:pt>
                <c:pt idx="293">
                  <c:v>0.86106288984765111</c:v>
                </c:pt>
                <c:pt idx="294">
                  <c:v>0.86095551075571508</c:v>
                </c:pt>
                <c:pt idx="295">
                  <c:v>0.8608485229884183</c:v>
                </c:pt>
                <c:pt idx="296">
                  <c:v>0.86074192421046025</c:v>
                </c:pt>
                <c:pt idx="297">
                  <c:v>0.86063571210055223</c:v>
                </c:pt>
                <c:pt idx="298">
                  <c:v>0.86052988435133182</c:v>
                </c:pt>
                <c:pt idx="299">
                  <c:v>0.86042443866928053</c:v>
                </c:pt>
                <c:pt idx="300">
                  <c:v>0.86031937277464043</c:v>
                </c:pt>
                <c:pt idx="301">
                  <c:v>0.8602146844013312</c:v>
                </c:pt>
                <c:pt idx="302">
                  <c:v>0.86011037129686863</c:v>
                </c:pt>
                <c:pt idx="303">
                  <c:v>0.86000643122228282</c:v>
                </c:pt>
                <c:pt idx="304">
                  <c:v>0.85990286195203669</c:v>
                </c:pt>
                <c:pt idx="305">
                  <c:v>0.85979966127394636</c:v>
                </c:pt>
                <c:pt idx="306">
                  <c:v>0.85969682698909988</c:v>
                </c:pt>
                <c:pt idx="307">
                  <c:v>0.85959435691177832</c:v>
                </c:pt>
                <c:pt idx="308">
                  <c:v>0.85949224886937636</c:v>
                </c:pt>
                <c:pt idx="309">
                  <c:v>0.85939050070232403</c:v>
                </c:pt>
                <c:pt idx="310">
                  <c:v>0.85928911026400767</c:v>
                </c:pt>
                <c:pt idx="311">
                  <c:v>0.85918807542069286</c:v>
                </c:pt>
                <c:pt idx="312">
                  <c:v>0.85908739405144707</c:v>
                </c:pt>
                <c:pt idx="313">
                  <c:v>0.85898706404806258</c:v>
                </c:pt>
                <c:pt idx="314">
                  <c:v>0.8588870833149802</c:v>
                </c:pt>
                <c:pt idx="315">
                  <c:v>0.85878744976921384</c:v>
                </c:pt>
                <c:pt idx="316">
                  <c:v>0.85868816134027448</c:v>
                </c:pt>
                <c:pt idx="317">
                  <c:v>0.85858921597009519</c:v>
                </c:pt>
                <c:pt idx="318">
                  <c:v>0.85849061161295714</c:v>
                </c:pt>
                <c:pt idx="319">
                  <c:v>0.85839234623541494</c:v>
                </c:pt>
                <c:pt idx="320">
                  <c:v>0.8582944178162234</c:v>
                </c:pt>
                <c:pt idx="321">
                  <c:v>0.8581968243462641</c:v>
                </c:pt>
                <c:pt idx="322">
                  <c:v>0.85809956382847274</c:v>
                </c:pt>
                <c:pt idx="323">
                  <c:v>0.85800263427776657</c:v>
                </c:pt>
                <c:pt idx="324">
                  <c:v>0.85790603372097329</c:v>
                </c:pt>
                <c:pt idx="325">
                  <c:v>0.85780976019675803</c:v>
                </c:pt>
                <c:pt idx="326">
                  <c:v>0.85771381175555439</c:v>
                </c:pt>
                <c:pt idx="327">
                  <c:v>0.85761818645949173</c:v>
                </c:pt>
                <c:pt idx="328">
                  <c:v>0.85752288238232688</c:v>
                </c:pt>
                <c:pt idx="329">
                  <c:v>0.85742789760937288</c:v>
                </c:pt>
                <c:pt idx="330">
                  <c:v>0.85733323023743069</c:v>
                </c:pt>
                <c:pt idx="331">
                  <c:v>0.85723887837471924</c:v>
                </c:pt>
                <c:pt idx="332">
                  <c:v>0.85714484014080827</c:v>
                </c:pt>
                <c:pt idx="333">
                  <c:v>0.85705111366654907</c:v>
                </c:pt>
                <c:pt idx="334">
                  <c:v>0.85695769709400693</c:v>
                </c:pt>
                <c:pt idx="335">
                  <c:v>0.85686458857639447</c:v>
                </c:pt>
                <c:pt idx="336">
                  <c:v>0.85677178627800465</c:v>
                </c:pt>
                <c:pt idx="337">
                  <c:v>0.85667928837414342</c:v>
                </c:pt>
                <c:pt idx="338">
                  <c:v>0.85658709305106473</c:v>
                </c:pt>
                <c:pt idx="339">
                  <c:v>0.85649519850590394</c:v>
                </c:pt>
                <c:pt idx="340">
                  <c:v>0.85640360294661355</c:v>
                </c:pt>
                <c:pt idx="341">
                  <c:v>0.85631230459189744</c:v>
                </c:pt>
                <c:pt idx="342">
                  <c:v>0.85622130167114652</c:v>
                </c:pt>
                <c:pt idx="343">
                  <c:v>0.85613059242437473</c:v>
                </c:pt>
                <c:pt idx="344">
                  <c:v>0.85604017510215524</c:v>
                </c:pt>
                <c:pt idx="345">
                  <c:v>0.85595004796555763</c:v>
                </c:pt>
                <c:pt idx="346">
                  <c:v>0.85586020928608375</c:v>
                </c:pt>
                <c:pt idx="347">
                  <c:v>0.85577065734560631</c:v>
                </c:pt>
                <c:pt idx="348">
                  <c:v>0.85568139043630609</c:v>
                </c:pt>
                <c:pt idx="349">
                  <c:v>0.85559240686060989</c:v>
                </c:pt>
                <c:pt idx="350">
                  <c:v>0.85550370493112959</c:v>
                </c:pt>
                <c:pt idx="351">
                  <c:v>0.85541528297060054</c:v>
                </c:pt>
                <c:pt idx="352">
                  <c:v>0.85532713931182103</c:v>
                </c:pt>
                <c:pt idx="353">
                  <c:v>0.85523927229759233</c:v>
                </c:pt>
                <c:pt idx="354">
                  <c:v>0.85515168028065802</c:v>
                </c:pt>
                <c:pt idx="355">
                  <c:v>0.85506436162364452</c:v>
                </c:pt>
                <c:pt idx="356">
                  <c:v>0.85497731469900173</c:v>
                </c:pt>
                <c:pt idx="357">
                  <c:v>0.85489053788894454</c:v>
                </c:pt>
                <c:pt idx="358">
                  <c:v>0.85480402958539381</c:v>
                </c:pt>
                <c:pt idx="359">
                  <c:v>0.85471778818991839</c:v>
                </c:pt>
                <c:pt idx="360">
                  <c:v>0.85463181211367634</c:v>
                </c:pt>
                <c:pt idx="361">
                  <c:v>0.8545460997773594</c:v>
                </c:pt>
                <c:pt idx="362">
                  <c:v>0.85446064961113355</c:v>
                </c:pt>
                <c:pt idx="363">
                  <c:v>0.8543754600545832</c:v>
                </c:pt>
                <c:pt idx="364">
                  <c:v>0.85429052955665541</c:v>
                </c:pt>
                <c:pt idx="365">
                  <c:v>0.85420585657560189</c:v>
                </c:pt>
                <c:pt idx="366">
                  <c:v>0.85412143957892472</c:v>
                </c:pt>
                <c:pt idx="367">
                  <c:v>0.85403727704332066</c:v>
                </c:pt>
                <c:pt idx="368">
                  <c:v>0.85395336745462502</c:v>
                </c:pt>
                <c:pt idx="369">
                  <c:v>0.85386970930775796</c:v>
                </c:pt>
                <c:pt idx="370">
                  <c:v>0.8537863011066692</c:v>
                </c:pt>
                <c:pt idx="371">
                  <c:v>0.85370314136428416</c:v>
                </c:pt>
                <c:pt idx="372">
                  <c:v>0.85362022860245035</c:v>
                </c:pt>
                <c:pt idx="373">
                  <c:v>0.85353756135188319</c:v>
                </c:pt>
                <c:pt idx="374">
                  <c:v>0.85345513815211338</c:v>
                </c:pt>
                <c:pt idx="375">
                  <c:v>0.85337295755143383</c:v>
                </c:pt>
                <c:pt idx="376">
                  <c:v>0.85329101810684682</c:v>
                </c:pt>
                <c:pt idx="377">
                  <c:v>0.85320931838401237</c:v>
                </c:pt>
                <c:pt idx="378">
                  <c:v>0.85312785695719562</c:v>
                </c:pt>
                <c:pt idx="379">
                  <c:v>0.85304663240921552</c:v>
                </c:pt>
                <c:pt idx="380">
                  <c:v>0.85296564333139369</c:v>
                </c:pt>
                <c:pt idx="381">
                  <c:v>0.85288488832350284</c:v>
                </c:pt>
                <c:pt idx="382">
                  <c:v>0.85280436599371678</c:v>
                </c:pt>
                <c:pt idx="383">
                  <c:v>0.85272407495855951</c:v>
                </c:pt>
                <c:pt idx="384">
                  <c:v>0.85264401384285526</c:v>
                </c:pt>
                <c:pt idx="385">
                  <c:v>0.85256418127967826</c:v>
                </c:pt>
                <c:pt idx="386">
                  <c:v>0.85248457591030447</c:v>
                </c:pt>
                <c:pt idx="387">
                  <c:v>0.85240519638416101</c:v>
                </c:pt>
                <c:pt idx="388">
                  <c:v>0.85232604135877787</c:v>
                </c:pt>
                <c:pt idx="389">
                  <c:v>0.85224710949973947</c:v>
                </c:pt>
                <c:pt idx="390">
                  <c:v>0.85216839948063594</c:v>
                </c:pt>
                <c:pt idx="391">
                  <c:v>0.85208990998301493</c:v>
                </c:pt>
                <c:pt idx="392">
                  <c:v>0.85201163969633475</c:v>
                </c:pt>
                <c:pt idx="393">
                  <c:v>0.85193358731791613</c:v>
                </c:pt>
                <c:pt idx="394">
                  <c:v>0.85185575155289484</c:v>
                </c:pt>
                <c:pt idx="395">
                  <c:v>0.85177813111417577</c:v>
                </c:pt>
                <c:pt idx="396">
                  <c:v>0.85170072472238556</c:v>
                </c:pt>
                <c:pt idx="397">
                  <c:v>0.85162353110582634</c:v>
                </c:pt>
                <c:pt idx="398">
                  <c:v>0.85154654900042992</c:v>
                </c:pt>
                <c:pt idx="399">
                  <c:v>0.85146977714971173</c:v>
                </c:pt>
                <c:pt idx="400">
                  <c:v>0.8513932143047257</c:v>
                </c:pt>
                <c:pt idx="401">
                  <c:v>0.85131685922401878</c:v>
                </c:pt>
                <c:pt idx="402">
                  <c:v>0.85124071067358575</c:v>
                </c:pt>
                <c:pt idx="403">
                  <c:v>0.85116476742682512</c:v>
                </c:pt>
                <c:pt idx="404">
                  <c:v>0.85108902826449429</c:v>
                </c:pt>
                <c:pt idx="405">
                  <c:v>0.85101349197466514</c:v>
                </c:pt>
                <c:pt idx="406">
                  <c:v>0.85093815735268097</c:v>
                </c:pt>
                <c:pt idx="407">
                  <c:v>0.85086302320111229</c:v>
                </c:pt>
                <c:pt idx="408">
                  <c:v>0.85078808832971331</c:v>
                </c:pt>
                <c:pt idx="409">
                  <c:v>0.85071335155537942</c:v>
                </c:pt>
                <c:pt idx="410">
                  <c:v>0.85063881170210354</c:v>
                </c:pt>
                <c:pt idx="411">
                  <c:v>0.85056446760093485</c:v>
                </c:pt>
                <c:pt idx="412">
                  <c:v>0.85049031808993458</c:v>
                </c:pt>
                <c:pt idx="413">
                  <c:v>0.85041636201413562</c:v>
                </c:pt>
                <c:pt idx="414">
                  <c:v>0.85034259822549996</c:v>
                </c:pt>
                <c:pt idx="415">
                  <c:v>0.85026902558287687</c:v>
                </c:pt>
                <c:pt idx="416">
                  <c:v>0.85019564295196193</c:v>
                </c:pt>
                <c:pt idx="417">
                  <c:v>0.85012244920525648</c:v>
                </c:pt>
                <c:pt idx="418">
                  <c:v>0.85004944322202558</c:v>
                </c:pt>
                <c:pt idx="419">
                  <c:v>0.84997662388825868</c:v>
                </c:pt>
                <c:pt idx="420">
                  <c:v>0.84990399009662798</c:v>
                </c:pt>
                <c:pt idx="421">
                  <c:v>0.8498315407464494</c:v>
                </c:pt>
                <c:pt idx="422">
                  <c:v>0.84975927474364266</c:v>
                </c:pt>
                <c:pt idx="423">
                  <c:v>0.84968719100069046</c:v>
                </c:pt>
                <c:pt idx="424">
                  <c:v>0.84961528843660072</c:v>
                </c:pt>
                <c:pt idx="425">
                  <c:v>0.84954356597686653</c:v>
                </c:pt>
                <c:pt idx="426">
                  <c:v>0.84947202255342724</c:v>
                </c:pt>
                <c:pt idx="427">
                  <c:v>0.84940065710462975</c:v>
                </c:pt>
                <c:pt idx="428">
                  <c:v>0.84932946857519087</c:v>
                </c:pt>
                <c:pt idx="429">
                  <c:v>0.84925845591615789</c:v>
                </c:pt>
                <c:pt idx="430">
                  <c:v>0.84918761808487142</c:v>
                </c:pt>
                <c:pt idx="431">
                  <c:v>0.8491169540449276</c:v>
                </c:pt>
                <c:pt idx="432">
                  <c:v>0.84904646276613993</c:v>
                </c:pt>
                <c:pt idx="433">
                  <c:v>0.84897614322450277</c:v>
                </c:pt>
                <c:pt idx="434">
                  <c:v>0.84890599440215364</c:v>
                </c:pt>
                <c:pt idx="435">
                  <c:v>0.84883601528733688</c:v>
                </c:pt>
                <c:pt idx="436">
                  <c:v>0.84876620487436638</c:v>
                </c:pt>
                <c:pt idx="437">
                  <c:v>0.8486965621635898</c:v>
                </c:pt>
                <c:pt idx="438">
                  <c:v>0.84862708616135185</c:v>
                </c:pt>
                <c:pt idx="439">
                  <c:v>0.84855777587995884</c:v>
                </c:pt>
                <c:pt idx="440">
                  <c:v>0.84848863033764232</c:v>
                </c:pt>
                <c:pt idx="441">
                  <c:v>0.84841964855852425</c:v>
                </c:pt>
                <c:pt idx="442">
                  <c:v>0.84835082957258046</c:v>
                </c:pt>
                <c:pt idx="443">
                  <c:v>0.84828217241560733</c:v>
                </c:pt>
                <c:pt idx="444">
                  <c:v>0.84821367612918508</c:v>
                </c:pt>
                <c:pt idx="445">
                  <c:v>0.84814533976064355</c:v>
                </c:pt>
                <c:pt idx="446">
                  <c:v>0.84807716236302921</c:v>
                </c:pt>
                <c:pt idx="447">
                  <c:v>0.84800914299506847</c:v>
                </c:pt>
                <c:pt idx="448">
                  <c:v>0.84794128072113517</c:v>
                </c:pt>
                <c:pt idx="449">
                  <c:v>0.84787357461121604</c:v>
                </c:pt>
                <c:pt idx="450">
                  <c:v>0.84780602374087788</c:v>
                </c:pt>
                <c:pt idx="451">
                  <c:v>0.84773862719123305</c:v>
                </c:pt>
                <c:pt idx="452">
                  <c:v>0.84767138404890618</c:v>
                </c:pt>
                <c:pt idx="453">
                  <c:v>0.8476042934060023</c:v>
                </c:pt>
                <c:pt idx="454">
                  <c:v>0.84753735436007283</c:v>
                </c:pt>
                <c:pt idx="455">
                  <c:v>0.8474705660140831</c:v>
                </c:pt>
                <c:pt idx="456">
                  <c:v>0.84740392747638049</c:v>
                </c:pt>
                <c:pt idx="457">
                  <c:v>0.84733743786066107</c:v>
                </c:pt>
                <c:pt idx="458">
                  <c:v>0.84727109628593844</c:v>
                </c:pt>
                <c:pt idx="459">
                  <c:v>0.84720490187651154</c:v>
                </c:pt>
                <c:pt idx="460">
                  <c:v>0.84713885376193288</c:v>
                </c:pt>
                <c:pt idx="461">
                  <c:v>0.84707295107697678</c:v>
                </c:pt>
                <c:pt idx="462">
                  <c:v>0.84700719296160853</c:v>
                </c:pt>
                <c:pt idx="463">
                  <c:v>0.84694157856095309</c:v>
                </c:pt>
                <c:pt idx="464">
                  <c:v>0.84687610702526361</c:v>
                </c:pt>
                <c:pt idx="465">
                  <c:v>0.84681077750989142</c:v>
                </c:pt>
                <c:pt idx="466">
                  <c:v>0.84674558917525522</c:v>
                </c:pt>
                <c:pt idx="467">
                  <c:v>0.84668054118681024</c:v>
                </c:pt>
                <c:pt idx="468">
                  <c:v>0.84661563271501883</c:v>
                </c:pt>
                <c:pt idx="469">
                  <c:v>0.846550862935319</c:v>
                </c:pt>
                <c:pt idx="470">
                  <c:v>0.84648623102809673</c:v>
                </c:pt>
                <c:pt idx="471">
                  <c:v>0.84642173617865424</c:v>
                </c:pt>
                <c:pt idx="472">
                  <c:v>0.84635737757718166</c:v>
                </c:pt>
                <c:pt idx="473">
                  <c:v>0.8462931544187271</c:v>
                </c:pt>
                <c:pt idx="474">
                  <c:v>0.84622906590316782</c:v>
                </c:pt>
                <c:pt idx="475">
                  <c:v>0.84616511123518146</c:v>
                </c:pt>
                <c:pt idx="476">
                  <c:v>0.8461012896242166</c:v>
                </c:pt>
                <c:pt idx="477">
                  <c:v>0.84603760028446484</c:v>
                </c:pt>
                <c:pt idx="478">
                  <c:v>0.84597404243483143</c:v>
                </c:pt>
                <c:pt idx="479">
                  <c:v>0.84591061529890843</c:v>
                </c:pt>
                <c:pt idx="480">
                  <c:v>0.84584731810494496</c:v>
                </c:pt>
                <c:pt idx="481">
                  <c:v>0.84578415008582042</c:v>
                </c:pt>
                <c:pt idx="482">
                  <c:v>0.8457211104790161</c:v>
                </c:pt>
                <c:pt idx="483">
                  <c:v>0.84565819852658797</c:v>
                </c:pt>
                <c:pt idx="484">
                  <c:v>0.845595413475139</c:v>
                </c:pt>
                <c:pt idx="485">
                  <c:v>0.84553275457579147</c:v>
                </c:pt>
                <c:pt idx="486">
                  <c:v>0.84547022108416126</c:v>
                </c:pt>
                <c:pt idx="487">
                  <c:v>0.84540781226032868</c:v>
                </c:pt>
                <c:pt idx="488">
                  <c:v>0.84534552736881419</c:v>
                </c:pt>
                <c:pt idx="489">
                  <c:v>0.84528336567854967</c:v>
                </c:pt>
                <c:pt idx="490">
                  <c:v>0.84522132646285297</c:v>
                </c:pt>
                <c:pt idx="491">
                  <c:v>0.84515940899940167</c:v>
                </c:pt>
                <c:pt idx="492">
                  <c:v>0.8450976125702061</c:v>
                </c:pt>
                <c:pt idx="493">
                  <c:v>0.84503593646158459</c:v>
                </c:pt>
                <c:pt idx="494">
                  <c:v>0.8449743799641366</c:v>
                </c:pt>
                <c:pt idx="495">
                  <c:v>0.84491294237271697</c:v>
                </c:pt>
                <c:pt idx="496">
                  <c:v>0.84485162298641159</c:v>
                </c:pt>
                <c:pt idx="497">
                  <c:v>0.84479042110851055</c:v>
                </c:pt>
                <c:pt idx="498">
                  <c:v>0.84472933604648393</c:v>
                </c:pt>
                <c:pt idx="499">
                  <c:v>0.84466836711195636</c:v>
                </c:pt>
                <c:pt idx="500">
                  <c:v>0.84460751362068165</c:v>
                </c:pt>
                <c:pt idx="501">
                  <c:v>0.84454677489251928</c:v>
                </c:pt>
                <c:pt idx="502">
                  <c:v>0.84448615025140805</c:v>
                </c:pt>
                <c:pt idx="503">
                  <c:v>0.84442563902534318</c:v>
                </c:pt>
                <c:pt idx="504">
                  <c:v>0.84436524054635087</c:v>
                </c:pt>
                <c:pt idx="505">
                  <c:v>0.84430495415046469</c:v>
                </c:pt>
                <c:pt idx="506">
                  <c:v>0.84424477917770147</c:v>
                </c:pt>
                <c:pt idx="507">
                  <c:v>0.84418471497203718</c:v>
                </c:pt>
                <c:pt idx="508">
                  <c:v>0.84412476088138344</c:v>
                </c:pt>
                <c:pt idx="509">
                  <c:v>0.84406491625756375</c:v>
                </c:pt>
                <c:pt idx="510">
                  <c:v>0.84400518045628992</c:v>
                </c:pt>
                <c:pt idx="511">
                  <c:v>0.8439455528371389</c:v>
                </c:pt>
                <c:pt idx="512">
                  <c:v>0.84388603276352947</c:v>
                </c:pt>
                <c:pt idx="513">
                  <c:v>0.84382661960269978</c:v>
                </c:pt>
                <c:pt idx="514">
                  <c:v>0.84376731272568306</c:v>
                </c:pt>
                <c:pt idx="515">
                  <c:v>0.84370811150728653</c:v>
                </c:pt>
                <c:pt idx="516">
                  <c:v>0.8436490153260674</c:v>
                </c:pt>
                <c:pt idx="517">
                  <c:v>0.84359002356431134</c:v>
                </c:pt>
                <c:pt idx="518">
                  <c:v>0.84353113560800919</c:v>
                </c:pt>
                <c:pt idx="519">
                  <c:v>0.84347235084683558</c:v>
                </c:pt>
                <c:pt idx="520">
                  <c:v>0.84341366867412637</c:v>
                </c:pt>
                <c:pt idx="521">
                  <c:v>0.84335508848685681</c:v>
                </c:pt>
                <c:pt idx="522">
                  <c:v>0.8432966096856197</c:v>
                </c:pt>
                <c:pt idx="523">
                  <c:v>0.84323823167460332</c:v>
                </c:pt>
                <c:pt idx="524">
                  <c:v>0.84317995386157096</c:v>
                </c:pt>
                <c:pt idx="525">
                  <c:v>0.84312177565783786</c:v>
                </c:pt>
                <c:pt idx="526">
                  <c:v>0.8430636964782513</c:v>
                </c:pt>
                <c:pt idx="527">
                  <c:v>0.84300571574116834</c:v>
                </c:pt>
                <c:pt idx="528">
                  <c:v>0.84294783286843589</c:v>
                </c:pt>
                <c:pt idx="529">
                  <c:v>0.84289004728536865</c:v>
                </c:pt>
                <c:pt idx="530">
                  <c:v>0.84283235842072923</c:v>
                </c:pt>
                <c:pt idx="531">
                  <c:v>0.84277476570670651</c:v>
                </c:pt>
                <c:pt idx="532">
                  <c:v>0.84271726857889639</c:v>
                </c:pt>
                <c:pt idx="533">
                  <c:v>0.84265986647627955</c:v>
                </c:pt>
                <c:pt idx="534">
                  <c:v>0.84260255884120305</c:v>
                </c:pt>
                <c:pt idx="535">
                  <c:v>0.84254534511935886</c:v>
                </c:pt>
                <c:pt idx="536">
                  <c:v>0.84248822475976415</c:v>
                </c:pt>
                <c:pt idx="537">
                  <c:v>0.84243119721474136</c:v>
                </c:pt>
                <c:pt idx="538">
                  <c:v>0.84237426193989873</c:v>
                </c:pt>
                <c:pt idx="539">
                  <c:v>0.84231741839410956</c:v>
                </c:pt>
                <c:pt idx="540">
                  <c:v>0.84226066603949379</c:v>
                </c:pt>
                <c:pt idx="541">
                  <c:v>0.84220400434139797</c:v>
                </c:pt>
                <c:pt idx="542">
                  <c:v>0.84214743276837578</c:v>
                </c:pt>
                <c:pt idx="543">
                  <c:v>0.84209095079216922</c:v>
                </c:pt>
                <c:pt idx="544">
                  <c:v>0.84203455788768866</c:v>
                </c:pt>
                <c:pt idx="545">
                  <c:v>0.84197825353299527</c:v>
                </c:pt>
                <c:pt idx="546">
                  <c:v>0.84192203720928016</c:v>
                </c:pt>
                <c:pt idx="547">
                  <c:v>0.84186590840084763</c:v>
                </c:pt>
                <c:pt idx="548">
                  <c:v>0.84180986659509482</c:v>
                </c:pt>
                <c:pt idx="549">
                  <c:v>0.84175391128249444</c:v>
                </c:pt>
                <c:pt idx="550">
                  <c:v>0.84169804195657527</c:v>
                </c:pt>
                <c:pt idx="551">
                  <c:v>0.84164225811390447</c:v>
                </c:pt>
                <c:pt idx="552">
                  <c:v>0.84158655925406922</c:v>
                </c:pt>
                <c:pt idx="553">
                  <c:v>0.84153094487965863</c:v>
                </c:pt>
                <c:pt idx="554">
                  <c:v>0.84147541449624552</c:v>
                </c:pt>
                <c:pt idx="555">
                  <c:v>0.84141996761236848</c:v>
                </c:pt>
                <c:pt idx="556">
                  <c:v>0.8413646037395146</c:v>
                </c:pt>
                <c:pt idx="557">
                  <c:v>0.8413093223921011</c:v>
                </c:pt>
                <c:pt idx="558">
                  <c:v>0.84125412308745851</c:v>
                </c:pt>
                <c:pt idx="559">
                  <c:v>0.84119900534581216</c:v>
                </c:pt>
                <c:pt idx="560">
                  <c:v>0.84114396869026586</c:v>
                </c:pt>
                <c:pt idx="561">
                  <c:v>0.84108901264678393</c:v>
                </c:pt>
                <c:pt idx="562">
                  <c:v>0.8410341367441746</c:v>
                </c:pt>
                <c:pt idx="563">
                  <c:v>0.84097934051407208</c:v>
                </c:pt>
                <c:pt idx="564">
                  <c:v>0.84092462349092079</c:v>
                </c:pt>
                <c:pt idx="565">
                  <c:v>0.84086998521195733</c:v>
                </c:pt>
                <c:pt idx="566">
                  <c:v>0.84081542521719477</c:v>
                </c:pt>
                <c:pt idx="567">
                  <c:v>0.84076094304940474</c:v>
                </c:pt>
                <c:pt idx="568">
                  <c:v>0.84070653825410235</c:v>
                </c:pt>
                <c:pt idx="569">
                  <c:v>0.84065221037952864</c:v>
                </c:pt>
                <c:pt idx="570">
                  <c:v>0.84059795897663458</c:v>
                </c:pt>
                <c:pt idx="571">
                  <c:v>0.8405437835990649</c:v>
                </c:pt>
                <c:pt idx="572">
                  <c:v>0.84048968380314182</c:v>
                </c:pt>
                <c:pt idx="573">
                  <c:v>0.84043565914784901</c:v>
                </c:pt>
                <c:pt idx="574">
                  <c:v>0.84038170919481581</c:v>
                </c:pt>
                <c:pt idx="575">
                  <c:v>0.84032783350830043</c:v>
                </c:pt>
                <c:pt idx="576">
                  <c:v>0.84027403165517578</c:v>
                </c:pt>
                <c:pt idx="577">
                  <c:v>0.84022030320491248</c:v>
                </c:pt>
                <c:pt idx="578">
                  <c:v>0.84016664772956373</c:v>
                </c:pt>
                <c:pt idx="579">
                  <c:v>0.84011306480374992</c:v>
                </c:pt>
                <c:pt idx="580">
                  <c:v>0.84005955400464294</c:v>
                </c:pt>
                <c:pt idx="581">
                  <c:v>0.8400061149119511</c:v>
                </c:pt>
                <c:pt idx="582">
                  <c:v>0.83995274710790402</c:v>
                </c:pt>
                <c:pt idx="583">
                  <c:v>0.83989945017723677</c:v>
                </c:pt>
                <c:pt idx="584">
                  <c:v>0.83984622370717599</c:v>
                </c:pt>
                <c:pt idx="585">
                  <c:v>0.83979306728742398</c:v>
                </c:pt>
                <c:pt idx="586">
                  <c:v>0.83973998051014431</c:v>
                </c:pt>
                <c:pt idx="587">
                  <c:v>0.83968696296994705</c:v>
                </c:pt>
                <c:pt idx="588">
                  <c:v>0.83963401426387396</c:v>
                </c:pt>
                <c:pt idx="589">
                  <c:v>0.83958113399138357</c:v>
                </c:pt>
                <c:pt idx="590">
                  <c:v>0.83952832175433745</c:v>
                </c:pt>
                <c:pt idx="591">
                  <c:v>0.83947557715698551</c:v>
                </c:pt>
                <c:pt idx="592">
                  <c:v>0.83942289980595075</c:v>
                </c:pt>
                <c:pt idx="593">
                  <c:v>0.83937028931021673</c:v>
                </c:pt>
                <c:pt idx="594">
                  <c:v>0.8393177452811118</c:v>
                </c:pt>
                <c:pt idx="595">
                  <c:v>0.83926526733229634</c:v>
                </c:pt>
                <c:pt idx="596">
                  <c:v>0.83921285507974763</c:v>
                </c:pt>
                <c:pt idx="597">
                  <c:v>0.83916050814174659</c:v>
                </c:pt>
                <c:pt idx="598">
                  <c:v>0.83910822613886393</c:v>
                </c:pt>
                <c:pt idx="599">
                  <c:v>0.83905600869394625</c:v>
                </c:pt>
                <c:pt idx="600">
                  <c:v>0.83900385543210254</c:v>
                </c:pt>
                <c:pt idx="601">
                  <c:v>0.83895176598069032</c:v>
                </c:pt>
                <c:pt idx="602">
                  <c:v>0.83889973996930234</c:v>
                </c:pt>
                <c:pt idx="603">
                  <c:v>0.83884777702975377</c:v>
                </c:pt>
                <c:pt idx="604">
                  <c:v>0.83879587679606737</c:v>
                </c:pt>
                <c:pt idx="605">
                  <c:v>0.83874403890446192</c:v>
                </c:pt>
                <c:pt idx="606">
                  <c:v>0.83869226299333732</c:v>
                </c:pt>
                <c:pt idx="607">
                  <c:v>0.83864054870326343</c:v>
                </c:pt>
                <c:pt idx="608">
                  <c:v>0.83858889567696537</c:v>
                </c:pt>
                <c:pt idx="609">
                  <c:v>0.83853730355931211</c:v>
                </c:pt>
                <c:pt idx="610">
                  <c:v>0.83848577199730179</c:v>
                </c:pt>
                <c:pt idx="611">
                  <c:v>0.83843430064005064</c:v>
                </c:pt>
                <c:pt idx="612">
                  <c:v>0.83838288913877923</c:v>
                </c:pt>
                <c:pt idx="613">
                  <c:v>0.83833153714680031</c:v>
                </c:pt>
                <c:pt idx="614">
                  <c:v>0.83828024431950621</c:v>
                </c:pt>
                <c:pt idx="615">
                  <c:v>0.83822901031435604</c:v>
                </c:pt>
                <c:pt idx="616">
                  <c:v>0.83817783479086372</c:v>
                </c:pt>
                <c:pt idx="617">
                  <c:v>0.83812671741058542</c:v>
                </c:pt>
                <c:pt idx="618">
                  <c:v>0.83807565783710736</c:v>
                </c:pt>
                <c:pt idx="619">
                  <c:v>0.83802465573603369</c:v>
                </c:pt>
                <c:pt idx="620">
                  <c:v>0.83797371077497407</c:v>
                </c:pt>
                <c:pt idx="621">
                  <c:v>0.83792282262353213</c:v>
                </c:pt>
                <c:pt idx="622">
                  <c:v>0.83787199095329334</c:v>
                </c:pt>
                <c:pt idx="623">
                  <c:v>0.83782121543781263</c:v>
                </c:pt>
                <c:pt idx="624">
                  <c:v>0.83777049575260332</c:v>
                </c:pt>
                <c:pt idx="625">
                  <c:v>0.83771983157512486</c:v>
                </c:pt>
                <c:pt idx="626">
                  <c:v>0.83766922258477139</c:v>
                </c:pt>
                <c:pt idx="627">
                  <c:v>0.83761866846286004</c:v>
                </c:pt>
                <c:pt idx="628">
                  <c:v>0.83756816889261954</c:v>
                </c:pt>
                <c:pt idx="629">
                  <c:v>0.83751772355917853</c:v>
                </c:pt>
                <c:pt idx="630">
                  <c:v>0.83746733214955404</c:v>
                </c:pt>
                <c:pt idx="631">
                  <c:v>0.83741699435264072</c:v>
                </c:pt>
                <c:pt idx="632">
                  <c:v>0.83736670985919903</c:v>
                </c:pt>
                <c:pt idx="633">
                  <c:v>0.83731647836184453</c:v>
                </c:pt>
                <c:pt idx="634">
                  <c:v>0.83726629955503595</c:v>
                </c:pt>
                <c:pt idx="635">
                  <c:v>0.83721617313506513</c:v>
                </c:pt>
                <c:pt idx="636">
                  <c:v>0.83716609880004522</c:v>
                </c:pt>
                <c:pt idx="637">
                  <c:v>0.83711607624990025</c:v>
                </c:pt>
                <c:pt idx="638">
                  <c:v>0.83706610518635394</c:v>
                </c:pt>
                <c:pt idx="639">
                  <c:v>0.83701618531291933</c:v>
                </c:pt>
                <c:pt idx="640">
                  <c:v>0.83696631633488738</c:v>
                </c:pt>
                <c:pt idx="641">
                  <c:v>0.836916497959317</c:v>
                </c:pt>
                <c:pt idx="642">
                  <c:v>0.83686672989502386</c:v>
                </c:pt>
                <c:pt idx="643">
                  <c:v>0.83681701185257029</c:v>
                </c:pt>
                <c:pt idx="644">
                  <c:v>0.83676734354425464</c:v>
                </c:pt>
                <c:pt idx="645">
                  <c:v>0.83671772468410066</c:v>
                </c:pt>
                <c:pt idx="646">
                  <c:v>0.83666815498784763</c:v>
                </c:pt>
                <c:pt idx="647">
                  <c:v>0.83661863417293958</c:v>
                </c:pt>
                <c:pt idx="648">
                  <c:v>0.83656916195851505</c:v>
                </c:pt>
                <c:pt idx="649">
                  <c:v>0.8365197380653977</c:v>
                </c:pt>
                <c:pt idx="650">
                  <c:v>0.83647036221608495</c:v>
                </c:pt>
                <c:pt idx="651">
                  <c:v>0.83642103413473923</c:v>
                </c:pt>
                <c:pt idx="652">
                  <c:v>0.83637175354717697</c:v>
                </c:pt>
                <c:pt idx="653">
                  <c:v>0.83632252018085929</c:v>
                </c:pt>
                <c:pt idx="654">
                  <c:v>0.83627333376488178</c:v>
                </c:pt>
                <c:pt idx="655">
                  <c:v>0.83622419402996484</c:v>
                </c:pt>
                <c:pt idx="656">
                  <c:v>0.83617510070844403</c:v>
                </c:pt>
                <c:pt idx="657">
                  <c:v>0.83612605353426006</c:v>
                </c:pt>
                <c:pt idx="658">
                  <c:v>0.83607705224294981</c:v>
                </c:pt>
                <c:pt idx="659">
                  <c:v>0.8360280965716359</c:v>
                </c:pt>
                <c:pt idx="660">
                  <c:v>0.83597918625901779</c:v>
                </c:pt>
                <c:pt idx="661">
                  <c:v>0.83593032104536202</c:v>
                </c:pt>
                <c:pt idx="662">
                  <c:v>0.83588150067249312</c:v>
                </c:pt>
                <c:pt idx="663">
                  <c:v>0.83583272488378368</c:v>
                </c:pt>
                <c:pt idx="664">
                  <c:v>0.83578399342414578</c:v>
                </c:pt>
                <c:pt idx="665">
                  <c:v>0.835735306040021</c:v>
                </c:pt>
                <c:pt idx="666">
                  <c:v>0.8356866624793724</c:v>
                </c:pt>
                <c:pt idx="667">
                  <c:v>0.83563806249167372</c:v>
                </c:pt>
                <c:pt idx="668">
                  <c:v>0.83558950582790192</c:v>
                </c:pt>
                <c:pt idx="669">
                  <c:v>0.83554099224052725</c:v>
                </c:pt>
                <c:pt idx="670">
                  <c:v>0.83549252148350428</c:v>
                </c:pt>
                <c:pt idx="671">
                  <c:v>0.83544409331226388</c:v>
                </c:pt>
                <c:pt idx="672">
                  <c:v>0.83539570748370306</c:v>
                </c:pt>
                <c:pt idx="673">
                  <c:v>0.83534736375617691</c:v>
                </c:pt>
                <c:pt idx="674">
                  <c:v>0.8352990618894901</c:v>
                </c:pt>
                <c:pt idx="675">
                  <c:v>0.83525080164488752</c:v>
                </c:pt>
                <c:pt idx="676">
                  <c:v>0.83520258278504633</c:v>
                </c:pt>
                <c:pt idx="677">
                  <c:v>0.83515440507406669</c:v>
                </c:pt>
                <c:pt idx="678">
                  <c:v>0.83510626827746348</c:v>
                </c:pt>
                <c:pt idx="679">
                  <c:v>0.83505817216215839</c:v>
                </c:pt>
                <c:pt idx="680">
                  <c:v>0.83501011649647028</c:v>
                </c:pt>
                <c:pt idx="681">
                  <c:v>0.83496210105010804</c:v>
                </c:pt>
                <c:pt idx="682">
                  <c:v>0.83491412559416134</c:v>
                </c:pt>
                <c:pt idx="683">
                  <c:v>0.83486618990109263</c:v>
                </c:pt>
                <c:pt idx="684">
                  <c:v>0.83481829374472949</c:v>
                </c:pt>
                <c:pt idx="685">
                  <c:v>0.83477043690025532</c:v>
                </c:pt>
                <c:pt idx="686">
                  <c:v>0.83472261914420209</c:v>
                </c:pt>
                <c:pt idx="687">
                  <c:v>0.83467484025444205</c:v>
                </c:pt>
                <c:pt idx="688">
                  <c:v>0.83462710001017903</c:v>
                </c:pt>
                <c:pt idx="689">
                  <c:v>0.83457939819194205</c:v>
                </c:pt>
                <c:pt idx="690">
                  <c:v>0.83453173458157515</c:v>
                </c:pt>
                <c:pt idx="691">
                  <c:v>0.83448410896223157</c:v>
                </c:pt>
                <c:pt idx="692">
                  <c:v>0.83443652111836464</c:v>
                </c:pt>
                <c:pt idx="693">
                  <c:v>0.8343889708357205</c:v>
                </c:pt>
                <c:pt idx="694">
                  <c:v>0.83434145790132996</c:v>
                </c:pt>
                <c:pt idx="695">
                  <c:v>0.83429398210350125</c:v>
                </c:pt>
                <c:pt idx="696">
                  <c:v>0.83424654323181202</c:v>
                </c:pt>
                <c:pt idx="697">
                  <c:v>0.8341991410771018</c:v>
                </c:pt>
                <c:pt idx="698">
                  <c:v>0.83415177543146468</c:v>
                </c:pt>
                <c:pt idx="699">
                  <c:v>0.83410444608824141</c:v>
                </c:pt>
                <c:pt idx="700">
                  <c:v>0.83405715284201187</c:v>
                </c:pt>
                <c:pt idx="701">
                  <c:v>0.83400989548858828</c:v>
                </c:pt>
                <c:pt idx="702">
                  <c:v>0.83396267382500711</c:v>
                </c:pt>
                <c:pt idx="703">
                  <c:v>0.83391548764952195</c:v>
                </c:pt>
                <c:pt idx="704">
                  <c:v>0.83386833676159633</c:v>
                </c:pt>
                <c:pt idx="705">
                  <c:v>0.83382122096189626</c:v>
                </c:pt>
                <c:pt idx="706">
                  <c:v>0.83377414005228323</c:v>
                </c:pt>
                <c:pt idx="707">
                  <c:v>0.83372709383580734</c:v>
                </c:pt>
                <c:pt idx="708">
                  <c:v>0.83368008211669908</c:v>
                </c:pt>
                <c:pt idx="709">
                  <c:v>0.83363310470036311</c:v>
                </c:pt>
                <c:pt idx="710">
                  <c:v>0.83358616139337149</c:v>
                </c:pt>
                <c:pt idx="711">
                  <c:v>0.83353925200345569</c:v>
                </c:pt>
                <c:pt idx="712">
                  <c:v>0.83349237633950046</c:v>
                </c:pt>
                <c:pt idx="713">
                  <c:v>0.83344553421153655</c:v>
                </c:pt>
                <c:pt idx="714">
                  <c:v>0.83339872543073401</c:v>
                </c:pt>
                <c:pt idx="715">
                  <c:v>0.83335194980939487</c:v>
                </c:pt>
                <c:pt idx="716">
                  <c:v>0.83330520716094747</c:v>
                </c:pt>
                <c:pt idx="717">
                  <c:v>0.83325849729993795</c:v>
                </c:pt>
                <c:pt idx="718">
                  <c:v>0.83321182004202554</c:v>
                </c:pt>
                <c:pt idx="719">
                  <c:v>0.83316517520397415</c:v>
                </c:pt>
                <c:pt idx="720">
                  <c:v>0.83311856260364714</c:v>
                </c:pt>
                <c:pt idx="721">
                  <c:v>0.83307198205999955</c:v>
                </c:pt>
                <c:pt idx="722">
                  <c:v>0.83302543339307222</c:v>
                </c:pt>
                <c:pt idx="723">
                  <c:v>0.83297891642398514</c:v>
                </c:pt>
                <c:pt idx="724">
                  <c:v>0.83293243097493108</c:v>
                </c:pt>
                <c:pt idx="725">
                  <c:v>0.83288597686916876</c:v>
                </c:pt>
                <c:pt idx="726">
                  <c:v>0.83283955393101705</c:v>
                </c:pt>
                <c:pt idx="727">
                  <c:v>0.83279316198584818</c:v>
                </c:pt>
                <c:pt idx="728">
                  <c:v>0.83274680086008135</c:v>
                </c:pt>
                <c:pt idx="729">
                  <c:v>0.83270047038117678</c:v>
                </c:pt>
                <c:pt idx="730">
                  <c:v>0.83265417037762945</c:v>
                </c:pt>
                <c:pt idx="731">
                  <c:v>0.8326079006789624</c:v>
                </c:pt>
                <c:pt idx="732">
                  <c:v>0.83256166111572116</c:v>
                </c:pt>
                <c:pt idx="733">
                  <c:v>0.83251545151946726</c:v>
                </c:pt>
                <c:pt idx="734">
                  <c:v>0.83246927172277241</c:v>
                </c:pt>
                <c:pt idx="735">
                  <c:v>0.83242312155921228</c:v>
                </c:pt>
                <c:pt idx="736">
                  <c:v>0.83237700086335997</c:v>
                </c:pt>
                <c:pt idx="737">
                  <c:v>0.83233090947078103</c:v>
                </c:pt>
                <c:pt idx="738">
                  <c:v>0.83228484721802698</c:v>
                </c:pt>
                <c:pt idx="739">
                  <c:v>0.83223881394262933</c:v>
                </c:pt>
                <c:pt idx="740">
                  <c:v>0.83219280948309371</c:v>
                </c:pt>
                <c:pt idx="741">
                  <c:v>0.83214683367889397</c:v>
                </c:pt>
                <c:pt idx="742">
                  <c:v>0.83210088637046686</c:v>
                </c:pt>
                <c:pt idx="743">
                  <c:v>0.83205496739920559</c:v>
                </c:pt>
                <c:pt idx="744">
                  <c:v>0.8320090766074546</c:v>
                </c:pt>
                <c:pt idx="745">
                  <c:v>0.83196321383850347</c:v>
                </c:pt>
                <c:pt idx="746">
                  <c:v>0.83191737893658146</c:v>
                </c:pt>
                <c:pt idx="747">
                  <c:v>0.831871571746852</c:v>
                </c:pt>
                <c:pt idx="748">
                  <c:v>0.83182579211540675</c:v>
                </c:pt>
                <c:pt idx="749">
                  <c:v>0.83178003988926019</c:v>
                </c:pt>
                <c:pt idx="750">
                  <c:v>0.8317343149163442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C6-409A-92BA-28D9C9A71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2527120"/>
        <c:axId val="1052526640"/>
      </c:lineChart>
      <c:catAx>
        <c:axId val="10525271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526640"/>
        <c:crosses val="autoZero"/>
        <c:auto val="1"/>
        <c:lblAlgn val="ctr"/>
        <c:lblOffset val="100"/>
        <c:noMultiLvlLbl val="0"/>
      </c:catAx>
      <c:valAx>
        <c:axId val="105252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52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1</xdr:rowOff>
    </xdr:from>
    <xdr:to>
      <xdr:col>9</xdr:col>
      <xdr:colOff>972910</xdr:colOff>
      <xdr:row>48</xdr:row>
      <xdr:rowOff>90034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A8C487C-D1EC-47F1-9AF3-A0D6AC9D9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625928</xdr:colOff>
      <xdr:row>230</xdr:row>
      <xdr:rowOff>149679</xdr:rowOff>
    </xdr:from>
    <xdr:to>
      <xdr:col>10</xdr:col>
      <xdr:colOff>45922</xdr:colOff>
      <xdr:row>267</xdr:row>
      <xdr:rowOff>161585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5682D31-78AF-4675-BCC4-851F1B687F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F9CCD-1659-4583-B6EE-D3398DFED67B}">
  <dimension ref="A1:AQ752"/>
  <sheetViews>
    <sheetView tabSelected="1" topLeftCell="A167" zoomScale="70" zoomScaleNormal="70" workbookViewId="0">
      <selection activeCell="H205" sqref="H205"/>
    </sheetView>
  </sheetViews>
  <sheetFormatPr defaultRowHeight="14.5" x14ac:dyDescent="0.35"/>
  <cols>
    <col min="1" max="1" width="14.6328125" customWidth="1"/>
    <col min="2" max="2" width="14.90625" customWidth="1"/>
    <col min="3" max="3" width="15.54296875" customWidth="1"/>
    <col min="4" max="4" width="14.81640625" customWidth="1"/>
    <col min="5" max="5" width="18" customWidth="1"/>
    <col min="6" max="6" width="15.6328125" customWidth="1"/>
    <col min="7" max="7" width="16.81640625" customWidth="1"/>
    <col min="8" max="8" width="15.81640625" customWidth="1"/>
    <col min="9" max="9" width="16.36328125" customWidth="1"/>
    <col min="10" max="10" width="15" customWidth="1"/>
    <col min="11" max="11" width="15.453125" customWidth="1"/>
    <col min="12" max="12" width="14.6328125" customWidth="1"/>
    <col min="13" max="13" width="15.26953125" customWidth="1"/>
    <col min="14" max="14" width="15.36328125" customWidth="1"/>
    <col min="15" max="17" width="15.54296875" customWidth="1"/>
    <col min="18" max="20" width="15.08984375" customWidth="1"/>
    <col min="21" max="23" width="12" customWidth="1"/>
    <col min="24" max="24" width="13.54296875" customWidth="1"/>
    <col min="25" max="25" width="17.26953125" customWidth="1"/>
    <col min="26" max="26" width="14.08984375" customWidth="1"/>
    <col min="27" max="27" width="13.54296875" customWidth="1"/>
    <col min="28" max="28" width="14.7265625" customWidth="1"/>
    <col min="29" max="29" width="14.26953125" customWidth="1"/>
    <col min="30" max="30" width="13.81640625" customWidth="1"/>
    <col min="33" max="33" width="12.1796875" customWidth="1"/>
    <col min="34" max="34" width="14" customWidth="1"/>
    <col min="38" max="38" width="24.6328125" customWidth="1"/>
    <col min="39" max="39" width="19.81640625" customWidth="1"/>
  </cols>
  <sheetData>
    <row r="1" spans="1:43" ht="58" customHeight="1" x14ac:dyDescent="0.35">
      <c r="A1" s="15" t="s">
        <v>44</v>
      </c>
      <c r="B1" t="s">
        <v>45</v>
      </c>
      <c r="N1" s="2" t="s">
        <v>16</v>
      </c>
      <c r="O1" s="2" t="s">
        <v>17</v>
      </c>
      <c r="P1" s="2" t="s">
        <v>31</v>
      </c>
      <c r="Q1" s="2" t="s">
        <v>35</v>
      </c>
      <c r="R1" s="2" t="s">
        <v>18</v>
      </c>
      <c r="S1" s="2" t="s">
        <v>31</v>
      </c>
      <c r="T1" s="2" t="s">
        <v>36</v>
      </c>
      <c r="U1" s="2" t="s">
        <v>19</v>
      </c>
      <c r="V1" s="2" t="s">
        <v>31</v>
      </c>
      <c r="W1" s="2" t="s">
        <v>37</v>
      </c>
      <c r="X1" s="8" t="s">
        <v>26</v>
      </c>
      <c r="Y1" s="2" t="s">
        <v>20</v>
      </c>
      <c r="Z1" s="2" t="s">
        <v>21</v>
      </c>
      <c r="AA1" s="2" t="s">
        <v>22</v>
      </c>
      <c r="AB1" s="2" t="s">
        <v>34</v>
      </c>
      <c r="AD1" s="7" t="s">
        <v>14</v>
      </c>
      <c r="AG1" s="2" t="s">
        <v>23</v>
      </c>
      <c r="AH1" s="2" t="s">
        <v>24</v>
      </c>
      <c r="AI1" s="2" t="s">
        <v>25</v>
      </c>
      <c r="AL1" s="8" t="s">
        <v>59</v>
      </c>
      <c r="AM1" s="7" t="s">
        <v>60</v>
      </c>
      <c r="AO1" s="13" t="s">
        <v>39</v>
      </c>
      <c r="AP1" s="14" t="s">
        <v>41</v>
      </c>
      <c r="AQ1" s="14" t="s">
        <v>40</v>
      </c>
    </row>
    <row r="2" spans="1:43" ht="58" x14ac:dyDescent="0.35">
      <c r="A2" s="2" t="s">
        <v>0</v>
      </c>
      <c r="B2" s="2" t="s">
        <v>2</v>
      </c>
      <c r="C2" s="2" t="s">
        <v>8</v>
      </c>
      <c r="D2" s="2" t="s">
        <v>10</v>
      </c>
      <c r="E2" s="2" t="s">
        <v>13</v>
      </c>
      <c r="F2" s="2" t="s">
        <v>27</v>
      </c>
      <c r="G2" s="2" t="s">
        <v>28</v>
      </c>
      <c r="H2" s="2" t="s">
        <v>30</v>
      </c>
      <c r="I2" s="2" t="s">
        <v>32</v>
      </c>
      <c r="N2">
        <v>0</v>
      </c>
      <c r="O2">
        <f>E3*G3</f>
        <v>267876</v>
      </c>
      <c r="P2">
        <f t="shared" ref="P2:P65" si="0">IF(N2&lt;$H$12,O2*($F$3+$H$3),O2*$F$3)</f>
        <v>13.393800000000001</v>
      </c>
      <c r="Q2">
        <f t="shared" ref="Q2:Q65" si="1">IF(N2&lt;$H$12,P2*$I$3,0)</f>
        <v>0</v>
      </c>
      <c r="R2">
        <f>E4*G4</f>
        <v>1764</v>
      </c>
      <c r="S2">
        <f t="shared" ref="S2:S65" si="2">IF(N2&lt;$H$12,R2*($F$4+$H$4),R2*$F$4)</f>
        <v>10.584</v>
      </c>
      <c r="T2">
        <f t="shared" ref="T2:T65" si="3">IF(N2&lt;$H$12,S2*$I$4,0)</f>
        <v>0</v>
      </c>
      <c r="U2">
        <f>E5*G5</f>
        <v>360</v>
      </c>
      <c r="V2">
        <f t="shared" ref="V2:V65" si="4">IF(N2&lt;$H$12,U2*($F$5+$H$5),U2*$F$5)</f>
        <v>54</v>
      </c>
      <c r="W2">
        <f t="shared" ref="W2:W65" si="5">IF(N2&lt;$H$12,V2*$I$5,0)</f>
        <v>0</v>
      </c>
      <c r="X2">
        <f t="shared" ref="X2:X33" si="6">O2+R2+U2-$J$57</f>
        <v>270000</v>
      </c>
      <c r="Y2">
        <f>E3*(1-G3)</f>
        <v>29763.999999999993</v>
      </c>
      <c r="Z2">
        <f>E4*(1-G4)</f>
        <v>195.99999999999994</v>
      </c>
      <c r="AA2">
        <f>E5*(1-G5)</f>
        <v>39.999999999999993</v>
      </c>
      <c r="AB2">
        <f>Q2+T2+W2</f>
        <v>0</v>
      </c>
      <c r="AD2" s="6">
        <f t="shared" ref="AD2:AD33" si="7">Y2+Z2+AA2+AG2+AH2+AI2-AB2+$M$59</f>
        <v>130000</v>
      </c>
      <c r="AG2">
        <f>E7</f>
        <v>82400</v>
      </c>
      <c r="AH2">
        <f>E8</f>
        <v>8000</v>
      </c>
      <c r="AI2">
        <f>E9</f>
        <v>9600</v>
      </c>
      <c r="AL2">
        <f t="shared" ref="AL2:AL33" si="8">X2/$X$2</f>
        <v>1</v>
      </c>
      <c r="AM2">
        <f>AD2/$AD$2</f>
        <v>1</v>
      </c>
      <c r="AO2">
        <v>0</v>
      </c>
      <c r="AP2">
        <v>1</v>
      </c>
      <c r="AQ2">
        <v>1</v>
      </c>
    </row>
    <row r="3" spans="1:43" x14ac:dyDescent="0.35">
      <c r="B3" t="s">
        <v>3</v>
      </c>
      <c r="C3" s="4">
        <v>0.74409999999999998</v>
      </c>
      <c r="D3" s="10">
        <f>C3/C6</f>
        <v>0.99213333333333331</v>
      </c>
      <c r="E3">
        <f>$A$15*C3</f>
        <v>297640</v>
      </c>
      <c r="F3" s="4">
        <v>5.0000000000000002E-5</v>
      </c>
      <c r="G3" s="4">
        <v>0.9</v>
      </c>
      <c r="H3" s="4">
        <v>0</v>
      </c>
      <c r="I3" s="4">
        <v>0</v>
      </c>
      <c r="N3">
        <f>N2+1</f>
        <v>1</v>
      </c>
      <c r="O3" s="6">
        <f>O2-(P2-Q2)</f>
        <v>267862.60619999998</v>
      </c>
      <c r="P3">
        <f t="shared" si="0"/>
        <v>13.39313031</v>
      </c>
      <c r="Q3">
        <f t="shared" si="1"/>
        <v>0</v>
      </c>
      <c r="R3" s="6">
        <f>R2-(S2-T2)</f>
        <v>1753.4159999999999</v>
      </c>
      <c r="S3">
        <f t="shared" si="2"/>
        <v>10.520496</v>
      </c>
      <c r="T3">
        <f t="shared" si="3"/>
        <v>0</v>
      </c>
      <c r="U3" s="6">
        <f>U2-(V2-W2)</f>
        <v>306</v>
      </c>
      <c r="V3">
        <f t="shared" si="4"/>
        <v>45.9</v>
      </c>
      <c r="W3">
        <f t="shared" si="5"/>
        <v>0</v>
      </c>
      <c r="X3">
        <f t="shared" si="6"/>
        <v>269922.02220000001</v>
      </c>
      <c r="Y3" s="6">
        <f t="shared" ref="Y3:Y66" si="9">Y2-Y2*$F$3-Q3</f>
        <v>29762.511799999993</v>
      </c>
      <c r="Z3" s="6">
        <f t="shared" ref="Z3:Z66" si="10">Z2-Z2*$F$4</f>
        <v>194.82399999999996</v>
      </c>
      <c r="AA3" s="6">
        <f t="shared" ref="AA3:AA66" si="11">AA2-AA2*$F$5</f>
        <v>33.999999999999993</v>
      </c>
      <c r="AB3">
        <f t="shared" ref="AB3:AB66" si="12">Q3+T3+W3</f>
        <v>0</v>
      </c>
      <c r="AD3" s="6">
        <f t="shared" si="7"/>
        <v>128499.21580000001</v>
      </c>
      <c r="AG3">
        <f t="shared" ref="AG3:AG66" si="13">IF(N2&lt;$H$12,AG2-AG2*($F$7+$H$7),AG2-AG2*$F$7)</f>
        <v>82395.88</v>
      </c>
      <c r="AH3">
        <f t="shared" ref="AH3:AH66" si="14">IF(N2&lt;$H$12,AH2-AH2*($F$8+$H$8),AH2-AH2*$F$8)</f>
        <v>7952</v>
      </c>
      <c r="AI3">
        <f t="shared" ref="AI3:AI66" si="15">IF(N2&lt;$H$12,AI2-AI2*($F$9+$H$9),AI2-AI2*$F$9)</f>
        <v>8160</v>
      </c>
      <c r="AL3">
        <f t="shared" si="8"/>
        <v>0.99971119333333336</v>
      </c>
      <c r="AM3">
        <f>IF(AD3/$AD$2&lt;AM2,AD3/$AD$2,AM2)</f>
        <v>0.98845550615384614</v>
      </c>
      <c r="AO3">
        <v>1</v>
      </c>
      <c r="AP3">
        <v>0.99998663713473401</v>
      </c>
      <c r="AQ3">
        <v>0.98405476102185896</v>
      </c>
    </row>
    <row r="4" spans="1:43" x14ac:dyDescent="0.35">
      <c r="A4" t="s">
        <v>1</v>
      </c>
      <c r="B4" t="s">
        <v>5</v>
      </c>
      <c r="C4" s="4">
        <v>4.8999999999999998E-3</v>
      </c>
      <c r="D4" s="10">
        <f>C4/C6</f>
        <v>6.5333333333333328E-3</v>
      </c>
      <c r="E4">
        <f>$A$15*C4</f>
        <v>1960</v>
      </c>
      <c r="F4" s="4">
        <v>6.0000000000000001E-3</v>
      </c>
      <c r="G4" s="4">
        <v>0.9</v>
      </c>
      <c r="H4" s="4">
        <v>0</v>
      </c>
      <c r="I4" s="4">
        <v>0</v>
      </c>
      <c r="N4">
        <f t="shared" ref="N4:N36" si="16">N3+1</f>
        <v>2</v>
      </c>
      <c r="O4" s="6">
        <f t="shared" ref="O4:O67" si="17">O3-(P3-Q3)</f>
        <v>267849.21306968998</v>
      </c>
      <c r="P4">
        <f t="shared" si="0"/>
        <v>13.3924606534845</v>
      </c>
      <c r="Q4">
        <f t="shared" si="1"/>
        <v>0</v>
      </c>
      <c r="R4" s="6">
        <f t="shared" ref="R4:R67" si="18">R3-(S3-T3)</f>
        <v>1742.8955039999998</v>
      </c>
      <c r="S4">
        <f t="shared" si="2"/>
        <v>10.457373023999999</v>
      </c>
      <c r="T4">
        <f t="shared" si="3"/>
        <v>0</v>
      </c>
      <c r="U4" s="6">
        <f t="shared" ref="U4:U67" si="19">U3-(V3-W3)</f>
        <v>260.10000000000002</v>
      </c>
      <c r="V4">
        <f t="shared" si="4"/>
        <v>39.015000000000001</v>
      </c>
      <c r="W4">
        <f t="shared" si="5"/>
        <v>0</v>
      </c>
      <c r="X4">
        <f t="shared" si="6"/>
        <v>269852.20857368998</v>
      </c>
      <c r="Y4" s="6">
        <f t="shared" si="9"/>
        <v>29761.023674409993</v>
      </c>
      <c r="Z4" s="6">
        <f t="shared" si="10"/>
        <v>193.65505599999995</v>
      </c>
      <c r="AA4" s="6">
        <f t="shared" si="11"/>
        <v>28.899999999999995</v>
      </c>
      <c r="AB4">
        <f t="shared" si="12"/>
        <v>0</v>
      </c>
      <c r="AD4" s="6">
        <f t="shared" si="7"/>
        <v>127215.62693641</v>
      </c>
      <c r="AG4">
        <f t="shared" si="13"/>
        <v>82391.760206000006</v>
      </c>
      <c r="AH4">
        <f t="shared" si="14"/>
        <v>7904.2879999999996</v>
      </c>
      <c r="AI4">
        <f t="shared" si="15"/>
        <v>6936</v>
      </c>
      <c r="AL4">
        <f t="shared" si="8"/>
        <v>0.99945262434699988</v>
      </c>
      <c r="AM4">
        <f t="shared" ref="AM4:AM67" si="20">IF(AD4/$AD$2&lt;AM3,AD4/$AD$2,AM3)</f>
        <v>0.97858174566469236</v>
      </c>
      <c r="AO4">
        <v>2</v>
      </c>
      <c r="AP4">
        <v>0.99995991140420404</v>
      </c>
      <c r="AQ4">
        <v>0.97320077370989799</v>
      </c>
    </row>
    <row r="5" spans="1:43" x14ac:dyDescent="0.35">
      <c r="B5" t="s">
        <v>4</v>
      </c>
      <c r="C5" s="4">
        <v>1E-3</v>
      </c>
      <c r="D5" s="10">
        <f>C5/C6</f>
        <v>1.3333333333333333E-3</v>
      </c>
      <c r="E5">
        <f>$A$15*C5</f>
        <v>400</v>
      </c>
      <c r="F5" s="4">
        <v>0.15</v>
      </c>
      <c r="G5" s="4">
        <v>0.9</v>
      </c>
      <c r="H5" s="4">
        <v>0</v>
      </c>
      <c r="I5" s="4">
        <v>0</v>
      </c>
      <c r="N5">
        <f t="shared" si="16"/>
        <v>3</v>
      </c>
      <c r="O5" s="6">
        <f t="shared" si="17"/>
        <v>267835.82060903648</v>
      </c>
      <c r="P5">
        <f t="shared" si="0"/>
        <v>13.391791030451826</v>
      </c>
      <c r="Q5">
        <f t="shared" si="1"/>
        <v>0</v>
      </c>
      <c r="R5" s="6">
        <f t="shared" si="18"/>
        <v>1732.4381309759999</v>
      </c>
      <c r="S5">
        <f t="shared" si="2"/>
        <v>10.394628785856</v>
      </c>
      <c r="T5">
        <f t="shared" si="3"/>
        <v>0</v>
      </c>
      <c r="U5" s="6">
        <f t="shared" si="19"/>
        <v>221.08500000000004</v>
      </c>
      <c r="V5">
        <f t="shared" si="4"/>
        <v>33.162750000000003</v>
      </c>
      <c r="W5">
        <f t="shared" si="5"/>
        <v>0</v>
      </c>
      <c r="X5">
        <f t="shared" si="6"/>
        <v>269789.3437400125</v>
      </c>
      <c r="Y5" s="6">
        <f t="shared" si="9"/>
        <v>29759.535623226271</v>
      </c>
      <c r="Z5" s="6">
        <f t="shared" si="10"/>
        <v>192.49312566399993</v>
      </c>
      <c r="AA5" s="6">
        <f t="shared" si="11"/>
        <v>24.564999999999998</v>
      </c>
      <c r="AB5">
        <f t="shared" si="12"/>
        <v>0</v>
      </c>
      <c r="AD5" s="6">
        <f t="shared" si="7"/>
        <v>126116.69663887998</v>
      </c>
      <c r="AG5">
        <f t="shared" si="13"/>
        <v>82387.640617989702</v>
      </c>
      <c r="AH5">
        <f t="shared" si="14"/>
        <v>7856.8622719999994</v>
      </c>
      <c r="AI5">
        <f t="shared" si="15"/>
        <v>5895.6</v>
      </c>
      <c r="AL5">
        <f t="shared" si="8"/>
        <v>0.99921979162967589</v>
      </c>
      <c r="AM5">
        <f t="shared" si="20"/>
        <v>0.97012843568369211</v>
      </c>
      <c r="AO5">
        <v>3</v>
      </c>
      <c r="AP5">
        <v>0.99992650424104002</v>
      </c>
      <c r="AQ5">
        <v>0.96482225718838599</v>
      </c>
    </row>
    <row r="6" spans="1:43" x14ac:dyDescent="0.35">
      <c r="B6" s="3" t="s">
        <v>7</v>
      </c>
      <c r="C6" s="9">
        <f>SUM(C3:C5)</f>
        <v>0.75</v>
      </c>
      <c r="D6">
        <f>SUM(D3:D5)</f>
        <v>0.99999999999999989</v>
      </c>
      <c r="E6">
        <f>A15*C6</f>
        <v>300000</v>
      </c>
      <c r="G6" s="11">
        <f>D3*G3+D4*G4+D5*G5</f>
        <v>0.9</v>
      </c>
      <c r="N6">
        <f t="shared" si="16"/>
        <v>4</v>
      </c>
      <c r="O6" s="6">
        <f t="shared" si="17"/>
        <v>267822.42881800601</v>
      </c>
      <c r="P6">
        <f t="shared" si="0"/>
        <v>13.391121440900301</v>
      </c>
      <c r="Q6">
        <f t="shared" si="1"/>
        <v>0</v>
      </c>
      <c r="R6" s="6">
        <f t="shared" si="18"/>
        <v>1722.043502190144</v>
      </c>
      <c r="S6">
        <f t="shared" si="2"/>
        <v>10.332261013140863</v>
      </c>
      <c r="T6">
        <f t="shared" si="3"/>
        <v>0</v>
      </c>
      <c r="U6" s="6">
        <f t="shared" si="19"/>
        <v>187.92225000000002</v>
      </c>
      <c r="V6">
        <f t="shared" si="4"/>
        <v>28.188337500000003</v>
      </c>
      <c r="W6">
        <f t="shared" si="5"/>
        <v>0</v>
      </c>
      <c r="X6">
        <f t="shared" si="6"/>
        <v>269732.39457019616</v>
      </c>
      <c r="Y6" s="6">
        <f t="shared" si="9"/>
        <v>29758.047646445109</v>
      </c>
      <c r="Z6" s="6">
        <f t="shared" si="10"/>
        <v>191.33816691001593</v>
      </c>
      <c r="AA6" s="6">
        <f t="shared" si="11"/>
        <v>20.880249999999997</v>
      </c>
      <c r="AB6">
        <f t="shared" si="12"/>
        <v>0</v>
      </c>
      <c r="AD6" s="6">
        <f t="shared" si="7"/>
        <v>125174.76839768192</v>
      </c>
      <c r="AG6">
        <f t="shared" si="13"/>
        <v>82383.521235958804</v>
      </c>
      <c r="AH6">
        <f t="shared" si="14"/>
        <v>7809.7210983679997</v>
      </c>
      <c r="AI6">
        <f t="shared" si="15"/>
        <v>5011.26</v>
      </c>
      <c r="AL6">
        <f t="shared" si="8"/>
        <v>0.99900886877850426</v>
      </c>
      <c r="AM6">
        <f t="shared" si="20"/>
        <v>0.96288283382832252</v>
      </c>
      <c r="AO6">
        <v>4</v>
      </c>
      <c r="AP6">
        <v>0.99990311922682495</v>
      </c>
      <c r="AQ6">
        <v>0.95879894566992996</v>
      </c>
    </row>
    <row r="7" spans="1:43" x14ac:dyDescent="0.35">
      <c r="B7" t="s">
        <v>3</v>
      </c>
      <c r="C7" s="4">
        <v>0.20599999999999999</v>
      </c>
      <c r="D7" s="10">
        <f>C7/C10</f>
        <v>0.82400000000000007</v>
      </c>
      <c r="E7">
        <f>$A$15*C7</f>
        <v>82400</v>
      </c>
      <c r="F7" s="4">
        <v>5.0000000000000002E-5</v>
      </c>
      <c r="G7" s="5" t="s">
        <v>15</v>
      </c>
      <c r="H7" s="4">
        <v>0</v>
      </c>
      <c r="I7" s="5" t="s">
        <v>15</v>
      </c>
      <c r="N7">
        <f t="shared" si="16"/>
        <v>5</v>
      </c>
      <c r="O7" s="6">
        <f t="shared" si="17"/>
        <v>267809.03769656509</v>
      </c>
      <c r="P7">
        <f t="shared" si="0"/>
        <v>13.390451884828256</v>
      </c>
      <c r="Q7">
        <f t="shared" si="1"/>
        <v>0</v>
      </c>
      <c r="R7" s="6">
        <f t="shared" si="18"/>
        <v>1711.7112411770031</v>
      </c>
      <c r="S7">
        <f t="shared" si="2"/>
        <v>10.270267447062018</v>
      </c>
      <c r="T7">
        <f t="shared" si="3"/>
        <v>0</v>
      </c>
      <c r="U7" s="6">
        <f t="shared" si="19"/>
        <v>159.73391250000003</v>
      </c>
      <c r="V7">
        <f t="shared" si="4"/>
        <v>23.960086875000005</v>
      </c>
      <c r="W7">
        <f t="shared" si="5"/>
        <v>0</v>
      </c>
      <c r="X7">
        <f t="shared" si="6"/>
        <v>269680.48285024212</v>
      </c>
      <c r="Y7" s="6">
        <f t="shared" si="9"/>
        <v>29756.559744062786</v>
      </c>
      <c r="Z7" s="6">
        <f t="shared" si="10"/>
        <v>190.19013790855584</v>
      </c>
      <c r="AA7" s="6">
        <f t="shared" si="11"/>
        <v>17.748212499999998</v>
      </c>
      <c r="AB7">
        <f t="shared" si="12"/>
        <v>0</v>
      </c>
      <c r="AD7" s="6">
        <f t="shared" si="7"/>
        <v>124366.33392614614</v>
      </c>
      <c r="AG7">
        <f t="shared" si="13"/>
        <v>82379.402059897009</v>
      </c>
      <c r="AH7">
        <f t="shared" si="14"/>
        <v>7762.8627717777917</v>
      </c>
      <c r="AI7">
        <f t="shared" si="15"/>
        <v>4259.5709999999999</v>
      </c>
      <c r="AL7">
        <f t="shared" si="8"/>
        <v>0.99881660314904486</v>
      </c>
      <c r="AM7">
        <f t="shared" si="20"/>
        <v>0.95666410712420102</v>
      </c>
      <c r="AO7">
        <v>5</v>
      </c>
      <c r="AP7">
        <v>0.99984632704944498</v>
      </c>
      <c r="AQ7">
        <v>0.95305625432205199</v>
      </c>
    </row>
    <row r="8" spans="1:43" x14ac:dyDescent="0.35">
      <c r="A8" t="s">
        <v>6</v>
      </c>
      <c r="B8" t="s">
        <v>5</v>
      </c>
      <c r="C8" s="4">
        <v>0.02</v>
      </c>
      <c r="D8" s="10">
        <f>C8/C10</f>
        <v>8.0000000000000016E-2</v>
      </c>
      <c r="E8">
        <f>$A$15*C8</f>
        <v>8000</v>
      </c>
      <c r="F8" s="4">
        <v>6.0000000000000001E-3</v>
      </c>
      <c r="G8" s="5" t="s">
        <v>15</v>
      </c>
      <c r="H8" s="4">
        <v>0</v>
      </c>
      <c r="I8" s="5" t="s">
        <v>15</v>
      </c>
      <c r="N8">
        <f t="shared" si="16"/>
        <v>6</v>
      </c>
      <c r="O8" s="6">
        <f t="shared" si="17"/>
        <v>267795.64724468027</v>
      </c>
      <c r="P8">
        <f t="shared" si="0"/>
        <v>13.389782362234014</v>
      </c>
      <c r="Q8">
        <f t="shared" si="1"/>
        <v>0</v>
      </c>
      <c r="R8" s="6">
        <f t="shared" si="18"/>
        <v>1701.4409737299411</v>
      </c>
      <c r="S8">
        <f t="shared" si="2"/>
        <v>10.208645842379648</v>
      </c>
      <c r="T8">
        <f t="shared" si="3"/>
        <v>0</v>
      </c>
      <c r="U8" s="6">
        <f t="shared" si="19"/>
        <v>135.77382562500003</v>
      </c>
      <c r="V8">
        <f t="shared" si="4"/>
        <v>20.366073843750005</v>
      </c>
      <c r="W8">
        <f t="shared" si="5"/>
        <v>0</v>
      </c>
      <c r="X8">
        <f t="shared" si="6"/>
        <v>269632.86204403522</v>
      </c>
      <c r="Y8" s="6">
        <f t="shared" si="9"/>
        <v>29755.071916075583</v>
      </c>
      <c r="Z8" s="6">
        <f t="shared" si="10"/>
        <v>189.04899708110452</v>
      </c>
      <c r="AA8" s="6">
        <f t="shared" si="11"/>
        <v>15.085980624999998</v>
      </c>
      <c r="AB8">
        <f t="shared" si="12"/>
        <v>0</v>
      </c>
      <c r="AD8" s="6">
        <f t="shared" si="7"/>
        <v>123671.41092872283</v>
      </c>
      <c r="AG8">
        <f t="shared" si="13"/>
        <v>82375.283089794015</v>
      </c>
      <c r="AH8">
        <f t="shared" si="14"/>
        <v>7716.2855951471247</v>
      </c>
      <c r="AI8">
        <f t="shared" si="15"/>
        <v>3620.63535</v>
      </c>
      <c r="AL8">
        <f t="shared" si="8"/>
        <v>0.99864022979272304</v>
      </c>
      <c r="AM8">
        <f t="shared" si="20"/>
        <v>0.95131854560556028</v>
      </c>
      <c r="AO8">
        <v>6</v>
      </c>
      <c r="AP8">
        <v>0.99982294203523203</v>
      </c>
      <c r="AQ8">
        <v>0.948626464486515</v>
      </c>
    </row>
    <row r="9" spans="1:43" x14ac:dyDescent="0.35">
      <c r="B9" t="s">
        <v>4</v>
      </c>
      <c r="C9" s="4">
        <v>2.4E-2</v>
      </c>
      <c r="D9" s="10">
        <f>C9/C10</f>
        <v>9.6000000000000016E-2</v>
      </c>
      <c r="E9">
        <f>$A$15*C9</f>
        <v>9600</v>
      </c>
      <c r="F9" s="4">
        <v>0.15</v>
      </c>
      <c r="G9" s="5" t="s">
        <v>15</v>
      </c>
      <c r="H9" s="4">
        <v>0</v>
      </c>
      <c r="I9" s="5" t="s">
        <v>15</v>
      </c>
      <c r="N9">
        <f t="shared" si="16"/>
        <v>7</v>
      </c>
      <c r="O9" s="6">
        <f t="shared" si="17"/>
        <v>267782.25746231806</v>
      </c>
      <c r="P9">
        <f t="shared" si="0"/>
        <v>13.389112873115904</v>
      </c>
      <c r="Q9">
        <f t="shared" si="1"/>
        <v>0</v>
      </c>
      <c r="R9" s="6">
        <f t="shared" si="18"/>
        <v>1691.2323278875615</v>
      </c>
      <c r="S9">
        <f t="shared" si="2"/>
        <v>10.147393967325369</v>
      </c>
      <c r="T9">
        <f t="shared" si="3"/>
        <v>0</v>
      </c>
      <c r="U9" s="6">
        <f t="shared" si="19"/>
        <v>115.40775178125003</v>
      </c>
      <c r="V9">
        <f t="shared" si="4"/>
        <v>17.311162767187504</v>
      </c>
      <c r="W9">
        <f t="shared" si="5"/>
        <v>0</v>
      </c>
      <c r="X9">
        <f t="shared" si="6"/>
        <v>269588.89754198684</v>
      </c>
      <c r="Y9" s="6">
        <f t="shared" si="9"/>
        <v>29753.584162479779</v>
      </c>
      <c r="Z9" s="6">
        <f t="shared" si="10"/>
        <v>187.91470309861788</v>
      </c>
      <c r="AA9" s="6">
        <f t="shared" si="11"/>
        <v>12.823083531249999</v>
      </c>
      <c r="AB9">
        <f t="shared" si="12"/>
        <v>0</v>
      </c>
      <c r="AD9" s="6">
        <f t="shared" si="7"/>
        <v>123073.0142038254</v>
      </c>
      <c r="AG9">
        <f t="shared" si="13"/>
        <v>82371.164325639518</v>
      </c>
      <c r="AH9">
        <f t="shared" si="14"/>
        <v>7669.9878815762422</v>
      </c>
      <c r="AI9">
        <f t="shared" si="15"/>
        <v>3077.5400475000001</v>
      </c>
      <c r="AL9">
        <f t="shared" si="8"/>
        <v>0.99847739830365489</v>
      </c>
      <c r="AM9">
        <f t="shared" si="20"/>
        <v>0.94671549387557996</v>
      </c>
      <c r="AO9">
        <v>7</v>
      </c>
      <c r="AP9">
        <v>0.99978619415574999</v>
      </c>
      <c r="AQ9">
        <v>0.94478798143898002</v>
      </c>
    </row>
    <row r="10" spans="1:43" x14ac:dyDescent="0.35">
      <c r="B10" s="3" t="s">
        <v>7</v>
      </c>
      <c r="C10" s="9">
        <f>SUM(C7:C9)</f>
        <v>0.24999999999999997</v>
      </c>
      <c r="D10" s="10">
        <f>SUM(D7:D9)</f>
        <v>1.0000000000000002</v>
      </c>
      <c r="E10">
        <f>C10*A15</f>
        <v>99999.999999999985</v>
      </c>
      <c r="N10">
        <f t="shared" si="16"/>
        <v>8</v>
      </c>
      <c r="O10" s="6">
        <f t="shared" si="17"/>
        <v>267768.86834944494</v>
      </c>
      <c r="P10">
        <f t="shared" si="0"/>
        <v>13.388443417472248</v>
      </c>
      <c r="Q10">
        <f t="shared" si="1"/>
        <v>0</v>
      </c>
      <c r="R10" s="6">
        <f t="shared" si="18"/>
        <v>1681.0849339202362</v>
      </c>
      <c r="S10">
        <f t="shared" si="2"/>
        <v>10.086509603521417</v>
      </c>
      <c r="T10">
        <f t="shared" si="3"/>
        <v>0</v>
      </c>
      <c r="U10" s="6">
        <f t="shared" si="19"/>
        <v>98.096589014062516</v>
      </c>
      <c r="V10">
        <f t="shared" si="4"/>
        <v>14.714488352109377</v>
      </c>
      <c r="W10">
        <f t="shared" si="5"/>
        <v>0</v>
      </c>
      <c r="X10">
        <f t="shared" si="6"/>
        <v>269548.04987237923</v>
      </c>
      <c r="Y10" s="6">
        <f t="shared" si="9"/>
        <v>29752.096483271656</v>
      </c>
      <c r="Z10" s="6">
        <f t="shared" si="10"/>
        <v>186.78721488002617</v>
      </c>
      <c r="AA10" s="6">
        <f t="shared" si="11"/>
        <v>10.899621001562499</v>
      </c>
      <c r="AB10">
        <f t="shared" si="12"/>
        <v>0</v>
      </c>
      <c r="AD10" s="6">
        <f t="shared" si="7"/>
        <v>122556.70608123826</v>
      </c>
      <c r="AG10">
        <f t="shared" si="13"/>
        <v>82367.045767423231</v>
      </c>
      <c r="AH10">
        <f t="shared" si="14"/>
        <v>7623.9679542867843</v>
      </c>
      <c r="AI10">
        <f t="shared" si="15"/>
        <v>2615.9090403750001</v>
      </c>
      <c r="AL10">
        <f t="shared" si="8"/>
        <v>0.99832611063844157</v>
      </c>
      <c r="AM10">
        <f t="shared" si="20"/>
        <v>0.94274389293260197</v>
      </c>
      <c r="AO10">
        <v>8</v>
      </c>
      <c r="AP10">
        <v>0.999742764843638</v>
      </c>
      <c r="AQ10">
        <v>0.941731226009481</v>
      </c>
    </row>
    <row r="11" spans="1:43" x14ac:dyDescent="0.35">
      <c r="N11">
        <f t="shared" si="16"/>
        <v>9</v>
      </c>
      <c r="O11" s="6">
        <f t="shared" si="17"/>
        <v>267755.47990602744</v>
      </c>
      <c r="P11">
        <f t="shared" si="0"/>
        <v>13.387773995301373</v>
      </c>
      <c r="Q11">
        <f t="shared" si="1"/>
        <v>0</v>
      </c>
      <c r="R11" s="6">
        <f t="shared" si="18"/>
        <v>1670.9984243167148</v>
      </c>
      <c r="S11">
        <f t="shared" si="2"/>
        <v>10.025990545900289</v>
      </c>
      <c r="T11">
        <f t="shared" si="3"/>
        <v>0</v>
      </c>
      <c r="U11" s="6">
        <f t="shared" si="19"/>
        <v>83.382100661953132</v>
      </c>
      <c r="V11">
        <f t="shared" si="4"/>
        <v>12.507315099292969</v>
      </c>
      <c r="W11">
        <f t="shared" si="5"/>
        <v>0</v>
      </c>
      <c r="X11">
        <f t="shared" si="6"/>
        <v>269509.86043100606</v>
      </c>
      <c r="Y11" s="6">
        <f t="shared" si="9"/>
        <v>29750.608878447492</v>
      </c>
      <c r="Z11" s="6">
        <f t="shared" si="10"/>
        <v>185.66649159074601</v>
      </c>
      <c r="AA11" s="6">
        <f t="shared" si="11"/>
        <v>9.2646778513281252</v>
      </c>
      <c r="AB11">
        <f t="shared" si="12"/>
        <v>0</v>
      </c>
      <c r="AD11" s="6">
        <f t="shared" si="7"/>
        <v>122110.21429390424</v>
      </c>
      <c r="AG11">
        <f t="shared" si="13"/>
        <v>82362.927415134865</v>
      </c>
      <c r="AH11">
        <f t="shared" si="14"/>
        <v>7578.2241465610632</v>
      </c>
      <c r="AI11">
        <f t="shared" si="15"/>
        <v>2223.5226843187502</v>
      </c>
      <c r="AL11">
        <f t="shared" si="8"/>
        <v>0.99818466826298546</v>
      </c>
      <c r="AM11">
        <f t="shared" si="20"/>
        <v>0.93930934072234029</v>
      </c>
      <c r="AO11">
        <v>9</v>
      </c>
      <c r="AP11">
        <v>0.99969933553152401</v>
      </c>
      <c r="AQ11">
        <v>0.93881478066527002</v>
      </c>
    </row>
    <row r="12" spans="1:43" x14ac:dyDescent="0.35">
      <c r="B12" s="3" t="s">
        <v>9</v>
      </c>
      <c r="C12">
        <f>C6+C10</f>
        <v>1</v>
      </c>
      <c r="E12">
        <f>E6+E10</f>
        <v>400000</v>
      </c>
      <c r="G12" s="12" t="s">
        <v>29</v>
      </c>
      <c r="H12" s="4">
        <v>29</v>
      </c>
      <c r="J12">
        <f>D3*C10</f>
        <v>0.2480333333333333</v>
      </c>
      <c r="N12">
        <f t="shared" si="16"/>
        <v>10</v>
      </c>
      <c r="O12" s="6">
        <f t="shared" si="17"/>
        <v>267742.09213203215</v>
      </c>
      <c r="P12">
        <f t="shared" si="0"/>
        <v>13.387104606601609</v>
      </c>
      <c r="Q12">
        <f t="shared" si="1"/>
        <v>0</v>
      </c>
      <c r="R12" s="6">
        <f t="shared" si="18"/>
        <v>1660.9724337708146</v>
      </c>
      <c r="S12">
        <f t="shared" si="2"/>
        <v>9.9658346026248879</v>
      </c>
      <c r="T12">
        <f t="shared" si="3"/>
        <v>0</v>
      </c>
      <c r="U12" s="6">
        <f t="shared" si="19"/>
        <v>70.874785562660165</v>
      </c>
      <c r="V12">
        <f t="shared" si="4"/>
        <v>10.631217834399024</v>
      </c>
      <c r="W12">
        <f t="shared" si="5"/>
        <v>0</v>
      </c>
      <c r="X12">
        <f t="shared" si="6"/>
        <v>269473.93935136567</v>
      </c>
      <c r="Y12" s="6">
        <f t="shared" si="9"/>
        <v>29749.121348003569</v>
      </c>
      <c r="Z12" s="6">
        <f t="shared" si="10"/>
        <v>184.55249264120152</v>
      </c>
      <c r="AA12" s="6">
        <f t="shared" si="11"/>
        <v>7.8749761736289061</v>
      </c>
      <c r="AB12">
        <f t="shared" si="12"/>
        <v>0</v>
      </c>
      <c r="AD12" s="6">
        <f t="shared" si="7"/>
        <v>121723.10716893514</v>
      </c>
      <c r="AG12">
        <f t="shared" si="13"/>
        <v>82358.809268764104</v>
      </c>
      <c r="AH12">
        <f t="shared" si="14"/>
        <v>7532.7548016816972</v>
      </c>
      <c r="AI12">
        <f t="shared" si="15"/>
        <v>1889.9942816709377</v>
      </c>
      <c r="AL12">
        <f t="shared" si="8"/>
        <v>0.99805162722728025</v>
      </c>
      <c r="AM12">
        <f t="shared" si="20"/>
        <v>0.93633159360719331</v>
      </c>
      <c r="AO12">
        <v>10</v>
      </c>
      <c r="AP12">
        <v>0.99965590621941203</v>
      </c>
      <c r="AQ12">
        <v>0.93641948706641698</v>
      </c>
    </row>
    <row r="13" spans="1:43" x14ac:dyDescent="0.35">
      <c r="B13" s="3" t="s">
        <v>12</v>
      </c>
      <c r="C13">
        <f>1-C12</f>
        <v>0</v>
      </c>
      <c r="D13">
        <f>C7+C13</f>
        <v>0.20599999999999999</v>
      </c>
      <c r="J13">
        <f>D4*C10</f>
        <v>1.633333333333333E-3</v>
      </c>
      <c r="N13">
        <f t="shared" si="16"/>
        <v>11</v>
      </c>
      <c r="O13" s="6">
        <f t="shared" si="17"/>
        <v>267728.70502742555</v>
      </c>
      <c r="P13">
        <f t="shared" si="0"/>
        <v>13.386435251371278</v>
      </c>
      <c r="Q13">
        <f t="shared" si="1"/>
        <v>0</v>
      </c>
      <c r="R13" s="6">
        <f t="shared" si="18"/>
        <v>1651.0065991681897</v>
      </c>
      <c r="S13">
        <f t="shared" si="2"/>
        <v>9.9060395950091387</v>
      </c>
      <c r="T13">
        <f t="shared" si="3"/>
        <v>0</v>
      </c>
      <c r="U13" s="6">
        <f t="shared" si="19"/>
        <v>60.243567728261141</v>
      </c>
      <c r="V13">
        <f t="shared" si="4"/>
        <v>9.0365351592391701</v>
      </c>
      <c r="W13">
        <f t="shared" si="5"/>
        <v>0</v>
      </c>
      <c r="X13">
        <f t="shared" si="6"/>
        <v>269439.95519432198</v>
      </c>
      <c r="Y13" s="6">
        <f t="shared" si="9"/>
        <v>29747.63389193617</v>
      </c>
      <c r="Z13" s="6">
        <f t="shared" si="10"/>
        <v>183.44517768535431</v>
      </c>
      <c r="AA13" s="6">
        <f t="shared" si="11"/>
        <v>6.6937297475845705</v>
      </c>
      <c r="AB13">
        <f t="shared" si="12"/>
        <v>0</v>
      </c>
      <c r="AD13" s="6">
        <f t="shared" si="7"/>
        <v>121386.51753996169</v>
      </c>
      <c r="AG13">
        <f t="shared" si="13"/>
        <v>82354.691328300672</v>
      </c>
      <c r="AH13">
        <f t="shared" si="14"/>
        <v>7487.5582728716072</v>
      </c>
      <c r="AI13">
        <f t="shared" si="15"/>
        <v>1606.4951394202969</v>
      </c>
      <c r="AL13">
        <f t="shared" si="8"/>
        <v>0.99792575997897026</v>
      </c>
      <c r="AM13">
        <f t="shared" si="20"/>
        <v>0.93374244261508987</v>
      </c>
      <c r="AO13">
        <v>11</v>
      </c>
      <c r="AP13">
        <v>0.99960579547466599</v>
      </c>
      <c r="AQ13">
        <v>0.93417452570180104</v>
      </c>
    </row>
    <row r="14" spans="1:43" x14ac:dyDescent="0.35">
      <c r="A14" s="1" t="s">
        <v>11</v>
      </c>
      <c r="C14" t="s">
        <v>43</v>
      </c>
      <c r="D14" t="s">
        <v>43</v>
      </c>
      <c r="E14" t="s">
        <v>58</v>
      </c>
      <c r="J14">
        <f>D5*C10</f>
        <v>3.3333333333333327E-4</v>
      </c>
      <c r="N14">
        <f t="shared" si="16"/>
        <v>12</v>
      </c>
      <c r="O14" s="6">
        <f t="shared" si="17"/>
        <v>267715.31859217415</v>
      </c>
      <c r="P14">
        <f t="shared" si="0"/>
        <v>13.385765929608707</v>
      </c>
      <c r="Q14">
        <f t="shared" si="1"/>
        <v>0</v>
      </c>
      <c r="R14" s="6">
        <f t="shared" si="18"/>
        <v>1641.1005595731806</v>
      </c>
      <c r="S14">
        <f t="shared" si="2"/>
        <v>9.8466033574390845</v>
      </c>
      <c r="T14">
        <f t="shared" si="3"/>
        <v>0</v>
      </c>
      <c r="U14" s="6">
        <f t="shared" si="19"/>
        <v>51.207032569021969</v>
      </c>
      <c r="V14">
        <f t="shared" si="4"/>
        <v>7.6810548853532952</v>
      </c>
      <c r="W14">
        <f t="shared" si="5"/>
        <v>0</v>
      </c>
      <c r="X14">
        <f t="shared" si="6"/>
        <v>269407.62618431635</v>
      </c>
      <c r="Y14" s="6">
        <f t="shared" si="9"/>
        <v>29746.146510241571</v>
      </c>
      <c r="Z14" s="6">
        <f t="shared" si="10"/>
        <v>182.3445066192422</v>
      </c>
      <c r="AA14" s="6">
        <f t="shared" si="11"/>
        <v>5.6896702854468852</v>
      </c>
      <c r="AB14">
        <f t="shared" si="12"/>
        <v>0</v>
      </c>
      <c r="AD14" s="6">
        <f t="shared" si="7"/>
        <v>121092.90807262216</v>
      </c>
      <c r="AG14">
        <f t="shared" si="13"/>
        <v>82350.573593734254</v>
      </c>
      <c r="AH14">
        <f t="shared" si="14"/>
        <v>7442.6329232343778</v>
      </c>
      <c r="AI14">
        <f t="shared" si="15"/>
        <v>1365.5208685072523</v>
      </c>
      <c r="AL14">
        <f t="shared" si="8"/>
        <v>0.99780602290487541</v>
      </c>
      <c r="AM14">
        <f t="shared" si="20"/>
        <v>0.93148390825093963</v>
      </c>
      <c r="AO14">
        <v>12</v>
      </c>
      <c r="AP14">
        <v>0.99954566258097099</v>
      </c>
      <c r="AQ14">
        <v>0.93192956433718499</v>
      </c>
    </row>
    <row r="15" spans="1:43" ht="15" customHeight="1" x14ac:dyDescent="0.35">
      <c r="A15">
        <v>400000</v>
      </c>
      <c r="C15">
        <f>C9/C5</f>
        <v>24</v>
      </c>
      <c r="D15" s="9">
        <f>D9/D5</f>
        <v>72.000000000000014</v>
      </c>
      <c r="E15" s="9">
        <f>(D8+D9)/(D4+D5)</f>
        <v>22.372881355932211</v>
      </c>
      <c r="J15" s="9">
        <f>SUM(J12:J14)</f>
        <v>0.24999999999999994</v>
      </c>
      <c r="N15">
        <f t="shared" si="16"/>
        <v>13</v>
      </c>
      <c r="O15" s="6">
        <f t="shared" si="17"/>
        <v>267701.93282624456</v>
      </c>
      <c r="P15">
        <f t="shared" si="0"/>
        <v>13.385096641312229</v>
      </c>
      <c r="Q15">
        <f t="shared" si="1"/>
        <v>0</v>
      </c>
      <c r="R15" s="6">
        <f t="shared" si="18"/>
        <v>1631.2539562157415</v>
      </c>
      <c r="S15">
        <f t="shared" si="2"/>
        <v>9.7875237372944497</v>
      </c>
      <c r="T15">
        <f t="shared" si="3"/>
        <v>0</v>
      </c>
      <c r="U15" s="6">
        <f t="shared" si="19"/>
        <v>43.525977683668671</v>
      </c>
      <c r="V15">
        <f t="shared" si="4"/>
        <v>6.5288966525503005</v>
      </c>
      <c r="W15">
        <f t="shared" si="5"/>
        <v>0</v>
      </c>
      <c r="X15">
        <f t="shared" si="6"/>
        <v>269376.71276014397</v>
      </c>
      <c r="Y15" s="6">
        <f t="shared" si="9"/>
        <v>29744.65920291606</v>
      </c>
      <c r="Z15" s="6">
        <f t="shared" si="10"/>
        <v>181.25043957952676</v>
      </c>
      <c r="AA15" s="6">
        <f t="shared" si="11"/>
        <v>4.8362197426298525</v>
      </c>
      <c r="AB15">
        <f t="shared" si="12"/>
        <v>0</v>
      </c>
      <c r="AD15" s="6">
        <f t="shared" si="7"/>
        <v>120835.87179121892</v>
      </c>
      <c r="AG15">
        <f t="shared" si="13"/>
        <v>82346.456065054561</v>
      </c>
      <c r="AH15">
        <f t="shared" si="14"/>
        <v>7397.9771256949716</v>
      </c>
      <c r="AI15">
        <f t="shared" si="15"/>
        <v>1160.6927382311644</v>
      </c>
      <c r="AL15">
        <f t="shared" si="8"/>
        <v>0.99769152874127398</v>
      </c>
      <c r="AM15">
        <f t="shared" si="20"/>
        <v>0.92950670608629937</v>
      </c>
      <c r="AO15">
        <v>13</v>
      </c>
      <c r="AP15">
        <v>0.99949221111990905</v>
      </c>
      <c r="AQ15">
        <v>0.92998526744104404</v>
      </c>
    </row>
    <row r="16" spans="1:43" x14ac:dyDescent="0.35">
      <c r="N16">
        <f t="shared" si="16"/>
        <v>14</v>
      </c>
      <c r="O16" s="6">
        <f t="shared" si="17"/>
        <v>267688.54772960325</v>
      </c>
      <c r="P16">
        <f t="shared" si="0"/>
        <v>13.384427386480162</v>
      </c>
      <c r="Q16">
        <f t="shared" si="1"/>
        <v>0</v>
      </c>
      <c r="R16" s="6">
        <f t="shared" si="18"/>
        <v>1621.4664324784471</v>
      </c>
      <c r="S16">
        <f t="shared" si="2"/>
        <v>9.7287985948706837</v>
      </c>
      <c r="T16">
        <f t="shared" si="3"/>
        <v>0</v>
      </c>
      <c r="U16" s="6">
        <f t="shared" si="19"/>
        <v>36.99708103111837</v>
      </c>
      <c r="V16">
        <f t="shared" si="4"/>
        <v>5.5495621546677549</v>
      </c>
      <c r="W16">
        <f t="shared" si="5"/>
        <v>0</v>
      </c>
      <c r="X16">
        <f t="shared" si="6"/>
        <v>269347.01124311279</v>
      </c>
      <c r="Y16" s="6">
        <f t="shared" si="9"/>
        <v>29743.171969955914</v>
      </c>
      <c r="Z16" s="6">
        <f t="shared" si="10"/>
        <v>180.16293694204958</v>
      </c>
      <c r="AA16" s="6">
        <f t="shared" si="11"/>
        <v>4.1107867812353742</v>
      </c>
      <c r="AB16">
        <f t="shared" si="12"/>
        <v>0</v>
      </c>
      <c r="AD16" s="6">
        <f t="shared" si="7"/>
        <v>120609.9625263678</v>
      </c>
      <c r="AG16">
        <f t="shared" si="13"/>
        <v>82342.338742251304</v>
      </c>
      <c r="AH16">
        <f t="shared" si="14"/>
        <v>7353.5892629408017</v>
      </c>
      <c r="AI16">
        <f t="shared" si="15"/>
        <v>986.58882749648978</v>
      </c>
      <c r="AL16">
        <f t="shared" si="8"/>
        <v>0.99758152312263992</v>
      </c>
      <c r="AM16">
        <f t="shared" si="20"/>
        <v>0.92776894251052155</v>
      </c>
      <c r="AO16">
        <v>14</v>
      </c>
      <c r="AP16">
        <v>0.99943207822621305</v>
      </c>
      <c r="AQ16">
        <v>0.92817125848124404</v>
      </c>
    </row>
    <row r="17" spans="8:43" x14ac:dyDescent="0.35">
      <c r="N17">
        <f t="shared" si="16"/>
        <v>15</v>
      </c>
      <c r="O17" s="6">
        <f t="shared" si="17"/>
        <v>267675.1633022168</v>
      </c>
      <c r="P17">
        <f t="shared" si="0"/>
        <v>13.383758165110841</v>
      </c>
      <c r="Q17">
        <f t="shared" si="1"/>
        <v>0</v>
      </c>
      <c r="R17" s="6">
        <f t="shared" si="18"/>
        <v>1611.7376338835763</v>
      </c>
      <c r="S17">
        <f t="shared" si="2"/>
        <v>9.670425803301459</v>
      </c>
      <c r="T17">
        <f t="shared" si="3"/>
        <v>0</v>
      </c>
      <c r="U17" s="6">
        <f t="shared" si="19"/>
        <v>31.447518876450616</v>
      </c>
      <c r="V17">
        <f t="shared" si="4"/>
        <v>4.7171278314675922</v>
      </c>
      <c r="W17">
        <f t="shared" si="5"/>
        <v>0</v>
      </c>
      <c r="X17">
        <f t="shared" si="6"/>
        <v>269318.34845497686</v>
      </c>
      <c r="Y17" s="6">
        <f t="shared" si="9"/>
        <v>29741.684811357416</v>
      </c>
      <c r="Z17" s="6">
        <f t="shared" si="10"/>
        <v>179.08195932039729</v>
      </c>
      <c r="AA17" s="6">
        <f t="shared" si="11"/>
        <v>3.4941687640500683</v>
      </c>
      <c r="AB17">
        <f t="shared" si="12"/>
        <v>0</v>
      </c>
      <c r="AD17" s="6">
        <f t="shared" si="7"/>
        <v>120410.55079549123</v>
      </c>
      <c r="AG17">
        <f t="shared" si="13"/>
        <v>82338.221625314196</v>
      </c>
      <c r="AH17">
        <f t="shared" si="14"/>
        <v>7309.4677273631569</v>
      </c>
      <c r="AI17">
        <f t="shared" si="15"/>
        <v>838.60050337201631</v>
      </c>
      <c r="AL17">
        <f t="shared" si="8"/>
        <v>0.99747536464806241</v>
      </c>
      <c r="AM17">
        <f t="shared" si="20"/>
        <v>0.92623500611916332</v>
      </c>
      <c r="AO17">
        <v>15</v>
      </c>
      <c r="AP17">
        <v>0.99940201177936705</v>
      </c>
      <c r="AQ17">
        <v>0.92668798043676603</v>
      </c>
    </row>
    <row r="18" spans="8:43" x14ac:dyDescent="0.35">
      <c r="N18">
        <f t="shared" si="16"/>
        <v>16</v>
      </c>
      <c r="O18" s="6">
        <f t="shared" si="17"/>
        <v>267661.77954405168</v>
      </c>
      <c r="P18">
        <f t="shared" si="0"/>
        <v>13.383088977202585</v>
      </c>
      <c r="Q18">
        <f t="shared" si="1"/>
        <v>0</v>
      </c>
      <c r="R18" s="6">
        <f t="shared" si="18"/>
        <v>1602.0672080802749</v>
      </c>
      <c r="S18">
        <f t="shared" si="2"/>
        <v>9.61240324848165</v>
      </c>
      <c r="T18">
        <f t="shared" si="3"/>
        <v>0</v>
      </c>
      <c r="U18" s="6">
        <f t="shared" si="19"/>
        <v>26.730391044983023</v>
      </c>
      <c r="V18">
        <f t="shared" si="4"/>
        <v>4.009558656747453</v>
      </c>
      <c r="W18">
        <f t="shared" si="5"/>
        <v>0</v>
      </c>
      <c r="X18">
        <f t="shared" si="6"/>
        <v>269290.57714317692</v>
      </c>
      <c r="Y18" s="6">
        <f t="shared" si="9"/>
        <v>29740.197727116847</v>
      </c>
      <c r="Z18" s="6">
        <f t="shared" si="10"/>
        <v>178.00746756447489</v>
      </c>
      <c r="AA18" s="6">
        <f t="shared" si="11"/>
        <v>2.9700434494425583</v>
      </c>
      <c r="AB18">
        <f t="shared" si="12"/>
        <v>0</v>
      </c>
      <c r="AD18" s="6">
        <f t="shared" si="7"/>
        <v>120233.70130122888</v>
      </c>
      <c r="AG18">
        <f t="shared" si="13"/>
        <v>82334.104714232933</v>
      </c>
      <c r="AH18">
        <f t="shared" si="14"/>
        <v>7265.6109209989781</v>
      </c>
      <c r="AI18">
        <f t="shared" si="15"/>
        <v>712.8104278662139</v>
      </c>
      <c r="AL18">
        <f t="shared" si="8"/>
        <v>0.99737250793769228</v>
      </c>
      <c r="AM18">
        <f t="shared" si="20"/>
        <v>0.92487462539406828</v>
      </c>
      <c r="AO18">
        <v>16</v>
      </c>
      <c r="AP18">
        <v>0.99934521960198697</v>
      </c>
      <c r="AQ18">
        <v>0.92543521181811805</v>
      </c>
    </row>
    <row r="19" spans="8:43" x14ac:dyDescent="0.35">
      <c r="H19" s="1"/>
      <c r="N19">
        <f t="shared" si="16"/>
        <v>17</v>
      </c>
      <c r="O19" s="6">
        <f t="shared" si="17"/>
        <v>267648.39645507449</v>
      </c>
      <c r="P19">
        <f t="shared" si="0"/>
        <v>13.382419822753725</v>
      </c>
      <c r="Q19">
        <f t="shared" si="1"/>
        <v>0</v>
      </c>
      <c r="R19" s="6">
        <f t="shared" si="18"/>
        <v>1592.4548048317934</v>
      </c>
      <c r="S19">
        <f t="shared" si="2"/>
        <v>9.5547288289907595</v>
      </c>
      <c r="T19">
        <f t="shared" si="3"/>
        <v>0</v>
      </c>
      <c r="U19" s="6">
        <f t="shared" si="19"/>
        <v>22.720832388235571</v>
      </c>
      <c r="V19">
        <f t="shared" si="4"/>
        <v>3.4081248582353356</v>
      </c>
      <c r="W19">
        <f t="shared" si="5"/>
        <v>0</v>
      </c>
      <c r="X19">
        <f t="shared" si="6"/>
        <v>269263.57209229446</v>
      </c>
      <c r="Y19" s="6">
        <f t="shared" si="9"/>
        <v>29738.71071723049</v>
      </c>
      <c r="Z19" s="6">
        <f t="shared" si="10"/>
        <v>176.93942275908805</v>
      </c>
      <c r="AA19" s="6">
        <f t="shared" si="11"/>
        <v>2.5245369320261744</v>
      </c>
      <c r="AB19">
        <f t="shared" si="12"/>
        <v>0</v>
      </c>
      <c r="AD19" s="6">
        <f t="shared" si="7"/>
        <v>120076.06880507809</v>
      </c>
      <c r="AG19">
        <f t="shared" si="13"/>
        <v>82329.988008997228</v>
      </c>
      <c r="AH19">
        <f t="shared" si="14"/>
        <v>7222.0172554729843</v>
      </c>
      <c r="AI19">
        <f t="shared" si="15"/>
        <v>605.88886368628187</v>
      </c>
      <c r="AL19">
        <f t="shared" si="8"/>
        <v>0.9972724892307202</v>
      </c>
      <c r="AM19">
        <f t="shared" si="20"/>
        <v>0.92366206773136994</v>
      </c>
      <c r="AO19">
        <v>17</v>
      </c>
      <c r="AP19">
        <v>0.99928842742460899</v>
      </c>
      <c r="AQ19">
        <v>0.92410226600787704</v>
      </c>
    </row>
    <row r="20" spans="8:43" x14ac:dyDescent="0.35">
      <c r="N20">
        <f t="shared" si="16"/>
        <v>18</v>
      </c>
      <c r="O20" s="6">
        <f t="shared" si="17"/>
        <v>267635.01403525175</v>
      </c>
      <c r="P20">
        <f t="shared" si="0"/>
        <v>13.381750701762588</v>
      </c>
      <c r="Q20">
        <f t="shared" si="1"/>
        <v>0</v>
      </c>
      <c r="R20" s="6">
        <f t="shared" si="18"/>
        <v>1582.9000760028025</v>
      </c>
      <c r="S20">
        <f t="shared" si="2"/>
        <v>9.4974004560168144</v>
      </c>
      <c r="T20">
        <f t="shared" si="3"/>
        <v>0</v>
      </c>
      <c r="U20" s="6">
        <f t="shared" si="19"/>
        <v>19.312707530000235</v>
      </c>
      <c r="V20">
        <f t="shared" si="4"/>
        <v>2.8969061295000351</v>
      </c>
      <c r="W20">
        <f t="shared" si="5"/>
        <v>0</v>
      </c>
      <c r="X20">
        <f t="shared" si="6"/>
        <v>269237.22681878455</v>
      </c>
      <c r="Y20" s="6">
        <f t="shared" si="9"/>
        <v>29737.223781694629</v>
      </c>
      <c r="Z20" s="6">
        <f t="shared" si="10"/>
        <v>175.87778622253353</v>
      </c>
      <c r="AA20" s="6">
        <f t="shared" si="11"/>
        <v>2.1458563922222482</v>
      </c>
      <c r="AB20">
        <f t="shared" si="12"/>
        <v>0</v>
      </c>
      <c r="AD20" s="6">
        <f t="shared" si="7"/>
        <v>119934.80961997966</v>
      </c>
      <c r="AG20">
        <f t="shared" si="13"/>
        <v>82325.871509596778</v>
      </c>
      <c r="AH20">
        <f t="shared" si="14"/>
        <v>7178.6851519401462</v>
      </c>
      <c r="AI20">
        <f t="shared" si="15"/>
        <v>515.00553413333955</v>
      </c>
      <c r="AL20">
        <f t="shared" si="8"/>
        <v>0.99717491414364645</v>
      </c>
      <c r="AM20">
        <f t="shared" si="20"/>
        <v>0.92257545861522816</v>
      </c>
      <c r="AO20">
        <v>18</v>
      </c>
      <c r="AP20">
        <v>0.99923163524723102</v>
      </c>
      <c r="AQ20">
        <v>0.92290963028292505</v>
      </c>
    </row>
    <row r="21" spans="8:43" x14ac:dyDescent="0.35">
      <c r="N21">
        <f t="shared" si="16"/>
        <v>19</v>
      </c>
      <c r="O21" s="6">
        <f t="shared" si="17"/>
        <v>267621.63228455</v>
      </c>
      <c r="P21">
        <f t="shared" si="0"/>
        <v>13.381081614227501</v>
      </c>
      <c r="Q21">
        <f t="shared" si="1"/>
        <v>0</v>
      </c>
      <c r="R21" s="6">
        <f t="shared" si="18"/>
        <v>1573.4026755467858</v>
      </c>
      <c r="S21">
        <f t="shared" si="2"/>
        <v>9.440416053280714</v>
      </c>
      <c r="T21">
        <f t="shared" si="3"/>
        <v>0</v>
      </c>
      <c r="U21" s="6">
        <f t="shared" si="19"/>
        <v>16.4158014005002</v>
      </c>
      <c r="V21">
        <f t="shared" si="4"/>
        <v>2.4623702100750298</v>
      </c>
      <c r="W21">
        <f t="shared" si="5"/>
        <v>0</v>
      </c>
      <c r="X21">
        <f t="shared" si="6"/>
        <v>269211.45076149725</v>
      </c>
      <c r="Y21" s="6">
        <f t="shared" si="9"/>
        <v>29735.736920505544</v>
      </c>
      <c r="Z21" s="6">
        <f t="shared" si="10"/>
        <v>174.82251950519833</v>
      </c>
      <c r="AA21" s="6">
        <f t="shared" si="11"/>
        <v>1.823977933388911</v>
      </c>
      <c r="AB21">
        <f t="shared" si="12"/>
        <v>0</v>
      </c>
      <c r="AD21" s="6">
        <f t="shared" si="7"/>
        <v>119807.50637900727</v>
      </c>
      <c r="AG21">
        <f t="shared" si="13"/>
        <v>82321.755216021294</v>
      </c>
      <c r="AH21">
        <f t="shared" si="14"/>
        <v>7135.613041028505</v>
      </c>
      <c r="AI21">
        <f t="shared" si="15"/>
        <v>437.7547040133386</v>
      </c>
      <c r="AL21">
        <f t="shared" si="8"/>
        <v>0.99707944726480469</v>
      </c>
      <c r="AM21">
        <f t="shared" si="20"/>
        <v>0.92159620291544053</v>
      </c>
      <c r="AO21">
        <v>19</v>
      </c>
      <c r="AP21">
        <v>0.999168161637219</v>
      </c>
      <c r="AQ21">
        <v>0.92171699455797196</v>
      </c>
    </row>
    <row r="22" spans="8:43" x14ac:dyDescent="0.35">
      <c r="N22">
        <f t="shared" si="16"/>
        <v>20</v>
      </c>
      <c r="O22" s="6">
        <f t="shared" si="17"/>
        <v>267608.25120293576</v>
      </c>
      <c r="P22">
        <f t="shared" si="0"/>
        <v>13.380412560146789</v>
      </c>
      <c r="Q22">
        <f t="shared" si="1"/>
        <v>0</v>
      </c>
      <c r="R22" s="6">
        <f t="shared" si="18"/>
        <v>1563.9622594935051</v>
      </c>
      <c r="S22">
        <f t="shared" si="2"/>
        <v>9.3837735569610317</v>
      </c>
      <c r="T22">
        <f t="shared" si="3"/>
        <v>0</v>
      </c>
      <c r="U22" s="6">
        <f t="shared" si="19"/>
        <v>13.953431190425171</v>
      </c>
      <c r="V22">
        <f t="shared" si="4"/>
        <v>2.0930146785637755</v>
      </c>
      <c r="W22">
        <f t="shared" si="5"/>
        <v>0</v>
      </c>
      <c r="X22">
        <f t="shared" si="6"/>
        <v>269186.16689361964</v>
      </c>
      <c r="Y22" s="6">
        <f t="shared" si="9"/>
        <v>29734.25013365952</v>
      </c>
      <c r="Z22" s="6">
        <f t="shared" si="10"/>
        <v>173.77358438816714</v>
      </c>
      <c r="AA22" s="6">
        <f t="shared" si="11"/>
        <v>1.5503812433805744</v>
      </c>
      <c r="AB22">
        <f t="shared" si="12"/>
        <v>0</v>
      </c>
      <c r="AD22" s="6">
        <f t="shared" si="7"/>
        <v>119692.10408874523</v>
      </c>
      <c r="AG22">
        <f t="shared" si="13"/>
        <v>82317.639128260489</v>
      </c>
      <c r="AH22">
        <f t="shared" si="14"/>
        <v>7092.7993627823344</v>
      </c>
      <c r="AI22">
        <f t="shared" si="15"/>
        <v>372.0914984113378</v>
      </c>
      <c r="AL22">
        <f t="shared" si="8"/>
        <v>0.99698580330970232</v>
      </c>
      <c r="AM22">
        <f t="shared" si="20"/>
        <v>0.92070849299034785</v>
      </c>
      <c r="AO22">
        <v>20</v>
      </c>
      <c r="AP22">
        <v>0.99910134731089095</v>
      </c>
      <c r="AQ22">
        <v>0.92055442527986697</v>
      </c>
    </row>
    <row r="23" spans="8:43" x14ac:dyDescent="0.35">
      <c r="N23">
        <f t="shared" si="16"/>
        <v>21</v>
      </c>
      <c r="O23" s="6">
        <f t="shared" si="17"/>
        <v>267594.87079037563</v>
      </c>
      <c r="P23">
        <f t="shared" si="0"/>
        <v>13.379743539518783</v>
      </c>
      <c r="Q23">
        <f t="shared" si="1"/>
        <v>0</v>
      </c>
      <c r="R23" s="6">
        <f t="shared" si="18"/>
        <v>1554.5784859365442</v>
      </c>
      <c r="S23">
        <f t="shared" si="2"/>
        <v>9.3274709156192657</v>
      </c>
      <c r="T23">
        <f t="shared" si="3"/>
        <v>0</v>
      </c>
      <c r="U23" s="6">
        <f t="shared" si="19"/>
        <v>11.860416511861395</v>
      </c>
      <c r="V23">
        <f t="shared" si="4"/>
        <v>1.7790624767792091</v>
      </c>
      <c r="W23">
        <f t="shared" si="5"/>
        <v>0</v>
      </c>
      <c r="X23">
        <f t="shared" si="6"/>
        <v>269161.30969282408</v>
      </c>
      <c r="Y23" s="6">
        <f t="shared" si="9"/>
        <v>29732.763421152838</v>
      </c>
      <c r="Z23" s="6">
        <f t="shared" si="10"/>
        <v>172.73094288183813</v>
      </c>
      <c r="AA23" s="6">
        <f t="shared" si="11"/>
        <v>1.3178240568734882</v>
      </c>
      <c r="AB23">
        <f t="shared" si="12"/>
        <v>0</v>
      </c>
      <c r="AD23" s="6">
        <f t="shared" si="7"/>
        <v>119586.85577465089</v>
      </c>
      <c r="AG23">
        <f t="shared" si="13"/>
        <v>82313.523246304074</v>
      </c>
      <c r="AH23">
        <f t="shared" si="14"/>
        <v>7050.2425666056406</v>
      </c>
      <c r="AI23">
        <f t="shared" si="15"/>
        <v>316.27777364963714</v>
      </c>
      <c r="AL23">
        <f t="shared" si="8"/>
        <v>0.99689373960305216</v>
      </c>
      <c r="AM23">
        <f t="shared" si="20"/>
        <v>0.91989889057423757</v>
      </c>
      <c r="AO23">
        <v>21</v>
      </c>
      <c r="AP23">
        <v>0.99903453298456202</v>
      </c>
      <c r="AQ23">
        <v>0.91966245402339197</v>
      </c>
    </row>
    <row r="24" spans="8:43" x14ac:dyDescent="0.35">
      <c r="N24">
        <f t="shared" si="16"/>
        <v>22</v>
      </c>
      <c r="O24" s="6">
        <f t="shared" si="17"/>
        <v>267581.49104683613</v>
      </c>
      <c r="P24">
        <f t="shared" si="0"/>
        <v>13.379074552341807</v>
      </c>
      <c r="Q24">
        <f t="shared" si="1"/>
        <v>0</v>
      </c>
      <c r="R24" s="6">
        <f t="shared" si="18"/>
        <v>1545.251015020925</v>
      </c>
      <c r="S24">
        <f t="shared" si="2"/>
        <v>9.2715060901255502</v>
      </c>
      <c r="T24">
        <f t="shared" si="3"/>
        <v>0</v>
      </c>
      <c r="U24" s="6">
        <f t="shared" si="19"/>
        <v>10.081354035082185</v>
      </c>
      <c r="V24">
        <f t="shared" si="4"/>
        <v>1.5122031052623277</v>
      </c>
      <c r="W24">
        <f t="shared" si="5"/>
        <v>0</v>
      </c>
      <c r="X24">
        <f t="shared" si="6"/>
        <v>269136.82341589214</v>
      </c>
      <c r="Y24" s="6">
        <f t="shared" si="9"/>
        <v>29731.276782981782</v>
      </c>
      <c r="Z24" s="6">
        <f t="shared" si="10"/>
        <v>171.69455722454711</v>
      </c>
      <c r="AA24" s="6">
        <f t="shared" si="11"/>
        <v>1.1201504483424651</v>
      </c>
      <c r="AB24">
        <f t="shared" si="12"/>
        <v>0</v>
      </c>
      <c r="AD24" s="6">
        <f t="shared" si="7"/>
        <v>119490.27627960463</v>
      </c>
      <c r="AG24">
        <f t="shared" si="13"/>
        <v>82309.407570141761</v>
      </c>
      <c r="AH24">
        <f t="shared" si="14"/>
        <v>7007.941111206007</v>
      </c>
      <c r="AI24">
        <f t="shared" si="15"/>
        <v>268.83610760219159</v>
      </c>
      <c r="AL24">
        <f t="shared" si="8"/>
        <v>0.99680304968848943</v>
      </c>
      <c r="AM24">
        <f t="shared" si="20"/>
        <v>0.91915597138157412</v>
      </c>
      <c r="AO24">
        <v>22</v>
      </c>
      <c r="AP24">
        <v>0.998971059374551</v>
      </c>
      <c r="AQ24">
        <v>0.91868028342637098</v>
      </c>
    </row>
    <row r="25" spans="8:43" x14ac:dyDescent="0.35">
      <c r="N25">
        <f t="shared" si="16"/>
        <v>23</v>
      </c>
      <c r="O25" s="6">
        <f t="shared" si="17"/>
        <v>267568.1119722838</v>
      </c>
      <c r="P25">
        <f t="shared" si="0"/>
        <v>13.37840559861419</v>
      </c>
      <c r="Q25">
        <f t="shared" si="1"/>
        <v>0</v>
      </c>
      <c r="R25" s="6">
        <f t="shared" si="18"/>
        <v>1535.9795089307995</v>
      </c>
      <c r="S25">
        <f t="shared" si="2"/>
        <v>9.2158770535847978</v>
      </c>
      <c r="T25">
        <f t="shared" si="3"/>
        <v>0</v>
      </c>
      <c r="U25" s="6">
        <f t="shared" si="19"/>
        <v>8.5691509298198572</v>
      </c>
      <c r="V25">
        <f t="shared" si="4"/>
        <v>1.2853726394729785</v>
      </c>
      <c r="W25">
        <f t="shared" si="5"/>
        <v>0</v>
      </c>
      <c r="X25">
        <f t="shared" si="6"/>
        <v>269112.66063214443</v>
      </c>
      <c r="Y25" s="6">
        <f t="shared" si="9"/>
        <v>29729.790219142633</v>
      </c>
      <c r="Z25" s="6">
        <f t="shared" si="10"/>
        <v>170.66438988119984</v>
      </c>
      <c r="AA25" s="6">
        <f t="shared" si="11"/>
        <v>0.95212788109109536</v>
      </c>
      <c r="AB25">
        <f t="shared" si="12"/>
        <v>0</v>
      </c>
      <c r="AD25" s="6">
        <f t="shared" si="7"/>
        <v>119401.10299266879</v>
      </c>
      <c r="AG25">
        <f t="shared" si="13"/>
        <v>82305.292099763246</v>
      </c>
      <c r="AH25">
        <f t="shared" si="14"/>
        <v>6965.8934645387708</v>
      </c>
      <c r="AI25">
        <f t="shared" si="15"/>
        <v>228.51069146186285</v>
      </c>
      <c r="AL25">
        <f t="shared" si="8"/>
        <v>0.99671355789683125</v>
      </c>
      <c r="AM25">
        <f t="shared" si="20"/>
        <v>0.91847002302052916</v>
      </c>
      <c r="AO25">
        <v>23</v>
      </c>
      <c r="AP25">
        <v>0.99889422289927399</v>
      </c>
      <c r="AQ25">
        <v>0.91773820142514895</v>
      </c>
    </row>
    <row r="26" spans="8:43" x14ac:dyDescent="0.35">
      <c r="N26">
        <f t="shared" si="16"/>
        <v>24</v>
      </c>
      <c r="O26" s="6">
        <f t="shared" si="17"/>
        <v>267554.73356668517</v>
      </c>
      <c r="P26">
        <f t="shared" si="0"/>
        <v>13.377736678334259</v>
      </c>
      <c r="Q26">
        <f t="shared" si="1"/>
        <v>0</v>
      </c>
      <c r="R26" s="6">
        <f t="shared" si="18"/>
        <v>1526.7636318772147</v>
      </c>
      <c r="S26">
        <f t="shared" si="2"/>
        <v>9.1605817912632883</v>
      </c>
      <c r="T26">
        <f t="shared" si="3"/>
        <v>0</v>
      </c>
      <c r="U26" s="6">
        <f t="shared" si="19"/>
        <v>7.2837782903468788</v>
      </c>
      <c r="V26">
        <f t="shared" si="4"/>
        <v>1.0925667435520319</v>
      </c>
      <c r="W26">
        <f t="shared" si="5"/>
        <v>0</v>
      </c>
      <c r="X26">
        <f t="shared" si="6"/>
        <v>269088.78097685269</v>
      </c>
      <c r="Y26" s="6">
        <f t="shared" si="9"/>
        <v>29728.303729631676</v>
      </c>
      <c r="Z26" s="6">
        <f t="shared" si="10"/>
        <v>169.64040354191263</v>
      </c>
      <c r="AA26" s="6">
        <f t="shared" si="11"/>
        <v>0.80930869892743107</v>
      </c>
      <c r="AB26">
        <f t="shared" si="12"/>
        <v>0</v>
      </c>
      <c r="AD26" s="6">
        <f t="shared" si="7"/>
        <v>119318.2624685249</v>
      </c>
      <c r="AG26">
        <f t="shared" si="13"/>
        <v>82301.176835158258</v>
      </c>
      <c r="AH26">
        <f t="shared" si="14"/>
        <v>6924.0981037515385</v>
      </c>
      <c r="AI26">
        <f t="shared" si="15"/>
        <v>194.23408774258343</v>
      </c>
      <c r="AL26">
        <f t="shared" si="8"/>
        <v>0.99662511472908399</v>
      </c>
      <c r="AM26">
        <f t="shared" si="20"/>
        <v>0.91783278821942238</v>
      </c>
      <c r="AO26">
        <v>24</v>
      </c>
      <c r="AP26">
        <v>0.99884745287084498</v>
      </c>
      <c r="AQ26">
        <v>0.91687629661551995</v>
      </c>
    </row>
    <row r="27" spans="8:43" x14ac:dyDescent="0.35">
      <c r="N27">
        <f t="shared" si="16"/>
        <v>25</v>
      </c>
      <c r="O27" s="6">
        <f t="shared" si="17"/>
        <v>267541.35583000683</v>
      </c>
      <c r="P27">
        <f t="shared" si="0"/>
        <v>13.377067791500341</v>
      </c>
      <c r="Q27">
        <f t="shared" si="1"/>
        <v>0</v>
      </c>
      <c r="R27" s="6">
        <f t="shared" si="18"/>
        <v>1517.6030500859515</v>
      </c>
      <c r="S27">
        <f t="shared" si="2"/>
        <v>9.1056183005157099</v>
      </c>
      <c r="T27">
        <f t="shared" si="3"/>
        <v>0</v>
      </c>
      <c r="U27" s="6">
        <f t="shared" si="19"/>
        <v>6.1912115467948468</v>
      </c>
      <c r="V27">
        <f t="shared" si="4"/>
        <v>0.92868173201922699</v>
      </c>
      <c r="W27">
        <f t="shared" si="5"/>
        <v>0</v>
      </c>
      <c r="X27">
        <f t="shared" si="6"/>
        <v>269065.15009163955</v>
      </c>
      <c r="Y27" s="6">
        <f t="shared" si="9"/>
        <v>29726.817314445194</v>
      </c>
      <c r="Z27" s="6">
        <f t="shared" si="10"/>
        <v>168.62256112066115</v>
      </c>
      <c r="AA27" s="6">
        <f t="shared" si="11"/>
        <v>0.68791239408831639</v>
      </c>
      <c r="AB27">
        <f t="shared" si="12"/>
        <v>0</v>
      </c>
      <c r="AD27" s="6">
        <f t="shared" si="7"/>
        <v>119240.84205398668</v>
      </c>
      <c r="AG27">
        <f t="shared" si="13"/>
        <v>82297.061776316506</v>
      </c>
      <c r="AH27">
        <f t="shared" si="14"/>
        <v>6882.5535151290296</v>
      </c>
      <c r="AI27">
        <f t="shared" si="15"/>
        <v>165.0989745811959</v>
      </c>
      <c r="AL27">
        <f t="shared" si="8"/>
        <v>0.99653759293199828</v>
      </c>
      <c r="AM27">
        <f t="shared" si="20"/>
        <v>0.91723724656912831</v>
      </c>
      <c r="AO27">
        <v>25</v>
      </c>
      <c r="AP27">
        <v>0.99879734212609905</v>
      </c>
      <c r="AQ27">
        <v>0.91619479048697605</v>
      </c>
    </row>
    <row r="28" spans="8:43" x14ac:dyDescent="0.35">
      <c r="N28">
        <f t="shared" si="16"/>
        <v>26</v>
      </c>
      <c r="O28" s="6">
        <f t="shared" si="17"/>
        <v>267527.97876221535</v>
      </c>
      <c r="P28">
        <f t="shared" si="0"/>
        <v>13.376398938110768</v>
      </c>
      <c r="Q28">
        <f t="shared" si="1"/>
        <v>0</v>
      </c>
      <c r="R28" s="6">
        <f t="shared" si="18"/>
        <v>1508.4974317854358</v>
      </c>
      <c r="S28">
        <f t="shared" si="2"/>
        <v>9.0509845907126145</v>
      </c>
      <c r="T28">
        <f t="shared" si="3"/>
        <v>0</v>
      </c>
      <c r="U28" s="6">
        <f t="shared" si="19"/>
        <v>5.2625298147756201</v>
      </c>
      <c r="V28">
        <f t="shared" si="4"/>
        <v>0.78937947221634297</v>
      </c>
      <c r="W28">
        <f t="shared" si="5"/>
        <v>0</v>
      </c>
      <c r="X28">
        <f t="shared" si="6"/>
        <v>269041.73872381559</v>
      </c>
      <c r="Y28" s="6">
        <f t="shared" si="9"/>
        <v>29725.330973579472</v>
      </c>
      <c r="Z28" s="6">
        <f t="shared" si="10"/>
        <v>167.61082575393718</v>
      </c>
      <c r="AA28" s="6">
        <f t="shared" si="11"/>
        <v>0.58472553497506896</v>
      </c>
      <c r="AB28">
        <f t="shared" si="12"/>
        <v>0</v>
      </c>
      <c r="AD28" s="6">
        <f t="shared" si="7"/>
        <v>119168.06577052834</v>
      </c>
      <c r="AG28">
        <f t="shared" si="13"/>
        <v>82292.94692322769</v>
      </c>
      <c r="AH28">
        <f t="shared" si="14"/>
        <v>6841.2581940382552</v>
      </c>
      <c r="AI28">
        <f t="shared" si="15"/>
        <v>140.33412839401652</v>
      </c>
      <c r="AL28">
        <f t="shared" si="8"/>
        <v>0.99645088416228</v>
      </c>
      <c r="AM28">
        <f t="shared" si="20"/>
        <v>0.91667742900406413</v>
      </c>
      <c r="AO28">
        <v>26</v>
      </c>
      <c r="AP28">
        <v>0.99872384636713896</v>
      </c>
      <c r="AQ28">
        <v>0.91548321791158505</v>
      </c>
    </row>
    <row r="29" spans="8:43" x14ac:dyDescent="0.35">
      <c r="N29">
        <f t="shared" si="16"/>
        <v>27</v>
      </c>
      <c r="O29" s="6">
        <f t="shared" si="17"/>
        <v>267514.60236327723</v>
      </c>
      <c r="P29">
        <f t="shared" si="0"/>
        <v>13.375730118163862</v>
      </c>
      <c r="Q29">
        <f t="shared" si="1"/>
        <v>0</v>
      </c>
      <c r="R29" s="6">
        <f t="shared" si="18"/>
        <v>1499.4464471947231</v>
      </c>
      <c r="S29">
        <f t="shared" si="2"/>
        <v>8.996678683168339</v>
      </c>
      <c r="T29">
        <f t="shared" si="3"/>
        <v>0</v>
      </c>
      <c r="U29" s="6">
        <f t="shared" si="19"/>
        <v>4.4731503425592773</v>
      </c>
      <c r="V29">
        <f t="shared" si="4"/>
        <v>0.67097255138389156</v>
      </c>
      <c r="W29">
        <f t="shared" si="5"/>
        <v>0</v>
      </c>
      <c r="X29">
        <f t="shared" si="6"/>
        <v>269018.52196081454</v>
      </c>
      <c r="Y29" s="6">
        <f t="shared" si="9"/>
        <v>29723.844707030792</v>
      </c>
      <c r="Z29" s="6">
        <f t="shared" si="10"/>
        <v>166.60516079941357</v>
      </c>
      <c r="AA29" s="6">
        <f t="shared" si="11"/>
        <v>0.4970167047288086</v>
      </c>
      <c r="AB29">
        <f t="shared" si="12"/>
        <v>0</v>
      </c>
      <c r="AD29" s="6">
        <f t="shared" si="7"/>
        <v>119099.27381442541</v>
      </c>
      <c r="AG29">
        <f t="shared" si="13"/>
        <v>82288.832275881534</v>
      </c>
      <c r="AH29">
        <f t="shared" si="14"/>
        <v>6800.210644874026</v>
      </c>
      <c r="AI29">
        <f t="shared" si="15"/>
        <v>119.28400913491404</v>
      </c>
      <c r="AL29">
        <f t="shared" si="8"/>
        <v>0.99636489615116497</v>
      </c>
      <c r="AM29">
        <f t="shared" si="20"/>
        <v>0.91614826011096473</v>
      </c>
      <c r="AO29">
        <v>27</v>
      </c>
      <c r="AP29">
        <v>0.99867039490607601</v>
      </c>
      <c r="AQ29">
        <v>0.91492197757043003</v>
      </c>
    </row>
    <row r="30" spans="8:43" x14ac:dyDescent="0.35">
      <c r="N30">
        <f t="shared" si="16"/>
        <v>28</v>
      </c>
      <c r="O30" s="6">
        <f t="shared" si="17"/>
        <v>267501.22663315904</v>
      </c>
      <c r="P30">
        <f t="shared" si="0"/>
        <v>13.375061331657953</v>
      </c>
      <c r="Q30">
        <f t="shared" si="1"/>
        <v>0</v>
      </c>
      <c r="R30" s="6">
        <f t="shared" si="18"/>
        <v>1490.4497685115548</v>
      </c>
      <c r="S30">
        <f t="shared" si="2"/>
        <v>8.9426986110693285</v>
      </c>
      <c r="T30">
        <f t="shared" si="3"/>
        <v>0</v>
      </c>
      <c r="U30" s="6">
        <f t="shared" si="19"/>
        <v>3.802177791175386</v>
      </c>
      <c r="V30">
        <f t="shared" si="4"/>
        <v>0.57032666867630788</v>
      </c>
      <c r="W30">
        <f t="shared" si="5"/>
        <v>0</v>
      </c>
      <c r="X30">
        <f t="shared" si="6"/>
        <v>268995.47857946181</v>
      </c>
      <c r="Y30" s="6">
        <f t="shared" si="9"/>
        <v>29722.35851479544</v>
      </c>
      <c r="Z30" s="6">
        <f t="shared" si="10"/>
        <v>165.60552983461707</v>
      </c>
      <c r="AA30" s="6">
        <f t="shared" si="11"/>
        <v>0.42246419901948729</v>
      </c>
      <c r="AB30">
        <f t="shared" si="12"/>
        <v>0</v>
      </c>
      <c r="AD30" s="6">
        <f t="shared" si="7"/>
        <v>119033.90513186627</v>
      </c>
      <c r="AG30">
        <f t="shared" si="13"/>
        <v>82284.717834267736</v>
      </c>
      <c r="AH30">
        <f t="shared" si="14"/>
        <v>6759.4093810047816</v>
      </c>
      <c r="AI30">
        <f t="shared" si="15"/>
        <v>101.39140776467694</v>
      </c>
      <c r="AL30">
        <f t="shared" si="8"/>
        <v>0.99627955029430304</v>
      </c>
      <c r="AM30">
        <f t="shared" si="20"/>
        <v>0.91564542409127903</v>
      </c>
      <c r="AO30">
        <v>28</v>
      </c>
      <c r="AP30">
        <v>0.99861694344501295</v>
      </c>
      <c r="AQ30">
        <v>0.91412020565449603</v>
      </c>
    </row>
    <row r="31" spans="8:43" x14ac:dyDescent="0.35">
      <c r="N31">
        <f t="shared" si="16"/>
        <v>29</v>
      </c>
      <c r="O31" s="6">
        <f t="shared" si="17"/>
        <v>267487.85157182737</v>
      </c>
      <c r="P31">
        <f t="shared" si="0"/>
        <v>13.374392578591369</v>
      </c>
      <c r="Q31">
        <f t="shared" si="1"/>
        <v>0</v>
      </c>
      <c r="R31" s="6">
        <f t="shared" si="18"/>
        <v>1481.5070699004855</v>
      </c>
      <c r="S31">
        <f t="shared" si="2"/>
        <v>8.8890424194029123</v>
      </c>
      <c r="T31">
        <f t="shared" si="3"/>
        <v>0</v>
      </c>
      <c r="U31" s="6">
        <f t="shared" si="19"/>
        <v>3.2318511224990782</v>
      </c>
      <c r="V31">
        <f t="shared" si="4"/>
        <v>0.48477766837486169</v>
      </c>
      <c r="W31">
        <f t="shared" si="5"/>
        <v>0</v>
      </c>
      <c r="X31">
        <f t="shared" si="6"/>
        <v>268972.59049285034</v>
      </c>
      <c r="Y31" s="6">
        <f t="shared" si="9"/>
        <v>29720.872396869701</v>
      </c>
      <c r="Z31" s="6">
        <f t="shared" si="10"/>
        <v>164.61189665560937</v>
      </c>
      <c r="AA31" s="6">
        <f t="shared" si="11"/>
        <v>0.35909456916656418</v>
      </c>
      <c r="AB31">
        <f t="shared" si="12"/>
        <v>0</v>
      </c>
      <c r="AD31" s="6">
        <f t="shared" si="7"/>
        <v>118971.48260778924</v>
      </c>
      <c r="AG31">
        <f t="shared" si="13"/>
        <v>82280.603598376023</v>
      </c>
      <c r="AH31">
        <f t="shared" si="14"/>
        <v>6718.8529247187525</v>
      </c>
      <c r="AI31">
        <f t="shared" si="15"/>
        <v>86.182696599975401</v>
      </c>
      <c r="AL31">
        <f t="shared" si="8"/>
        <v>0.99619477960314939</v>
      </c>
      <c r="AM31">
        <f t="shared" si="20"/>
        <v>0.91516525082914801</v>
      </c>
      <c r="AO31">
        <v>29</v>
      </c>
      <c r="AP31">
        <v>0.99858019556553301</v>
      </c>
      <c r="AQ31">
        <v>0.91354894316439395</v>
      </c>
    </row>
    <row r="32" spans="8:43" x14ac:dyDescent="0.35">
      <c r="N32">
        <f t="shared" si="16"/>
        <v>30</v>
      </c>
      <c r="O32" s="6">
        <f t="shared" si="17"/>
        <v>267474.47717924876</v>
      </c>
      <c r="P32">
        <f t="shared" si="0"/>
        <v>13.373723858962439</v>
      </c>
      <c r="Q32">
        <f t="shared" si="1"/>
        <v>0</v>
      </c>
      <c r="R32" s="6">
        <f t="shared" si="18"/>
        <v>1472.6180274810827</v>
      </c>
      <c r="S32">
        <f t="shared" si="2"/>
        <v>8.8357081648864959</v>
      </c>
      <c r="T32">
        <f t="shared" si="3"/>
        <v>0</v>
      </c>
      <c r="U32" s="6">
        <f t="shared" si="19"/>
        <v>2.7470734541242168</v>
      </c>
      <c r="V32">
        <f t="shared" si="4"/>
        <v>0.41206101811863249</v>
      </c>
      <c r="W32">
        <f t="shared" si="5"/>
        <v>0</v>
      </c>
      <c r="X32">
        <f t="shared" si="6"/>
        <v>268949.84228018398</v>
      </c>
      <c r="Y32" s="6">
        <f t="shared" si="9"/>
        <v>29719.386353249858</v>
      </c>
      <c r="Z32" s="6">
        <f t="shared" si="10"/>
        <v>163.62422527567571</v>
      </c>
      <c r="AA32" s="6">
        <f t="shared" si="11"/>
        <v>0.30523038379157957</v>
      </c>
      <c r="AB32">
        <f t="shared" si="12"/>
        <v>0</v>
      </c>
      <c r="AD32" s="6">
        <f t="shared" si="7"/>
        <v>118911.60047638585</v>
      </c>
      <c r="AG32">
        <f t="shared" si="13"/>
        <v>82276.489568196106</v>
      </c>
      <c r="AH32">
        <f t="shared" si="14"/>
        <v>6678.5398071704403</v>
      </c>
      <c r="AI32">
        <f t="shared" si="15"/>
        <v>73.255292109979095</v>
      </c>
      <c r="AL32">
        <f t="shared" si="8"/>
        <v>0.99611052696364433</v>
      </c>
      <c r="AM32">
        <f t="shared" si="20"/>
        <v>0.91470461904912193</v>
      </c>
      <c r="AO32">
        <v>30</v>
      </c>
      <c r="AP32">
        <v>0.99851338123920497</v>
      </c>
      <c r="AQ32">
        <v>0.91304783571693404</v>
      </c>
    </row>
    <row r="33" spans="14:43" x14ac:dyDescent="0.35">
      <c r="N33">
        <f t="shared" si="16"/>
        <v>31</v>
      </c>
      <c r="O33" s="6">
        <f t="shared" si="17"/>
        <v>267461.10345538979</v>
      </c>
      <c r="P33">
        <f t="shared" si="0"/>
        <v>13.37305517276949</v>
      </c>
      <c r="Q33">
        <f t="shared" si="1"/>
        <v>0</v>
      </c>
      <c r="R33" s="6">
        <f t="shared" si="18"/>
        <v>1463.7823193161962</v>
      </c>
      <c r="S33">
        <f t="shared" si="2"/>
        <v>8.7826939158971769</v>
      </c>
      <c r="T33">
        <f t="shared" si="3"/>
        <v>0</v>
      </c>
      <c r="U33" s="6">
        <f t="shared" si="19"/>
        <v>2.3350124360055844</v>
      </c>
      <c r="V33">
        <f t="shared" si="4"/>
        <v>0.35025186540083764</v>
      </c>
      <c r="W33">
        <f t="shared" si="5"/>
        <v>0</v>
      </c>
      <c r="X33">
        <f t="shared" si="6"/>
        <v>268927.220787142</v>
      </c>
      <c r="Y33" s="6">
        <f t="shared" si="9"/>
        <v>29717.900383932196</v>
      </c>
      <c r="Z33" s="6">
        <f t="shared" si="10"/>
        <v>162.64247992402167</v>
      </c>
      <c r="AA33" s="6">
        <f t="shared" si="11"/>
        <v>0.25944582622284262</v>
      </c>
      <c r="AB33">
        <f t="shared" si="12"/>
        <v>0</v>
      </c>
      <c r="AD33" s="6">
        <f t="shared" si="7"/>
        <v>118853.91362002103</v>
      </c>
      <c r="AG33">
        <f t="shared" si="13"/>
        <v>82272.375743717697</v>
      </c>
      <c r="AH33">
        <f t="shared" si="14"/>
        <v>6638.4685683274174</v>
      </c>
      <c r="AI33">
        <f t="shared" si="15"/>
        <v>62.266998293482231</v>
      </c>
      <c r="AL33">
        <f t="shared" si="8"/>
        <v>0.99602674365608146</v>
      </c>
      <c r="AM33">
        <f t="shared" si="20"/>
        <v>0.91426087400016176</v>
      </c>
      <c r="AO33">
        <v>31</v>
      </c>
      <c r="AP33">
        <v>0.99844656691287703</v>
      </c>
      <c r="AQ33">
        <v>0.91254672826947503</v>
      </c>
    </row>
    <row r="34" spans="14:43" x14ac:dyDescent="0.35">
      <c r="N34">
        <f t="shared" si="16"/>
        <v>32</v>
      </c>
      <c r="O34" s="6">
        <f t="shared" si="17"/>
        <v>267447.730400217</v>
      </c>
      <c r="P34">
        <f t="shared" si="0"/>
        <v>13.372386520010851</v>
      </c>
      <c r="Q34">
        <f t="shared" si="1"/>
        <v>0</v>
      </c>
      <c r="R34" s="6">
        <f t="shared" si="18"/>
        <v>1454.999625400299</v>
      </c>
      <c r="S34">
        <f t="shared" si="2"/>
        <v>8.7299977524017951</v>
      </c>
      <c r="T34">
        <f t="shared" si="3"/>
        <v>0</v>
      </c>
      <c r="U34" s="6">
        <f t="shared" si="19"/>
        <v>1.9847605706047466</v>
      </c>
      <c r="V34">
        <f t="shared" si="4"/>
        <v>0.297714085590712</v>
      </c>
      <c r="W34">
        <f t="shared" si="5"/>
        <v>0</v>
      </c>
      <c r="X34">
        <f t="shared" ref="X34:X65" si="21">O34+R34+U34-$J$57</f>
        <v>268904.71478618792</v>
      </c>
      <c r="Y34" s="6">
        <f t="shared" si="9"/>
        <v>29716.414488913</v>
      </c>
      <c r="Z34" s="6">
        <f t="shared" si="10"/>
        <v>161.66662504447754</v>
      </c>
      <c r="AA34" s="6">
        <f t="shared" si="11"/>
        <v>0.22052895228941624</v>
      </c>
      <c r="AB34">
        <f t="shared" si="12"/>
        <v>0</v>
      </c>
      <c r="AD34" s="6">
        <f t="shared" ref="AD34:AD65" si="22">Y34+Z34+AA34+AG34+AH34+AI34-AB34+$M$59</f>
        <v>118798.12847330718</v>
      </c>
      <c r="AG34">
        <f t="shared" si="13"/>
        <v>82268.262124930508</v>
      </c>
      <c r="AH34">
        <f t="shared" si="14"/>
        <v>6598.6377569174529</v>
      </c>
      <c r="AI34">
        <f t="shared" si="15"/>
        <v>52.926948549459894</v>
      </c>
      <c r="AL34">
        <f t="shared" ref="AL34:AL65" si="23">X34/$X$2</f>
        <v>0.99594338809699234</v>
      </c>
      <c r="AM34">
        <f t="shared" si="20"/>
        <v>0.91383175748697831</v>
      </c>
      <c r="AO34">
        <v>32</v>
      </c>
      <c r="AP34">
        <v>0.99839979688444802</v>
      </c>
      <c r="AQ34">
        <v>0.91212579801361005</v>
      </c>
    </row>
    <row r="35" spans="14:43" x14ac:dyDescent="0.35">
      <c r="N35">
        <f t="shared" si="16"/>
        <v>33</v>
      </c>
      <c r="O35" s="6">
        <f t="shared" si="17"/>
        <v>267434.35801369697</v>
      </c>
      <c r="P35">
        <f t="shared" si="0"/>
        <v>13.37171790068485</v>
      </c>
      <c r="Q35">
        <f t="shared" si="1"/>
        <v>0</v>
      </c>
      <c r="R35" s="6">
        <f t="shared" si="18"/>
        <v>1446.2696276478973</v>
      </c>
      <c r="S35">
        <f t="shared" si="2"/>
        <v>8.6776177658873834</v>
      </c>
      <c r="T35">
        <f t="shared" si="3"/>
        <v>0</v>
      </c>
      <c r="U35" s="6">
        <f t="shared" si="19"/>
        <v>1.6870464850140348</v>
      </c>
      <c r="V35">
        <f t="shared" si="4"/>
        <v>0.2530569727521052</v>
      </c>
      <c r="W35">
        <f t="shared" si="5"/>
        <v>0</v>
      </c>
      <c r="X35">
        <f t="shared" si="21"/>
        <v>268882.31468782987</v>
      </c>
      <c r="Y35" s="6">
        <f t="shared" si="9"/>
        <v>29714.928668188553</v>
      </c>
      <c r="Z35" s="6">
        <f t="shared" si="10"/>
        <v>160.69662529421066</v>
      </c>
      <c r="AA35" s="6">
        <f t="shared" si="11"/>
        <v>0.18744960944600381</v>
      </c>
      <c r="AB35">
        <f t="shared" si="12"/>
        <v>0</v>
      </c>
      <c r="AD35" s="6">
        <f t="shared" si="22"/>
        <v>118743.99529155946</v>
      </c>
      <c r="AG35">
        <f t="shared" si="13"/>
        <v>82264.148711824266</v>
      </c>
      <c r="AH35">
        <f t="shared" si="14"/>
        <v>6559.045930375948</v>
      </c>
      <c r="AI35">
        <f t="shared" si="15"/>
        <v>44.987906267040913</v>
      </c>
      <c r="AL35">
        <f t="shared" si="23"/>
        <v>0.99586042476974024</v>
      </c>
      <c r="AM35">
        <f t="shared" si="20"/>
        <v>0.9134153483966112</v>
      </c>
      <c r="AO35">
        <v>33</v>
      </c>
      <c r="AP35">
        <v>0.99834634542338596</v>
      </c>
      <c r="AQ35">
        <v>0.91155453552350696</v>
      </c>
    </row>
    <row r="36" spans="14:43" x14ac:dyDescent="0.35">
      <c r="N36">
        <f t="shared" si="16"/>
        <v>34</v>
      </c>
      <c r="O36" s="6">
        <f t="shared" si="17"/>
        <v>267420.98629579629</v>
      </c>
      <c r="P36">
        <f t="shared" si="0"/>
        <v>13.371049314789815</v>
      </c>
      <c r="Q36">
        <f t="shared" si="1"/>
        <v>0</v>
      </c>
      <c r="R36" s="6">
        <f t="shared" si="18"/>
        <v>1437.59200988201</v>
      </c>
      <c r="S36">
        <f t="shared" si="2"/>
        <v>8.62555205929206</v>
      </c>
      <c r="T36">
        <f t="shared" si="3"/>
        <v>0</v>
      </c>
      <c r="U36" s="6">
        <f t="shared" si="19"/>
        <v>1.4339895122619295</v>
      </c>
      <c r="V36">
        <f t="shared" si="4"/>
        <v>0.21509842683928942</v>
      </c>
      <c r="W36">
        <f t="shared" si="5"/>
        <v>0</v>
      </c>
      <c r="X36">
        <f t="shared" si="21"/>
        <v>268860.01229519059</v>
      </c>
      <c r="Y36" s="6">
        <f t="shared" si="9"/>
        <v>29713.442921755144</v>
      </c>
      <c r="Z36" s="6">
        <f t="shared" si="10"/>
        <v>159.73244554244539</v>
      </c>
      <c r="AA36" s="6">
        <f t="shared" si="11"/>
        <v>0.15933216802910324</v>
      </c>
      <c r="AB36">
        <f t="shared" si="12"/>
        <v>0</v>
      </c>
      <c r="AD36" s="6">
        <f t="shared" si="22"/>
        <v>118691.30157897498</v>
      </c>
      <c r="AG36">
        <f t="shared" si="13"/>
        <v>82260.035504388681</v>
      </c>
      <c r="AH36">
        <f t="shared" si="14"/>
        <v>6519.6916547936926</v>
      </c>
      <c r="AI36">
        <f t="shared" si="15"/>
        <v>38.239720326984774</v>
      </c>
      <c r="AL36">
        <f t="shared" si="23"/>
        <v>0.99577782331552067</v>
      </c>
      <c r="AM36">
        <f t="shared" si="20"/>
        <v>0.91301001214596134</v>
      </c>
      <c r="AO36">
        <v>34</v>
      </c>
      <c r="AP36">
        <v>0.998306256827589</v>
      </c>
      <c r="AQ36">
        <v>0.91095320658655499</v>
      </c>
    </row>
    <row r="37" spans="14:43" x14ac:dyDescent="0.35">
      <c r="N37">
        <f t="shared" ref="N37:N100" si="24">N36+1</f>
        <v>35</v>
      </c>
      <c r="O37" s="6">
        <f t="shared" si="17"/>
        <v>267407.61524648149</v>
      </c>
      <c r="P37">
        <f t="shared" si="0"/>
        <v>13.370380762324075</v>
      </c>
      <c r="Q37">
        <f t="shared" si="1"/>
        <v>0</v>
      </c>
      <c r="R37" s="6">
        <f t="shared" si="18"/>
        <v>1428.966457822718</v>
      </c>
      <c r="S37">
        <f t="shared" si="2"/>
        <v>8.5737987469363084</v>
      </c>
      <c r="T37">
        <f t="shared" si="3"/>
        <v>0</v>
      </c>
      <c r="U37" s="6">
        <f t="shared" si="19"/>
        <v>1.21889108542264</v>
      </c>
      <c r="V37">
        <f t="shared" si="4"/>
        <v>0.182833662813396</v>
      </c>
      <c r="W37">
        <f t="shared" si="5"/>
        <v>0</v>
      </c>
      <c r="X37">
        <f t="shared" si="21"/>
        <v>268837.80059538962</v>
      </c>
      <c r="Y37" s="6">
        <f t="shared" si="9"/>
        <v>29711.957249609055</v>
      </c>
      <c r="Z37" s="6">
        <f t="shared" si="10"/>
        <v>158.77405086919072</v>
      </c>
      <c r="AA37" s="6">
        <f t="shared" si="11"/>
        <v>0.13543234282473776</v>
      </c>
      <c r="AB37">
        <f t="shared" si="12"/>
        <v>0</v>
      </c>
      <c r="AD37" s="6">
        <f t="shared" si="22"/>
        <v>118639.86650257741</v>
      </c>
      <c r="AG37">
        <f t="shared" si="13"/>
        <v>82255.922502613466</v>
      </c>
      <c r="AH37">
        <f t="shared" si="14"/>
        <v>6480.5735048649303</v>
      </c>
      <c r="AI37">
        <f t="shared" si="15"/>
        <v>32.503762277937057</v>
      </c>
      <c r="AL37">
        <f t="shared" si="23"/>
        <v>0.99569555776070229</v>
      </c>
      <c r="AM37">
        <f t="shared" si="20"/>
        <v>0.91261435771213395</v>
      </c>
      <c r="AO37">
        <v>35</v>
      </c>
      <c r="AP37">
        <v>0.99824278321757798</v>
      </c>
      <c r="AQ37">
        <v>0.910562342777538</v>
      </c>
    </row>
    <row r="38" spans="14:43" x14ac:dyDescent="0.35">
      <c r="N38">
        <f t="shared" si="24"/>
        <v>36</v>
      </c>
      <c r="O38" s="6">
        <f t="shared" si="17"/>
        <v>267394.24486571917</v>
      </c>
      <c r="P38">
        <f t="shared" si="0"/>
        <v>13.369712243285958</v>
      </c>
      <c r="Q38">
        <f t="shared" si="1"/>
        <v>0</v>
      </c>
      <c r="R38" s="6">
        <f t="shared" si="18"/>
        <v>1420.3926590757817</v>
      </c>
      <c r="S38">
        <f t="shared" si="2"/>
        <v>8.5223559544546905</v>
      </c>
      <c r="T38">
        <f t="shared" si="3"/>
        <v>0</v>
      </c>
      <c r="U38" s="6">
        <f t="shared" si="19"/>
        <v>1.036057422609244</v>
      </c>
      <c r="V38">
        <f t="shared" si="4"/>
        <v>0.15540861339138659</v>
      </c>
      <c r="W38">
        <f t="shared" si="5"/>
        <v>0</v>
      </c>
      <c r="X38">
        <f t="shared" si="21"/>
        <v>268815.6735822176</v>
      </c>
      <c r="Y38" s="6">
        <f t="shared" si="9"/>
        <v>29710.471651746575</v>
      </c>
      <c r="Z38" s="6">
        <f t="shared" si="10"/>
        <v>157.82140656397559</v>
      </c>
      <c r="AA38" s="6">
        <f t="shared" si="11"/>
        <v>0.1151174914010271</v>
      </c>
      <c r="AB38">
        <f t="shared" si="12"/>
        <v>0</v>
      </c>
      <c r="AD38" s="6">
        <f t="shared" si="22"/>
        <v>118589.53614406227</v>
      </c>
      <c r="AG38">
        <f t="shared" si="13"/>
        <v>82251.809706488333</v>
      </c>
      <c r="AH38">
        <f t="shared" si="14"/>
        <v>6441.6900638357411</v>
      </c>
      <c r="AI38">
        <f t="shared" si="15"/>
        <v>27.628197936246497</v>
      </c>
      <c r="AL38">
        <f t="shared" si="23"/>
        <v>0.9956136058600652</v>
      </c>
      <c r="AM38">
        <f t="shared" si="20"/>
        <v>0.91222720110817124</v>
      </c>
      <c r="AO38">
        <v>36</v>
      </c>
      <c r="AP38">
        <v>0.99816928745861699</v>
      </c>
      <c r="AQ38">
        <v>0.91007125747902795</v>
      </c>
    </row>
    <row r="39" spans="14:43" x14ac:dyDescent="0.35">
      <c r="N39">
        <f t="shared" si="24"/>
        <v>37</v>
      </c>
      <c r="O39" s="6">
        <f t="shared" si="17"/>
        <v>267380.87515347591</v>
      </c>
      <c r="P39">
        <f t="shared" si="0"/>
        <v>13.369043757673795</v>
      </c>
      <c r="Q39">
        <f t="shared" si="1"/>
        <v>0</v>
      </c>
      <c r="R39" s="6">
        <f t="shared" si="18"/>
        <v>1411.870303121327</v>
      </c>
      <c r="S39">
        <f t="shared" si="2"/>
        <v>8.4712218187279618</v>
      </c>
      <c r="T39">
        <f t="shared" si="3"/>
        <v>0</v>
      </c>
      <c r="U39" s="6">
        <f t="shared" si="19"/>
        <v>0.88064880921785749</v>
      </c>
      <c r="V39">
        <f t="shared" si="4"/>
        <v>0.13209732138267863</v>
      </c>
      <c r="W39">
        <f t="shared" si="5"/>
        <v>0</v>
      </c>
      <c r="X39">
        <f t="shared" si="21"/>
        <v>268793.62610540644</v>
      </c>
      <c r="Y39" s="6">
        <f t="shared" si="9"/>
        <v>29708.986128163986</v>
      </c>
      <c r="Z39" s="6">
        <f t="shared" si="10"/>
        <v>156.87447812459175</v>
      </c>
      <c r="AA39" s="6">
        <f t="shared" si="11"/>
        <v>9.7849867690873032E-2</v>
      </c>
      <c r="AB39">
        <f t="shared" si="12"/>
        <v>0</v>
      </c>
      <c r="AD39" s="6">
        <f t="shared" si="22"/>
        <v>118540.17946385781</v>
      </c>
      <c r="AG39">
        <f t="shared" si="13"/>
        <v>82247.697116003008</v>
      </c>
      <c r="AH39">
        <f t="shared" si="14"/>
        <v>6403.0399234527267</v>
      </c>
      <c r="AI39">
        <f t="shared" si="15"/>
        <v>23.483968245809521</v>
      </c>
      <c r="AL39">
        <f t="shared" si="23"/>
        <v>0.99553194853854232</v>
      </c>
      <c r="AM39">
        <f t="shared" si="20"/>
        <v>0.91184753433736776</v>
      </c>
      <c r="AO39">
        <v>37</v>
      </c>
      <c r="AP39">
        <v>0.99811249528123902</v>
      </c>
      <c r="AQ39">
        <v>0.90949999498892498</v>
      </c>
    </row>
    <row r="40" spans="14:43" x14ac:dyDescent="0.35">
      <c r="N40">
        <f t="shared" si="24"/>
        <v>38</v>
      </c>
      <c r="O40" s="6">
        <f t="shared" si="17"/>
        <v>267367.50610971823</v>
      </c>
      <c r="P40">
        <f t="shared" si="0"/>
        <v>13.368375305485912</v>
      </c>
      <c r="Q40">
        <f t="shared" si="1"/>
        <v>0</v>
      </c>
      <c r="R40" s="6">
        <f t="shared" si="18"/>
        <v>1403.3990813025989</v>
      </c>
      <c r="S40">
        <f t="shared" si="2"/>
        <v>8.4203944878155941</v>
      </c>
      <c r="T40">
        <f t="shared" si="3"/>
        <v>0</v>
      </c>
      <c r="U40" s="6">
        <f t="shared" si="19"/>
        <v>0.74855148783517889</v>
      </c>
      <c r="V40">
        <f t="shared" si="4"/>
        <v>0.11228272317527684</v>
      </c>
      <c r="W40">
        <f t="shared" si="5"/>
        <v>0</v>
      </c>
      <c r="X40">
        <f t="shared" si="21"/>
        <v>268771.65374250861</v>
      </c>
      <c r="Y40" s="6">
        <f t="shared" si="9"/>
        <v>29707.500678857577</v>
      </c>
      <c r="Z40" s="6">
        <f t="shared" si="10"/>
        <v>155.93323125584419</v>
      </c>
      <c r="AA40" s="6">
        <f t="shared" si="11"/>
        <v>8.3172387537242071E-2</v>
      </c>
      <c r="AB40">
        <f t="shared" si="12"/>
        <v>0</v>
      </c>
      <c r="AD40" s="6">
        <f t="shared" si="22"/>
        <v>118491.68487056911</v>
      </c>
      <c r="AG40">
        <f t="shared" si="13"/>
        <v>82243.584731147203</v>
      </c>
      <c r="AH40">
        <f t="shared" si="14"/>
        <v>6364.6216839120107</v>
      </c>
      <c r="AI40">
        <f t="shared" si="15"/>
        <v>19.961373008938093</v>
      </c>
      <c r="AL40">
        <f t="shared" si="23"/>
        <v>0.99545056941669852</v>
      </c>
      <c r="AM40">
        <f t="shared" si="20"/>
        <v>0.91147449900437771</v>
      </c>
      <c r="AO40">
        <v>38</v>
      </c>
      <c r="AP40">
        <v>0.99806572525280901</v>
      </c>
      <c r="AQ40">
        <v>0.90906904258411003</v>
      </c>
    </row>
    <row r="41" spans="14:43" x14ac:dyDescent="0.35">
      <c r="N41">
        <f t="shared" si="24"/>
        <v>39</v>
      </c>
      <c r="O41" s="6">
        <f t="shared" si="17"/>
        <v>267354.13773441274</v>
      </c>
      <c r="P41">
        <f t="shared" si="0"/>
        <v>13.367706886720638</v>
      </c>
      <c r="Q41">
        <f t="shared" si="1"/>
        <v>0</v>
      </c>
      <c r="R41" s="6">
        <f t="shared" si="18"/>
        <v>1394.9786868147833</v>
      </c>
      <c r="S41">
        <f t="shared" si="2"/>
        <v>8.369872120888699</v>
      </c>
      <c r="T41">
        <f t="shared" si="3"/>
        <v>0</v>
      </c>
      <c r="U41" s="6">
        <f t="shared" si="19"/>
        <v>0.63626876465990201</v>
      </c>
      <c r="V41">
        <f t="shared" si="4"/>
        <v>9.5440314698985299E-2</v>
      </c>
      <c r="W41">
        <f t="shared" si="5"/>
        <v>0</v>
      </c>
      <c r="X41">
        <f t="shared" si="21"/>
        <v>268749.75268999219</v>
      </c>
      <c r="Y41" s="6">
        <f t="shared" si="9"/>
        <v>29706.015303823635</v>
      </c>
      <c r="Z41" s="6">
        <f t="shared" si="10"/>
        <v>154.99763186830913</v>
      </c>
      <c r="AA41" s="6">
        <f t="shared" si="11"/>
        <v>7.0696529406655759E-2</v>
      </c>
      <c r="AB41">
        <f t="shared" si="12"/>
        <v>0</v>
      </c>
      <c r="AD41" s="6">
        <f t="shared" si="22"/>
        <v>118443.95730499813</v>
      </c>
      <c r="AG41">
        <f t="shared" si="13"/>
        <v>82239.472551910643</v>
      </c>
      <c r="AH41">
        <f t="shared" si="14"/>
        <v>6326.4339538085387</v>
      </c>
      <c r="AI41">
        <f t="shared" si="15"/>
        <v>16.967167057597379</v>
      </c>
      <c r="AL41">
        <f t="shared" si="23"/>
        <v>0.99536945440737845</v>
      </c>
      <c r="AM41">
        <f t="shared" si="20"/>
        <v>0.91110736388460101</v>
      </c>
      <c r="AO41">
        <v>39</v>
      </c>
      <c r="AP41">
        <v>0.99799222949384903</v>
      </c>
      <c r="AQ41">
        <v>0.90874833381773801</v>
      </c>
    </row>
    <row r="42" spans="14:43" x14ac:dyDescent="0.35">
      <c r="N42">
        <f t="shared" si="24"/>
        <v>40</v>
      </c>
      <c r="O42" s="6">
        <f t="shared" si="17"/>
        <v>267340.77002752601</v>
      </c>
      <c r="P42">
        <f t="shared" si="0"/>
        <v>13.367038501376301</v>
      </c>
      <c r="Q42">
        <f t="shared" si="1"/>
        <v>0</v>
      </c>
      <c r="R42" s="6">
        <f t="shared" si="18"/>
        <v>1386.6088146938946</v>
      </c>
      <c r="S42">
        <f t="shared" si="2"/>
        <v>8.3196528881633682</v>
      </c>
      <c r="T42">
        <f t="shared" si="3"/>
        <v>0</v>
      </c>
      <c r="U42" s="6">
        <f t="shared" si="19"/>
        <v>0.54082844996091672</v>
      </c>
      <c r="V42">
        <f t="shared" si="4"/>
        <v>8.1124267494137509E-2</v>
      </c>
      <c r="W42">
        <f t="shared" si="5"/>
        <v>0</v>
      </c>
      <c r="X42">
        <f t="shared" si="21"/>
        <v>268727.91967066983</v>
      </c>
      <c r="Y42" s="6">
        <f t="shared" si="9"/>
        <v>29704.530003058444</v>
      </c>
      <c r="Z42" s="6">
        <f t="shared" si="10"/>
        <v>154.06764607709928</v>
      </c>
      <c r="AA42" s="6">
        <f t="shared" si="11"/>
        <v>6.0092049995657398E-2</v>
      </c>
      <c r="AB42">
        <f t="shared" si="12"/>
        <v>0</v>
      </c>
      <c r="AD42" s="6">
        <f t="shared" si="22"/>
        <v>118396.91576155323</v>
      </c>
      <c r="AG42">
        <f t="shared" si="13"/>
        <v>82235.360578283042</v>
      </c>
      <c r="AH42">
        <f t="shared" si="14"/>
        <v>6288.4753500856878</v>
      </c>
      <c r="AI42">
        <f t="shared" si="15"/>
        <v>14.422091998957772</v>
      </c>
      <c r="AL42">
        <f t="shared" si="23"/>
        <v>0.99528859137285119</v>
      </c>
      <c r="AM42">
        <f t="shared" si="20"/>
        <v>0.91074550585810177</v>
      </c>
      <c r="AO42">
        <v>40</v>
      </c>
      <c r="AP42">
        <v>0.99792207445120396</v>
      </c>
      <c r="AQ42">
        <v>0.90831738141292195</v>
      </c>
    </row>
    <row r="43" spans="14:43" x14ac:dyDescent="0.35">
      <c r="N43">
        <f t="shared" si="24"/>
        <v>41</v>
      </c>
      <c r="O43" s="6">
        <f t="shared" si="17"/>
        <v>267327.40298902465</v>
      </c>
      <c r="P43">
        <f t="shared" si="0"/>
        <v>13.366370149451233</v>
      </c>
      <c r="Q43">
        <f t="shared" si="1"/>
        <v>0</v>
      </c>
      <c r="R43" s="6">
        <f t="shared" si="18"/>
        <v>1378.2891618057313</v>
      </c>
      <c r="S43">
        <f t="shared" si="2"/>
        <v>8.2697349708343886</v>
      </c>
      <c r="T43">
        <f t="shared" si="3"/>
        <v>0</v>
      </c>
      <c r="U43" s="6">
        <f t="shared" si="19"/>
        <v>0.45970418246677924</v>
      </c>
      <c r="V43">
        <f t="shared" si="4"/>
        <v>6.8955627370016884E-2</v>
      </c>
      <c r="W43">
        <f t="shared" si="5"/>
        <v>0</v>
      </c>
      <c r="X43">
        <f t="shared" si="21"/>
        <v>268706.15185501281</v>
      </c>
      <c r="Y43" s="6">
        <f t="shared" si="9"/>
        <v>29703.04477655829</v>
      </c>
      <c r="Z43" s="6">
        <f t="shared" si="10"/>
        <v>153.14324020063668</v>
      </c>
      <c r="AA43" s="6">
        <f t="shared" si="11"/>
        <v>5.1078242496308789E-2</v>
      </c>
      <c r="AB43">
        <f t="shared" si="12"/>
        <v>0</v>
      </c>
      <c r="AD43" s="6">
        <f t="shared" si="22"/>
        <v>118350.49118143984</v>
      </c>
      <c r="AG43">
        <f t="shared" si="13"/>
        <v>82231.248810254125</v>
      </c>
      <c r="AH43">
        <f t="shared" si="14"/>
        <v>6250.7444979851734</v>
      </c>
      <c r="AI43">
        <f t="shared" si="15"/>
        <v>12.258778199114106</v>
      </c>
      <c r="AL43">
        <f t="shared" si="23"/>
        <v>0.99520796983338078</v>
      </c>
      <c r="AM43">
        <f t="shared" si="20"/>
        <v>0.91038839370338331</v>
      </c>
      <c r="AO43">
        <v>41</v>
      </c>
      <c r="AP43">
        <v>0.99783855654329401</v>
      </c>
      <c r="AQ43">
        <v>0.90784634041231105</v>
      </c>
    </row>
    <row r="44" spans="14:43" x14ac:dyDescent="0.35">
      <c r="N44">
        <f t="shared" si="24"/>
        <v>42</v>
      </c>
      <c r="O44" s="6">
        <f t="shared" si="17"/>
        <v>267314.03661887522</v>
      </c>
      <c r="P44">
        <f t="shared" si="0"/>
        <v>13.365701830943761</v>
      </c>
      <c r="Q44">
        <f t="shared" si="1"/>
        <v>0</v>
      </c>
      <c r="R44" s="6">
        <f t="shared" si="18"/>
        <v>1370.0194268348969</v>
      </c>
      <c r="S44">
        <f t="shared" si="2"/>
        <v>8.220116561009382</v>
      </c>
      <c r="T44">
        <f t="shared" si="3"/>
        <v>0</v>
      </c>
      <c r="U44" s="6">
        <f t="shared" si="19"/>
        <v>0.39074855509676237</v>
      </c>
      <c r="V44">
        <f t="shared" si="4"/>
        <v>5.8612283264514356E-2</v>
      </c>
      <c r="W44">
        <f t="shared" si="5"/>
        <v>0</v>
      </c>
      <c r="X44">
        <f t="shared" si="21"/>
        <v>268684.44679426518</v>
      </c>
      <c r="Y44" s="6">
        <f t="shared" si="9"/>
        <v>29701.559624319463</v>
      </c>
      <c r="Z44" s="6">
        <f t="shared" si="10"/>
        <v>152.22438075943288</v>
      </c>
      <c r="AA44" s="6">
        <f t="shared" si="11"/>
        <v>4.3416506121862472E-2</v>
      </c>
      <c r="AB44">
        <f t="shared" si="12"/>
        <v>0</v>
      </c>
      <c r="AD44" s="6">
        <f t="shared" si="22"/>
        <v>118304.62466186515</v>
      </c>
      <c r="AG44">
        <f t="shared" si="13"/>
        <v>82227.137247813618</v>
      </c>
      <c r="AH44">
        <f t="shared" si="14"/>
        <v>6213.2400309972627</v>
      </c>
      <c r="AI44">
        <f t="shared" si="15"/>
        <v>10.41996146924699</v>
      </c>
      <c r="AL44">
        <f t="shared" si="23"/>
        <v>0.99512758071950069</v>
      </c>
      <c r="AM44">
        <f t="shared" si="20"/>
        <v>0.91003557432203963</v>
      </c>
      <c r="AO44">
        <v>42</v>
      </c>
      <c r="AP44">
        <v>0.99779846794749805</v>
      </c>
      <c r="AQ44">
        <v>0.90742541015644596</v>
      </c>
    </row>
    <row r="45" spans="14:43" x14ac:dyDescent="0.35">
      <c r="N45">
        <f t="shared" si="24"/>
        <v>43</v>
      </c>
      <c r="O45" s="6">
        <f t="shared" si="17"/>
        <v>267300.67091704428</v>
      </c>
      <c r="P45">
        <f t="shared" si="0"/>
        <v>13.365033545852215</v>
      </c>
      <c r="Q45">
        <f t="shared" si="1"/>
        <v>0</v>
      </c>
      <c r="R45" s="6">
        <f t="shared" si="18"/>
        <v>1361.7993102738874</v>
      </c>
      <c r="S45">
        <f t="shared" si="2"/>
        <v>8.1707958616433238</v>
      </c>
      <c r="T45">
        <f t="shared" si="3"/>
        <v>0</v>
      </c>
      <c r="U45" s="6">
        <f t="shared" si="19"/>
        <v>0.33213627183224803</v>
      </c>
      <c r="V45">
        <f t="shared" si="4"/>
        <v>4.9820440774837202E-2</v>
      </c>
      <c r="W45">
        <f t="shared" si="5"/>
        <v>0</v>
      </c>
      <c r="X45">
        <f t="shared" si="21"/>
        <v>268662.80236358999</v>
      </c>
      <c r="Y45" s="6">
        <f t="shared" si="9"/>
        <v>29700.074546338248</v>
      </c>
      <c r="Z45" s="6">
        <f t="shared" si="10"/>
        <v>151.31103447487627</v>
      </c>
      <c r="AA45" s="6">
        <f t="shared" si="11"/>
        <v>3.6904030203583099E-2</v>
      </c>
      <c r="AB45">
        <f t="shared" si="12"/>
        <v>0</v>
      </c>
      <c r="AD45" s="6">
        <f t="shared" si="22"/>
        <v>118259.26593385471</v>
      </c>
      <c r="AG45">
        <f t="shared" si="13"/>
        <v>82223.025890951234</v>
      </c>
      <c r="AH45">
        <f t="shared" si="14"/>
        <v>6175.960590811279</v>
      </c>
      <c r="AI45">
        <f t="shared" si="15"/>
        <v>8.8569672488599416</v>
      </c>
      <c r="AL45">
        <f t="shared" si="23"/>
        <v>0.99504741616144443</v>
      </c>
      <c r="AM45">
        <f t="shared" si="20"/>
        <v>0.90968666102965157</v>
      </c>
      <c r="AO45">
        <v>43</v>
      </c>
      <c r="AP45">
        <v>0.99774501648643499</v>
      </c>
      <c r="AQ45">
        <v>0.90705459064532501</v>
      </c>
    </row>
    <row r="46" spans="14:43" x14ac:dyDescent="0.35">
      <c r="N46">
        <f t="shared" si="24"/>
        <v>44</v>
      </c>
      <c r="O46" s="6">
        <f t="shared" si="17"/>
        <v>267287.3058834984</v>
      </c>
      <c r="P46">
        <f t="shared" si="0"/>
        <v>13.36436529417492</v>
      </c>
      <c r="Q46">
        <f t="shared" si="1"/>
        <v>0</v>
      </c>
      <c r="R46" s="6">
        <f t="shared" si="18"/>
        <v>1353.6285144122442</v>
      </c>
      <c r="S46">
        <f t="shared" si="2"/>
        <v>8.1217710864734656</v>
      </c>
      <c r="T46">
        <f t="shared" si="3"/>
        <v>0</v>
      </c>
      <c r="U46" s="6">
        <f t="shared" si="19"/>
        <v>0.28231583105741082</v>
      </c>
      <c r="V46">
        <f t="shared" si="4"/>
        <v>4.2347374658611624E-2</v>
      </c>
      <c r="W46">
        <f t="shared" si="5"/>
        <v>0</v>
      </c>
      <c r="X46">
        <f t="shared" si="21"/>
        <v>268641.21671374171</v>
      </c>
      <c r="Y46" s="6">
        <f t="shared" si="9"/>
        <v>29698.589542610931</v>
      </c>
      <c r="Z46" s="6">
        <f t="shared" si="10"/>
        <v>150.403168268027</v>
      </c>
      <c r="AA46" s="6">
        <f t="shared" si="11"/>
        <v>3.1368425673045632E-2</v>
      </c>
      <c r="AB46">
        <f t="shared" si="12"/>
        <v>0</v>
      </c>
      <c r="AD46" s="6">
        <f t="shared" si="22"/>
        <v>118214.37206838925</v>
      </c>
      <c r="AG46">
        <f t="shared" si="13"/>
        <v>82218.914739656684</v>
      </c>
      <c r="AH46">
        <f t="shared" si="14"/>
        <v>6138.9048272664113</v>
      </c>
      <c r="AI46">
        <f t="shared" si="15"/>
        <v>7.5284221615309503</v>
      </c>
      <c r="AL46">
        <f t="shared" si="23"/>
        <v>0.99496746931015445</v>
      </c>
      <c r="AM46">
        <f t="shared" si="20"/>
        <v>0.90934132360299424</v>
      </c>
      <c r="AO46">
        <v>44</v>
      </c>
      <c r="AP46">
        <v>0.997701587174323</v>
      </c>
      <c r="AQ46">
        <v>0.90663366038946103</v>
      </c>
    </row>
    <row r="47" spans="14:43" x14ac:dyDescent="0.35">
      <c r="N47">
        <f t="shared" si="24"/>
        <v>45</v>
      </c>
      <c r="O47" s="6">
        <f t="shared" si="17"/>
        <v>267273.94151820423</v>
      </c>
      <c r="P47">
        <f t="shared" si="0"/>
        <v>13.363697075910212</v>
      </c>
      <c r="Q47">
        <f t="shared" si="1"/>
        <v>0</v>
      </c>
      <c r="R47" s="6">
        <f t="shared" si="18"/>
        <v>1345.5067433257707</v>
      </c>
      <c r="S47">
        <f t="shared" si="2"/>
        <v>8.0730404599546244</v>
      </c>
      <c r="T47">
        <f t="shared" si="3"/>
        <v>0</v>
      </c>
      <c r="U47" s="6">
        <f t="shared" si="19"/>
        <v>0.23996845639879918</v>
      </c>
      <c r="V47">
        <f t="shared" si="4"/>
        <v>3.5995268459819874E-2</v>
      </c>
      <c r="W47">
        <f t="shared" si="5"/>
        <v>0</v>
      </c>
      <c r="X47">
        <f t="shared" si="21"/>
        <v>268619.68822998641</v>
      </c>
      <c r="Y47" s="6">
        <f t="shared" si="9"/>
        <v>29697.104613133801</v>
      </c>
      <c r="Z47" s="6">
        <f t="shared" si="10"/>
        <v>149.50074925841884</v>
      </c>
      <c r="AA47" s="6">
        <f t="shared" si="11"/>
        <v>2.6663161822088787E-2</v>
      </c>
      <c r="AB47">
        <f t="shared" si="12"/>
        <v>0</v>
      </c>
      <c r="AD47" s="6">
        <f t="shared" si="22"/>
        <v>118169.90637661384</v>
      </c>
      <c r="AG47">
        <f t="shared" si="13"/>
        <v>82214.803793919695</v>
      </c>
      <c r="AH47">
        <f t="shared" si="14"/>
        <v>6102.0713983028127</v>
      </c>
      <c r="AI47">
        <f t="shared" si="15"/>
        <v>6.3991588373013073</v>
      </c>
      <c r="AL47">
        <f t="shared" si="23"/>
        <v>0.99488773418513488</v>
      </c>
      <c r="AM47">
        <f t="shared" si="20"/>
        <v>0.90899927982010653</v>
      </c>
      <c r="AO47">
        <v>45</v>
      </c>
      <c r="AP47">
        <v>0.99765147642957597</v>
      </c>
      <c r="AQ47">
        <v>0.90623277443149297</v>
      </c>
    </row>
    <row r="48" spans="14:43" x14ac:dyDescent="0.35">
      <c r="N48">
        <f t="shared" si="24"/>
        <v>46</v>
      </c>
      <c r="O48" s="6">
        <f t="shared" si="17"/>
        <v>267260.5778211283</v>
      </c>
      <c r="P48">
        <f t="shared" si="0"/>
        <v>13.363028891056416</v>
      </c>
      <c r="Q48">
        <f t="shared" si="1"/>
        <v>0</v>
      </c>
      <c r="R48" s="6">
        <f t="shared" si="18"/>
        <v>1337.433702865816</v>
      </c>
      <c r="S48">
        <f t="shared" si="2"/>
        <v>8.0246022171948965</v>
      </c>
      <c r="T48">
        <f t="shared" si="3"/>
        <v>0</v>
      </c>
      <c r="U48" s="6">
        <f t="shared" si="19"/>
        <v>0.20397318793897931</v>
      </c>
      <c r="V48">
        <f t="shared" si="4"/>
        <v>3.0595978190846897E-2</v>
      </c>
      <c r="W48">
        <f t="shared" si="5"/>
        <v>0</v>
      </c>
      <c r="X48">
        <f t="shared" si="21"/>
        <v>268598.21549718204</v>
      </c>
      <c r="Y48" s="6">
        <f t="shared" si="9"/>
        <v>29695.619757903143</v>
      </c>
      <c r="Z48" s="6">
        <f t="shared" si="10"/>
        <v>148.60374476286833</v>
      </c>
      <c r="AA48" s="6">
        <f t="shared" si="11"/>
        <v>2.2663687548775471E-2</v>
      </c>
      <c r="AB48">
        <f t="shared" si="12"/>
        <v>0</v>
      </c>
      <c r="AD48" s="6">
        <f t="shared" si="22"/>
        <v>118125.83747500826</v>
      </c>
      <c r="AG48">
        <f t="shared" si="13"/>
        <v>82210.693053729992</v>
      </c>
      <c r="AH48">
        <f t="shared" si="14"/>
        <v>6065.4589699129956</v>
      </c>
      <c r="AI48">
        <f t="shared" si="15"/>
        <v>5.4392850117061116</v>
      </c>
      <c r="AL48">
        <f t="shared" si="23"/>
        <v>0.99480820554511873</v>
      </c>
      <c r="AM48">
        <f t="shared" si="20"/>
        <v>0.90866028826929435</v>
      </c>
      <c r="AO48">
        <v>46</v>
      </c>
      <c r="AP48">
        <v>0.99759134353588197</v>
      </c>
      <c r="AQ48">
        <v>0.90577175557983003</v>
      </c>
    </row>
    <row r="49" spans="1:43" x14ac:dyDescent="0.35">
      <c r="N49">
        <f t="shared" si="24"/>
        <v>47</v>
      </c>
      <c r="O49" s="6">
        <f t="shared" si="17"/>
        <v>267247.21479223727</v>
      </c>
      <c r="P49">
        <f t="shared" si="0"/>
        <v>13.362360739611864</v>
      </c>
      <c r="Q49">
        <f t="shared" si="1"/>
        <v>0</v>
      </c>
      <c r="R49" s="6">
        <f t="shared" si="18"/>
        <v>1329.4091006486212</v>
      </c>
      <c r="S49">
        <f t="shared" si="2"/>
        <v>7.9764546038917272</v>
      </c>
      <c r="T49">
        <f t="shared" si="3"/>
        <v>0</v>
      </c>
      <c r="U49" s="6">
        <f t="shared" si="19"/>
        <v>0.17337720974813242</v>
      </c>
      <c r="V49">
        <f t="shared" si="4"/>
        <v>2.6006581462219864E-2</v>
      </c>
      <c r="W49">
        <f t="shared" si="5"/>
        <v>0</v>
      </c>
      <c r="X49">
        <f t="shared" si="21"/>
        <v>268576.79727009562</v>
      </c>
      <c r="Y49" s="6">
        <f t="shared" si="9"/>
        <v>29694.134976915248</v>
      </c>
      <c r="Z49" s="6">
        <f t="shared" si="10"/>
        <v>147.71212229429113</v>
      </c>
      <c r="AA49" s="6">
        <f t="shared" si="11"/>
        <v>1.9264134416459151E-2</v>
      </c>
      <c r="AB49">
        <f t="shared" si="12"/>
        <v>0</v>
      </c>
      <c r="AD49" s="6">
        <f t="shared" si="22"/>
        <v>118082.13849077473</v>
      </c>
      <c r="AG49">
        <f t="shared" si="13"/>
        <v>82206.582519077303</v>
      </c>
      <c r="AH49">
        <f t="shared" si="14"/>
        <v>6029.0662160935181</v>
      </c>
      <c r="AI49">
        <f t="shared" si="15"/>
        <v>4.6233922599501946</v>
      </c>
      <c r="AL49">
        <f t="shared" si="23"/>
        <v>0.99472887877813188</v>
      </c>
      <c r="AM49">
        <f t="shared" si="20"/>
        <v>0.90832414223672864</v>
      </c>
      <c r="AO49">
        <v>47</v>
      </c>
      <c r="AP49">
        <v>0.99751450706060496</v>
      </c>
      <c r="AQ49">
        <v>0.90537086962186297</v>
      </c>
    </row>
    <row r="50" spans="1:43" x14ac:dyDescent="0.35">
      <c r="N50">
        <f t="shared" si="24"/>
        <v>48</v>
      </c>
      <c r="O50" s="6">
        <f t="shared" si="17"/>
        <v>267233.85243149765</v>
      </c>
      <c r="P50">
        <f t="shared" si="0"/>
        <v>13.361692621574884</v>
      </c>
      <c r="Q50">
        <f t="shared" si="1"/>
        <v>0</v>
      </c>
      <c r="R50" s="6">
        <f t="shared" si="18"/>
        <v>1321.4326460447296</v>
      </c>
      <c r="S50">
        <f t="shared" si="2"/>
        <v>7.9285958762683775</v>
      </c>
      <c r="T50">
        <f t="shared" si="3"/>
        <v>0</v>
      </c>
      <c r="U50" s="6">
        <f t="shared" si="19"/>
        <v>0.14737062828591255</v>
      </c>
      <c r="V50">
        <f t="shared" si="4"/>
        <v>2.210559424288688E-2</v>
      </c>
      <c r="W50">
        <f t="shared" si="5"/>
        <v>0</v>
      </c>
      <c r="X50">
        <f t="shared" si="21"/>
        <v>268555.43244817067</v>
      </c>
      <c r="Y50" s="6">
        <f t="shared" si="9"/>
        <v>29692.650270166403</v>
      </c>
      <c r="Z50" s="6">
        <f t="shared" si="10"/>
        <v>146.8258495605254</v>
      </c>
      <c r="AA50" s="6">
        <f t="shared" si="11"/>
        <v>1.637451425399028E-2</v>
      </c>
      <c r="AB50">
        <f t="shared" si="12"/>
        <v>0</v>
      </c>
      <c r="AD50" s="6">
        <f t="shared" si="22"/>
        <v>118038.78638641044</v>
      </c>
      <c r="AG50">
        <f t="shared" si="13"/>
        <v>82202.472189951353</v>
      </c>
      <c r="AH50">
        <f t="shared" si="14"/>
        <v>5992.8918187969566</v>
      </c>
      <c r="AI50">
        <f t="shared" si="15"/>
        <v>3.9298834209576654</v>
      </c>
      <c r="AL50">
        <f t="shared" si="23"/>
        <v>0.99464974980803955</v>
      </c>
      <c r="AM50">
        <f t="shared" si="20"/>
        <v>0.90799066451084953</v>
      </c>
      <c r="AO50">
        <v>48</v>
      </c>
      <c r="AP50">
        <v>0.99746105559954201</v>
      </c>
      <c r="AQ50">
        <v>0.90490985077020203</v>
      </c>
    </row>
    <row r="51" spans="1:43" x14ac:dyDescent="0.35">
      <c r="N51">
        <f t="shared" si="24"/>
        <v>49</v>
      </c>
      <c r="O51" s="6">
        <f t="shared" si="17"/>
        <v>267220.49073887611</v>
      </c>
      <c r="P51">
        <f t="shared" si="0"/>
        <v>13.361024536943805</v>
      </c>
      <c r="Q51">
        <f t="shared" si="1"/>
        <v>0</v>
      </c>
      <c r="R51" s="6">
        <f t="shared" si="18"/>
        <v>1313.5040501684612</v>
      </c>
      <c r="S51">
        <f t="shared" si="2"/>
        <v>7.8810243010107675</v>
      </c>
      <c r="T51">
        <f t="shared" si="3"/>
        <v>0</v>
      </c>
      <c r="U51" s="6">
        <f t="shared" si="19"/>
        <v>0.12526503404302566</v>
      </c>
      <c r="V51">
        <f t="shared" si="4"/>
        <v>1.8789755106453847E-2</v>
      </c>
      <c r="W51">
        <f t="shared" si="5"/>
        <v>0</v>
      </c>
      <c r="X51">
        <f t="shared" si="21"/>
        <v>268534.12005407858</v>
      </c>
      <c r="Y51" s="6">
        <f t="shared" si="9"/>
        <v>29691.165637652895</v>
      </c>
      <c r="Z51" s="6">
        <f t="shared" si="10"/>
        <v>145.94489446316226</v>
      </c>
      <c r="AA51" s="6">
        <f t="shared" si="11"/>
        <v>1.3918337115891738E-2</v>
      </c>
      <c r="AB51">
        <f t="shared" si="12"/>
        <v>0</v>
      </c>
      <c r="AD51" s="6">
        <f t="shared" si="22"/>
        <v>117995.76138558701</v>
      </c>
      <c r="AG51">
        <f t="shared" si="13"/>
        <v>82198.362066341855</v>
      </c>
      <c r="AH51">
        <f t="shared" si="14"/>
        <v>5956.9344678841753</v>
      </c>
      <c r="AI51">
        <f t="shared" si="15"/>
        <v>3.3404009078140158</v>
      </c>
      <c r="AL51">
        <f t="shared" si="23"/>
        <v>0.9945708150151058</v>
      </c>
      <c r="AM51">
        <f t="shared" si="20"/>
        <v>0.90765970296605392</v>
      </c>
      <c r="AO51">
        <v>49</v>
      </c>
      <c r="AP51">
        <v>0.99740760413847895</v>
      </c>
      <c r="AQ51">
        <v>0.90454905340803105</v>
      </c>
    </row>
    <row r="52" spans="1:43" x14ac:dyDescent="0.35">
      <c r="N52">
        <f t="shared" si="24"/>
        <v>50</v>
      </c>
      <c r="O52" s="6">
        <f t="shared" si="17"/>
        <v>267207.12971433916</v>
      </c>
      <c r="P52">
        <f t="shared" si="0"/>
        <v>13.360356485716958</v>
      </c>
      <c r="Q52">
        <f t="shared" si="1"/>
        <v>0</v>
      </c>
      <c r="R52" s="6">
        <f t="shared" si="18"/>
        <v>1305.6230258674505</v>
      </c>
      <c r="S52">
        <f t="shared" si="2"/>
        <v>7.8337381552047027</v>
      </c>
      <c r="T52">
        <f t="shared" si="3"/>
        <v>0</v>
      </c>
      <c r="U52" s="6">
        <f t="shared" si="19"/>
        <v>0.10647527893657181</v>
      </c>
      <c r="V52">
        <f t="shared" si="4"/>
        <v>1.597129184048577E-2</v>
      </c>
      <c r="W52">
        <f t="shared" si="5"/>
        <v>0</v>
      </c>
      <c r="X52">
        <f t="shared" si="21"/>
        <v>268512.85921548551</v>
      </c>
      <c r="Y52" s="6">
        <f t="shared" si="9"/>
        <v>29689.681079371014</v>
      </c>
      <c r="Z52" s="6">
        <f t="shared" si="10"/>
        <v>145.06922509638329</v>
      </c>
      <c r="AA52" s="6">
        <f t="shared" si="11"/>
        <v>1.1830586548507977E-2</v>
      </c>
      <c r="AB52">
        <f t="shared" si="12"/>
        <v>0</v>
      </c>
      <c r="AD52" s="6">
        <f t="shared" si="22"/>
        <v>117953.04648514098</v>
      </c>
      <c r="AG52">
        <f t="shared" si="13"/>
        <v>82194.252148238535</v>
      </c>
      <c r="AH52">
        <f t="shared" si="14"/>
        <v>5921.19286107687</v>
      </c>
      <c r="AI52">
        <f t="shared" si="15"/>
        <v>2.8393407716419135</v>
      </c>
      <c r="AL52">
        <f t="shared" si="23"/>
        <v>0.99449207116846483</v>
      </c>
      <c r="AM52">
        <f t="shared" si="20"/>
        <v>0.9073311268087767</v>
      </c>
      <c r="AO52">
        <v>50</v>
      </c>
      <c r="AP52">
        <v>0.99734747124478496</v>
      </c>
      <c r="AQ52">
        <v>0.90411810100321599</v>
      </c>
    </row>
    <row r="53" spans="1:43" x14ac:dyDescent="0.35">
      <c r="N53">
        <f t="shared" si="24"/>
        <v>51</v>
      </c>
      <c r="O53" s="6">
        <f t="shared" si="17"/>
        <v>267193.76935785345</v>
      </c>
      <c r="P53">
        <f t="shared" si="0"/>
        <v>13.359688467892672</v>
      </c>
      <c r="Q53">
        <f t="shared" si="1"/>
        <v>0</v>
      </c>
      <c r="R53" s="6">
        <f t="shared" si="18"/>
        <v>1297.7892877122458</v>
      </c>
      <c r="S53">
        <f t="shared" si="2"/>
        <v>7.7867357262734753</v>
      </c>
      <c r="T53">
        <f t="shared" si="3"/>
        <v>0</v>
      </c>
      <c r="U53" s="6">
        <f t="shared" si="19"/>
        <v>9.0503987096086036E-2</v>
      </c>
      <c r="V53">
        <f t="shared" si="4"/>
        <v>1.3575598064412905E-2</v>
      </c>
      <c r="W53">
        <f t="shared" si="5"/>
        <v>0</v>
      </c>
      <c r="X53">
        <f t="shared" si="21"/>
        <v>268491.6491495528</v>
      </c>
      <c r="Y53" s="6">
        <f t="shared" si="9"/>
        <v>29688.196595317044</v>
      </c>
      <c r="Z53" s="6">
        <f t="shared" si="10"/>
        <v>144.19880974580499</v>
      </c>
      <c r="AA53" s="6">
        <f t="shared" si="11"/>
        <v>1.005599856623178E-2</v>
      </c>
      <c r="AB53">
        <f t="shared" si="12"/>
        <v>0</v>
      </c>
      <c r="AD53" s="6">
        <f t="shared" si="22"/>
        <v>117910.62704025883</v>
      </c>
      <c r="AG53">
        <f t="shared" si="13"/>
        <v>82190.142435631118</v>
      </c>
      <c r="AH53">
        <f t="shared" si="14"/>
        <v>5885.6657039104084</v>
      </c>
      <c r="AI53">
        <f t="shared" si="15"/>
        <v>2.4134396558956266</v>
      </c>
      <c r="AL53">
        <f t="shared" si="23"/>
        <v>0.99441351536871403</v>
      </c>
      <c r="AM53">
        <f t="shared" si="20"/>
        <v>0.90700482338660637</v>
      </c>
      <c r="AO53">
        <v>51</v>
      </c>
      <c r="AP53">
        <v>0.99728733835108896</v>
      </c>
      <c r="AQ53">
        <v>0.90374728149209804</v>
      </c>
    </row>
    <row r="54" spans="1:43" ht="43.5" x14ac:dyDescent="0.35">
      <c r="G54" s="2" t="s">
        <v>35</v>
      </c>
      <c r="J54" s="2" t="s">
        <v>36</v>
      </c>
      <c r="M54" s="2" t="s">
        <v>37</v>
      </c>
      <c r="N54">
        <f t="shared" si="24"/>
        <v>52</v>
      </c>
      <c r="O54" s="6">
        <f t="shared" si="17"/>
        <v>267180.40966938558</v>
      </c>
      <c r="P54">
        <f t="shared" si="0"/>
        <v>13.35902048346928</v>
      </c>
      <c r="Q54">
        <f t="shared" si="1"/>
        <v>0</v>
      </c>
      <c r="R54" s="6">
        <f t="shared" si="18"/>
        <v>1290.0025519859723</v>
      </c>
      <c r="S54">
        <f t="shared" si="2"/>
        <v>7.7400153119158341</v>
      </c>
      <c r="T54">
        <f t="shared" si="3"/>
        <v>0</v>
      </c>
      <c r="U54" s="6">
        <f t="shared" si="19"/>
        <v>7.6928389031673136E-2</v>
      </c>
      <c r="V54">
        <f t="shared" si="4"/>
        <v>1.153925835475097E-2</v>
      </c>
      <c r="W54">
        <f t="shared" si="5"/>
        <v>0</v>
      </c>
      <c r="X54">
        <f t="shared" si="21"/>
        <v>268470.48914976057</v>
      </c>
      <c r="Y54" s="6">
        <f t="shared" si="9"/>
        <v>29686.712185487278</v>
      </c>
      <c r="Z54" s="6">
        <f t="shared" si="10"/>
        <v>143.33361688733015</v>
      </c>
      <c r="AA54" s="6">
        <f t="shared" si="11"/>
        <v>8.5475987812970132E-3</v>
      </c>
      <c r="AB54">
        <f t="shared" si="12"/>
        <v>0</v>
      </c>
      <c r="AD54" s="6">
        <f t="shared" si="22"/>
        <v>117868.49041187718</v>
      </c>
      <c r="AG54">
        <f t="shared" si="13"/>
        <v>82186.032928509332</v>
      </c>
      <c r="AH54">
        <f t="shared" si="14"/>
        <v>5850.3517096869464</v>
      </c>
      <c r="AI54">
        <f t="shared" si="15"/>
        <v>2.0514237075112827</v>
      </c>
      <c r="AL54">
        <f t="shared" si="23"/>
        <v>0.99433514499911324</v>
      </c>
      <c r="AM54">
        <f t="shared" si="20"/>
        <v>0.90668069547597829</v>
      </c>
      <c r="AO54">
        <v>52</v>
      </c>
      <c r="AP54">
        <v>0.99724390903897697</v>
      </c>
      <c r="AQ54">
        <v>0.90336643983202902</v>
      </c>
    </row>
    <row r="55" spans="1:43" x14ac:dyDescent="0.35">
      <c r="G55">
        <f>SUM(Q2:Q752)</f>
        <v>0</v>
      </c>
      <c r="J55">
        <f>SUM(T2:T752)</f>
        <v>0</v>
      </c>
      <c r="M55">
        <f>SUM(W2:W752)</f>
        <v>0</v>
      </c>
      <c r="N55">
        <f t="shared" si="24"/>
        <v>53</v>
      </c>
      <c r="O55" s="6">
        <f t="shared" si="17"/>
        <v>267167.05064890214</v>
      </c>
      <c r="P55">
        <f t="shared" si="0"/>
        <v>13.358352532445107</v>
      </c>
      <c r="Q55">
        <f t="shared" si="1"/>
        <v>0</v>
      </c>
      <c r="R55" s="6">
        <f t="shared" si="18"/>
        <v>1282.2625366740565</v>
      </c>
      <c r="S55">
        <f t="shared" si="2"/>
        <v>7.6935752200443392</v>
      </c>
      <c r="T55">
        <f t="shared" si="3"/>
        <v>0</v>
      </c>
      <c r="U55" s="6">
        <f t="shared" si="19"/>
        <v>6.5389130676922161E-2</v>
      </c>
      <c r="V55">
        <f t="shared" si="4"/>
        <v>9.8083696015383234E-3</v>
      </c>
      <c r="W55">
        <f t="shared" si="5"/>
        <v>0</v>
      </c>
      <c r="X55">
        <f t="shared" si="21"/>
        <v>268449.37857470685</v>
      </c>
      <c r="Y55" s="6">
        <f t="shared" si="9"/>
        <v>29685.227849878003</v>
      </c>
      <c r="Z55" s="6">
        <f t="shared" si="10"/>
        <v>142.47361518600616</v>
      </c>
      <c r="AA55" s="6">
        <f t="shared" si="11"/>
        <v>7.2654589641024617E-3</v>
      </c>
      <c r="AB55">
        <f t="shared" si="12"/>
        <v>0</v>
      </c>
      <c r="AD55" s="6">
        <f t="shared" si="22"/>
        <v>117826.62566696608</v>
      </c>
      <c r="AG55">
        <f t="shared" si="13"/>
        <v>82181.923626862903</v>
      </c>
      <c r="AH55">
        <f t="shared" si="14"/>
        <v>5815.2495994288247</v>
      </c>
      <c r="AI55">
        <f t="shared" si="15"/>
        <v>1.7437101513845903</v>
      </c>
      <c r="AL55">
        <f t="shared" si="23"/>
        <v>0.99425695768409939</v>
      </c>
      <c r="AM55">
        <f t="shared" si="20"/>
        <v>0.90635865897666212</v>
      </c>
      <c r="AO55">
        <v>53</v>
      </c>
      <c r="AP55">
        <v>0.99719379829423105</v>
      </c>
      <c r="AQ55">
        <v>0.90294550957616304</v>
      </c>
    </row>
    <row r="56" spans="1:43" x14ac:dyDescent="0.35">
      <c r="N56">
        <f t="shared" si="24"/>
        <v>54</v>
      </c>
      <c r="O56" s="6">
        <f t="shared" si="17"/>
        <v>267153.6922963697</v>
      </c>
      <c r="P56">
        <f t="shared" si="0"/>
        <v>13.357684614818485</v>
      </c>
      <c r="Q56">
        <f t="shared" si="1"/>
        <v>0</v>
      </c>
      <c r="R56" s="6">
        <f t="shared" si="18"/>
        <v>1274.5689614540122</v>
      </c>
      <c r="S56">
        <f t="shared" si="2"/>
        <v>7.6474137687240731</v>
      </c>
      <c r="T56">
        <f t="shared" si="3"/>
        <v>0</v>
      </c>
      <c r="U56" s="6">
        <f t="shared" si="19"/>
        <v>5.5580761075383837E-2</v>
      </c>
      <c r="V56">
        <f t="shared" si="4"/>
        <v>8.3371141613075746E-3</v>
      </c>
      <c r="W56">
        <f t="shared" si="5"/>
        <v>0</v>
      </c>
      <c r="X56">
        <f t="shared" si="21"/>
        <v>268428.31683858478</v>
      </c>
      <c r="Y56" s="6">
        <f t="shared" si="9"/>
        <v>29683.743588485508</v>
      </c>
      <c r="Z56" s="6">
        <f t="shared" si="10"/>
        <v>141.61877349489012</v>
      </c>
      <c r="AA56" s="6">
        <f t="shared" si="11"/>
        <v>6.1756401194870926E-3</v>
      </c>
      <c r="AB56">
        <f t="shared" si="12"/>
        <v>0</v>
      </c>
      <c r="AD56" s="6">
        <f t="shared" si="22"/>
        <v>117785.02332376302</v>
      </c>
      <c r="AG56">
        <f t="shared" si="13"/>
        <v>82177.814530681557</v>
      </c>
      <c r="AH56">
        <f t="shared" si="14"/>
        <v>5780.358101832252</v>
      </c>
      <c r="AI56">
        <f t="shared" si="15"/>
        <v>1.4821536286769017</v>
      </c>
      <c r="AL56">
        <f t="shared" si="23"/>
        <v>0.99417895125401767</v>
      </c>
      <c r="AM56">
        <f t="shared" si="20"/>
        <v>0.90603864095202324</v>
      </c>
      <c r="AO56">
        <v>54</v>
      </c>
      <c r="AP56">
        <v>0.99713366540053505</v>
      </c>
      <c r="AQ56">
        <v>0.90266488940558598</v>
      </c>
    </row>
    <row r="57" spans="1:43" ht="29" x14ac:dyDescent="0.35">
      <c r="I57" s="2" t="s">
        <v>33</v>
      </c>
      <c r="J57">
        <f>G55+J55+M55</f>
        <v>0</v>
      </c>
      <c r="N57">
        <f t="shared" si="24"/>
        <v>55</v>
      </c>
      <c r="O57" s="6">
        <f t="shared" si="17"/>
        <v>267140.33461175486</v>
      </c>
      <c r="P57">
        <f t="shared" si="0"/>
        <v>13.357016730587745</v>
      </c>
      <c r="Q57">
        <f t="shared" si="1"/>
        <v>0</v>
      </c>
      <c r="R57" s="6">
        <f t="shared" si="18"/>
        <v>1266.921547685288</v>
      </c>
      <c r="S57">
        <f t="shared" si="2"/>
        <v>7.6015292861117283</v>
      </c>
      <c r="T57">
        <f t="shared" si="3"/>
        <v>0</v>
      </c>
      <c r="U57" s="6">
        <f t="shared" si="19"/>
        <v>4.7243646914076259E-2</v>
      </c>
      <c r="V57">
        <f t="shared" si="4"/>
        <v>7.0865470371114384E-3</v>
      </c>
      <c r="W57">
        <f t="shared" si="5"/>
        <v>0</v>
      </c>
      <c r="X57">
        <f t="shared" si="21"/>
        <v>268407.30340308708</v>
      </c>
      <c r="Y57" s="6">
        <f t="shared" si="9"/>
        <v>29682.259401306084</v>
      </c>
      <c r="Z57" s="6">
        <f t="shared" si="10"/>
        <v>140.76906085392079</v>
      </c>
      <c r="AA57" s="6">
        <f t="shared" si="11"/>
        <v>5.2492941015640287E-3</v>
      </c>
      <c r="AB57">
        <f t="shared" si="12"/>
        <v>0</v>
      </c>
      <c r="AD57" s="6">
        <f t="shared" si="22"/>
        <v>117743.67513521475</v>
      </c>
      <c r="AG57">
        <f t="shared" si="13"/>
        <v>82173.70563995502</v>
      </c>
      <c r="AH57">
        <f t="shared" si="14"/>
        <v>5745.6759532212582</v>
      </c>
      <c r="AI57">
        <f t="shared" si="15"/>
        <v>1.2598305843753665</v>
      </c>
      <c r="AL57">
        <f t="shared" si="23"/>
        <v>0.99410112371513737</v>
      </c>
      <c r="AM57">
        <f t="shared" si="20"/>
        <v>0.90572057796319039</v>
      </c>
      <c r="AO57">
        <v>55</v>
      </c>
      <c r="AP57">
        <v>0.99708021393947299</v>
      </c>
      <c r="AQ57">
        <v>0.902243959149721</v>
      </c>
    </row>
    <row r="58" spans="1:43" x14ac:dyDescent="0.35">
      <c r="N58">
        <f t="shared" si="24"/>
        <v>56</v>
      </c>
      <c r="O58" s="6">
        <f t="shared" si="17"/>
        <v>267126.97759502428</v>
      </c>
      <c r="P58">
        <f t="shared" si="0"/>
        <v>13.356348879751215</v>
      </c>
      <c r="Q58">
        <f t="shared" si="1"/>
        <v>0</v>
      </c>
      <c r="R58" s="6">
        <f t="shared" si="18"/>
        <v>1259.3200183991762</v>
      </c>
      <c r="S58">
        <f t="shared" si="2"/>
        <v>7.5559201103950571</v>
      </c>
      <c r="T58">
        <f t="shared" si="3"/>
        <v>0</v>
      </c>
      <c r="U58" s="6">
        <f t="shared" si="19"/>
        <v>4.0157099876964822E-2</v>
      </c>
      <c r="V58">
        <f t="shared" si="4"/>
        <v>6.0235649815447235E-3</v>
      </c>
      <c r="W58">
        <f t="shared" si="5"/>
        <v>0</v>
      </c>
      <c r="X58">
        <f t="shared" si="21"/>
        <v>268386.33777052333</v>
      </c>
      <c r="Y58" s="6">
        <f t="shared" si="9"/>
        <v>29680.775288336019</v>
      </c>
      <c r="Z58" s="6">
        <f t="shared" si="10"/>
        <v>139.92444648879726</v>
      </c>
      <c r="AA58" s="6">
        <f t="shared" si="11"/>
        <v>4.4618999863294245E-3</v>
      </c>
      <c r="AB58">
        <f t="shared" si="12"/>
        <v>0</v>
      </c>
      <c r="AD58" s="6">
        <f t="shared" si="22"/>
        <v>117702.57390489646</v>
      </c>
      <c r="AG58">
        <f t="shared" si="13"/>
        <v>82169.596954673019</v>
      </c>
      <c r="AH58">
        <f t="shared" si="14"/>
        <v>5711.2018975019309</v>
      </c>
      <c r="AI58">
        <f t="shared" si="15"/>
        <v>1.0708559967190616</v>
      </c>
      <c r="AL58">
        <f t="shared" si="23"/>
        <v>0.99402347322416051</v>
      </c>
      <c r="AM58">
        <f t="shared" si="20"/>
        <v>0.90540441465304966</v>
      </c>
      <c r="AO58">
        <v>56</v>
      </c>
      <c r="AP58">
        <v>0.99701005889682903</v>
      </c>
      <c r="AQ58">
        <v>0.90195331683019497</v>
      </c>
    </row>
    <row r="59" spans="1:43" ht="58" x14ac:dyDescent="0.35">
      <c r="L59" s="2" t="s">
        <v>38</v>
      </c>
      <c r="M59">
        <f>SUM(AB2:AB752)</f>
        <v>0</v>
      </c>
      <c r="N59">
        <f t="shared" si="24"/>
        <v>57</v>
      </c>
      <c r="O59" s="6">
        <f t="shared" si="17"/>
        <v>267113.62124614452</v>
      </c>
      <c r="P59">
        <f t="shared" si="0"/>
        <v>13.355681062307227</v>
      </c>
      <c r="Q59">
        <f t="shared" si="1"/>
        <v>0</v>
      </c>
      <c r="R59" s="6">
        <f t="shared" si="18"/>
        <v>1251.764098288781</v>
      </c>
      <c r="S59">
        <f t="shared" si="2"/>
        <v>7.5105845897326864</v>
      </c>
      <c r="T59">
        <f t="shared" si="3"/>
        <v>0</v>
      </c>
      <c r="U59" s="6">
        <f t="shared" si="19"/>
        <v>3.4133534895420099E-2</v>
      </c>
      <c r="V59">
        <f t="shared" si="4"/>
        <v>5.1200302343130145E-3</v>
      </c>
      <c r="W59">
        <f t="shared" si="5"/>
        <v>0</v>
      </c>
      <c r="X59">
        <f t="shared" si="21"/>
        <v>268365.41947796819</v>
      </c>
      <c r="Y59" s="6">
        <f t="shared" si="9"/>
        <v>29679.291249571601</v>
      </c>
      <c r="Z59" s="6">
        <f t="shared" si="10"/>
        <v>139.08489980986448</v>
      </c>
      <c r="AA59" s="6">
        <f t="shared" si="11"/>
        <v>3.7926149883800108E-3</v>
      </c>
      <c r="AB59">
        <f t="shared" si="12"/>
        <v>0</v>
      </c>
      <c r="AD59" s="6">
        <f t="shared" si="22"/>
        <v>117661.71333053586</v>
      </c>
      <c r="AG59">
        <f t="shared" si="13"/>
        <v>82165.488474825281</v>
      </c>
      <c r="AH59">
        <f t="shared" si="14"/>
        <v>5676.9346861169197</v>
      </c>
      <c r="AI59">
        <f t="shared" si="15"/>
        <v>0.91022759721120239</v>
      </c>
      <c r="AL59">
        <f t="shared" si="23"/>
        <v>0.99394599806654882</v>
      </c>
      <c r="AM59">
        <f t="shared" si="20"/>
        <v>0.90509010254258349</v>
      </c>
      <c r="AO59">
        <v>57</v>
      </c>
      <c r="AP59">
        <v>0.99693656313786805</v>
      </c>
      <c r="AQ59">
        <v>0.90162258591487199</v>
      </c>
    </row>
    <row r="60" spans="1:43" x14ac:dyDescent="0.35">
      <c r="A60" s="15" t="s">
        <v>42</v>
      </c>
      <c r="B60" t="s">
        <v>57</v>
      </c>
      <c r="N60">
        <f t="shared" si="24"/>
        <v>58</v>
      </c>
      <c r="O60" s="6">
        <f t="shared" si="17"/>
        <v>267100.2655650822</v>
      </c>
      <c r="P60">
        <f t="shared" si="0"/>
        <v>13.355013278254111</v>
      </c>
      <c r="Q60">
        <f t="shared" si="1"/>
        <v>0</v>
      </c>
      <c r="R60" s="6">
        <f t="shared" si="18"/>
        <v>1244.2535136990484</v>
      </c>
      <c r="S60">
        <f t="shared" si="2"/>
        <v>7.4655210821942903</v>
      </c>
      <c r="T60">
        <f t="shared" si="3"/>
        <v>0</v>
      </c>
      <c r="U60" s="6">
        <f t="shared" si="19"/>
        <v>2.9013504661107085E-2</v>
      </c>
      <c r="V60">
        <f t="shared" si="4"/>
        <v>4.3520256991660625E-3</v>
      </c>
      <c r="W60">
        <f t="shared" si="5"/>
        <v>0</v>
      </c>
      <c r="X60">
        <f t="shared" si="21"/>
        <v>268344.54809228593</v>
      </c>
      <c r="Y60" s="6">
        <f t="shared" si="9"/>
        <v>29677.807285009123</v>
      </c>
      <c r="Z60" s="6">
        <f t="shared" si="10"/>
        <v>138.2503904110053</v>
      </c>
      <c r="AA60" s="6">
        <f t="shared" si="11"/>
        <v>3.2237227401230089E-3</v>
      </c>
      <c r="AB60">
        <f t="shared" si="12"/>
        <v>0</v>
      </c>
      <c r="AD60" s="6">
        <f t="shared" si="22"/>
        <v>117621.08787100225</v>
      </c>
      <c r="AG60">
        <f t="shared" si="13"/>
        <v>82161.380200401545</v>
      </c>
      <c r="AH60">
        <f t="shared" si="14"/>
        <v>5642.8730780002179</v>
      </c>
      <c r="AI60">
        <f t="shared" si="15"/>
        <v>0.77369345762952202</v>
      </c>
      <c r="AL60">
        <f t="shared" si="23"/>
        <v>0.99386869663809607</v>
      </c>
      <c r="AM60">
        <f t="shared" si="20"/>
        <v>0.9047775990077096</v>
      </c>
      <c r="AO60">
        <v>58</v>
      </c>
      <c r="AP60">
        <v>0.99688311167680599</v>
      </c>
      <c r="AQ60">
        <v>0.901321921446396</v>
      </c>
    </row>
    <row r="61" spans="1:43" ht="58" x14ac:dyDescent="0.35">
      <c r="A61" s="2" t="s">
        <v>0</v>
      </c>
      <c r="B61" s="2" t="s">
        <v>2</v>
      </c>
      <c r="C61" s="2" t="s">
        <v>8</v>
      </c>
      <c r="D61" s="2" t="s">
        <v>10</v>
      </c>
      <c r="E61" s="2" t="s">
        <v>13</v>
      </c>
      <c r="F61" s="2" t="s">
        <v>27</v>
      </c>
      <c r="G61" s="2" t="s">
        <v>28</v>
      </c>
      <c r="H61" s="2" t="s">
        <v>30</v>
      </c>
      <c r="I61" s="2" t="s">
        <v>32</v>
      </c>
      <c r="N61">
        <f t="shared" si="24"/>
        <v>59</v>
      </c>
      <c r="O61" s="6">
        <f t="shared" si="17"/>
        <v>267086.91055180394</v>
      </c>
      <c r="P61">
        <f t="shared" si="0"/>
        <v>13.354345527590198</v>
      </c>
      <c r="Q61">
        <f t="shared" si="1"/>
        <v>0</v>
      </c>
      <c r="R61" s="6">
        <f t="shared" si="18"/>
        <v>1236.7879926168541</v>
      </c>
      <c r="S61">
        <f t="shared" si="2"/>
        <v>7.4207279557011248</v>
      </c>
      <c r="T61">
        <f t="shared" si="3"/>
        <v>0</v>
      </c>
      <c r="U61" s="6">
        <f t="shared" si="19"/>
        <v>2.466147896194102E-2</v>
      </c>
      <c r="V61">
        <f t="shared" si="4"/>
        <v>3.699221844291153E-3</v>
      </c>
      <c r="W61">
        <f t="shared" si="5"/>
        <v>0</v>
      </c>
      <c r="X61">
        <f t="shared" si="21"/>
        <v>268323.72320589976</v>
      </c>
      <c r="Y61" s="6">
        <f t="shared" si="9"/>
        <v>29676.323394644871</v>
      </c>
      <c r="Z61" s="6">
        <f t="shared" si="10"/>
        <v>137.42088806853926</v>
      </c>
      <c r="AA61" s="6">
        <f t="shared" si="11"/>
        <v>2.7401643291045576E-3</v>
      </c>
      <c r="AB61">
        <f t="shared" si="12"/>
        <v>0</v>
      </c>
      <c r="AD61" s="6">
        <f t="shared" si="22"/>
        <v>117580.69263324047</v>
      </c>
      <c r="AG61">
        <f t="shared" si="13"/>
        <v>82157.272131391524</v>
      </c>
      <c r="AH61">
        <f t="shared" si="14"/>
        <v>5609.0158395322169</v>
      </c>
      <c r="AI61">
        <f t="shared" si="15"/>
        <v>0.65763943898509369</v>
      </c>
      <c r="AL61">
        <f t="shared" si="23"/>
        <v>0.99379156742925834</v>
      </c>
      <c r="AM61">
        <f t="shared" si="20"/>
        <v>0.9044668664095421</v>
      </c>
      <c r="AO61">
        <v>59</v>
      </c>
      <c r="AP61">
        <v>0.99683634164837698</v>
      </c>
      <c r="AQ61">
        <v>0.90104130127581905</v>
      </c>
    </row>
    <row r="62" spans="1:43" x14ac:dyDescent="0.35">
      <c r="B62" t="s">
        <v>3</v>
      </c>
      <c r="C62" s="4">
        <v>0.7</v>
      </c>
      <c r="D62" s="10">
        <f>C62/C65</f>
        <v>0.93333333333333324</v>
      </c>
      <c r="E62">
        <f>$A$15*C62</f>
        <v>280000</v>
      </c>
      <c r="F62" s="4">
        <v>3.0000000000000001E-5</v>
      </c>
      <c r="G62" s="4">
        <v>0.95</v>
      </c>
      <c r="H62" s="4">
        <v>1.4999999999999999E-4</v>
      </c>
      <c r="I62" s="4">
        <v>0.9</v>
      </c>
      <c r="N62">
        <f t="shared" si="24"/>
        <v>60</v>
      </c>
      <c r="O62" s="6">
        <f t="shared" si="17"/>
        <v>267073.55620627635</v>
      </c>
      <c r="P62">
        <f t="shared" si="0"/>
        <v>13.353677810313819</v>
      </c>
      <c r="Q62">
        <f t="shared" si="1"/>
        <v>0</v>
      </c>
      <c r="R62" s="6">
        <f t="shared" si="18"/>
        <v>1229.3672646611531</v>
      </c>
      <c r="S62">
        <f t="shared" si="2"/>
        <v>7.3762035879669181</v>
      </c>
      <c r="T62">
        <f t="shared" si="3"/>
        <v>0</v>
      </c>
      <c r="U62" s="6">
        <f t="shared" si="19"/>
        <v>2.0962257117649867E-2</v>
      </c>
      <c r="V62">
        <f t="shared" si="4"/>
        <v>3.1443385676474798E-3</v>
      </c>
      <c r="W62">
        <f t="shared" si="5"/>
        <v>0</v>
      </c>
      <c r="X62">
        <f t="shared" si="21"/>
        <v>268302.94443319464</v>
      </c>
      <c r="Y62" s="6">
        <f t="shared" si="9"/>
        <v>29674.839578475137</v>
      </c>
      <c r="Z62" s="6">
        <f t="shared" si="10"/>
        <v>136.59636274012803</v>
      </c>
      <c r="AA62" s="6">
        <f t="shared" si="11"/>
        <v>2.3291396797388742E-3</v>
      </c>
      <c r="AB62">
        <f t="shared" si="12"/>
        <v>0</v>
      </c>
      <c r="AD62" s="6">
        <f t="shared" si="22"/>
        <v>117540.52327615807</v>
      </c>
      <c r="AG62">
        <f t="shared" si="13"/>
        <v>82153.16426778496</v>
      </c>
      <c r="AH62">
        <f t="shared" si="14"/>
        <v>5575.3617444950232</v>
      </c>
      <c r="AI62">
        <f t="shared" si="15"/>
        <v>0.55899352313732964</v>
      </c>
      <c r="AL62">
        <f t="shared" si="23"/>
        <v>0.99371460901183206</v>
      </c>
      <c r="AM62">
        <f t="shared" si="20"/>
        <v>0.90415787135506209</v>
      </c>
      <c r="AO62">
        <v>60</v>
      </c>
      <c r="AP62">
        <v>0.99677286803836596</v>
      </c>
      <c r="AQ62">
        <v>0.90078072540314102</v>
      </c>
    </row>
    <row r="63" spans="1:43" x14ac:dyDescent="0.35">
      <c r="A63" t="s">
        <v>1</v>
      </c>
      <c r="B63" t="s">
        <v>5</v>
      </c>
      <c r="C63" s="4">
        <v>4.9000000000000002E-2</v>
      </c>
      <c r="D63" s="10">
        <f>C63/C65</f>
        <v>6.533333333333334E-2</v>
      </c>
      <c r="E63">
        <f>$A$15*C63</f>
        <v>19600</v>
      </c>
      <c r="F63" s="4">
        <v>2E-3</v>
      </c>
      <c r="G63" s="4">
        <v>0.5</v>
      </c>
      <c r="H63" s="4">
        <v>5.0000000000000001E-4</v>
      </c>
      <c r="I63" s="4">
        <v>0.7</v>
      </c>
      <c r="N63">
        <f t="shared" si="24"/>
        <v>61</v>
      </c>
      <c r="O63" s="6">
        <f t="shared" si="17"/>
        <v>267060.20252846606</v>
      </c>
      <c r="P63">
        <f t="shared" si="0"/>
        <v>13.353010126423303</v>
      </c>
      <c r="Q63">
        <f t="shared" si="1"/>
        <v>0</v>
      </c>
      <c r="R63" s="6">
        <f t="shared" si="18"/>
        <v>1221.9910610731861</v>
      </c>
      <c r="S63">
        <f t="shared" si="2"/>
        <v>7.3319463664391167</v>
      </c>
      <c r="T63">
        <f t="shared" si="3"/>
        <v>0</v>
      </c>
      <c r="U63" s="6">
        <f t="shared" si="19"/>
        <v>1.7817918550002386E-2</v>
      </c>
      <c r="V63">
        <f t="shared" si="4"/>
        <v>2.6726877825003579E-3</v>
      </c>
      <c r="W63">
        <f t="shared" si="5"/>
        <v>0</v>
      </c>
      <c r="X63">
        <f t="shared" si="21"/>
        <v>268282.21140745783</v>
      </c>
      <c r="Y63" s="6">
        <f t="shared" si="9"/>
        <v>29673.355836496212</v>
      </c>
      <c r="Z63" s="6">
        <f t="shared" si="10"/>
        <v>135.77678456368727</v>
      </c>
      <c r="AA63" s="6">
        <f t="shared" si="11"/>
        <v>1.9797687277780429E-3</v>
      </c>
      <c r="AB63">
        <f t="shared" si="12"/>
        <v>0</v>
      </c>
      <c r="AD63" s="6">
        <f t="shared" si="22"/>
        <v>117500.5759289229</v>
      </c>
      <c r="AG63">
        <f t="shared" si="13"/>
        <v>82149.056609571577</v>
      </c>
      <c r="AH63">
        <f t="shared" si="14"/>
        <v>5541.9095740280527</v>
      </c>
      <c r="AI63">
        <f t="shared" si="15"/>
        <v>0.4751444946667302</v>
      </c>
      <c r="AL63">
        <f t="shared" si="23"/>
        <v>0.99363782002762158</v>
      </c>
      <c r="AM63">
        <f t="shared" si="20"/>
        <v>0.90385058406863772</v>
      </c>
      <c r="AO63">
        <v>61</v>
      </c>
      <c r="AP63">
        <v>0.99670939442835405</v>
      </c>
      <c r="AQ63">
        <v>0.900490083083615</v>
      </c>
    </row>
    <row r="64" spans="1:43" x14ac:dyDescent="0.35">
      <c r="B64" t="s">
        <v>4</v>
      </c>
      <c r="C64" s="4">
        <v>1E-3</v>
      </c>
      <c r="D64" s="10">
        <f>C64/C65</f>
        <v>1.3333333333333333E-3</v>
      </c>
      <c r="E64">
        <f>$A$15*C64</f>
        <v>400</v>
      </c>
      <c r="F64" s="4">
        <v>0.1</v>
      </c>
      <c r="G64" s="4">
        <v>0.3</v>
      </c>
      <c r="H64" s="4">
        <v>0.1</v>
      </c>
      <c r="I64" s="4">
        <v>0.7</v>
      </c>
      <c r="N64">
        <f t="shared" si="24"/>
        <v>62</v>
      </c>
      <c r="O64" s="6">
        <f t="shared" si="17"/>
        <v>267046.84951833962</v>
      </c>
      <c r="P64">
        <f t="shared" si="0"/>
        <v>13.352342475916981</v>
      </c>
      <c r="Q64">
        <f t="shared" si="1"/>
        <v>0</v>
      </c>
      <c r="R64" s="6">
        <f t="shared" si="18"/>
        <v>1214.659114706747</v>
      </c>
      <c r="S64">
        <f t="shared" si="2"/>
        <v>7.2879546882404824</v>
      </c>
      <c r="T64">
        <f t="shared" si="3"/>
        <v>0</v>
      </c>
      <c r="U64" s="6">
        <f t="shared" si="19"/>
        <v>1.5145230767502028E-2</v>
      </c>
      <c r="V64">
        <f t="shared" si="4"/>
        <v>2.2717846151253042E-3</v>
      </c>
      <c r="W64">
        <f t="shared" si="5"/>
        <v>0</v>
      </c>
      <c r="X64">
        <f t="shared" si="21"/>
        <v>268261.5237782771</v>
      </c>
      <c r="Y64" s="6">
        <f t="shared" si="9"/>
        <v>29671.872168704387</v>
      </c>
      <c r="Z64" s="6">
        <f t="shared" si="10"/>
        <v>134.96212385630514</v>
      </c>
      <c r="AA64" s="6">
        <f t="shared" si="11"/>
        <v>1.6828034186113364E-3</v>
      </c>
      <c r="AB64">
        <f t="shared" si="12"/>
        <v>0</v>
      </c>
      <c r="AD64" s="6">
        <f t="shared" si="22"/>
        <v>117460.84712150956</v>
      </c>
      <c r="AG64">
        <f t="shared" si="13"/>
        <v>82144.949156741102</v>
      </c>
      <c r="AH64">
        <f t="shared" si="14"/>
        <v>5508.6581165838843</v>
      </c>
      <c r="AI64">
        <f t="shared" si="15"/>
        <v>0.40387282046672068</v>
      </c>
      <c r="AL64">
        <f t="shared" si="23"/>
        <v>0.99356119917880403</v>
      </c>
      <c r="AM64">
        <f t="shared" si="20"/>
        <v>0.90354497785776589</v>
      </c>
      <c r="AO64">
        <v>62</v>
      </c>
      <c r="AP64">
        <v>0.99665928368360801</v>
      </c>
      <c r="AQ64">
        <v>0.90014933001934205</v>
      </c>
    </row>
    <row r="65" spans="1:43" x14ac:dyDescent="0.35">
      <c r="B65" s="3" t="s">
        <v>7</v>
      </c>
      <c r="C65" s="9">
        <f>SUM(C62:C64)</f>
        <v>0.75</v>
      </c>
      <c r="D65">
        <f>SUM(D62:D64)</f>
        <v>0.99999999999999989</v>
      </c>
      <c r="E65">
        <f>A74*C65</f>
        <v>300000</v>
      </c>
      <c r="G65" s="11">
        <f>D62*G62+D63*G63+D64*G64</f>
        <v>0.91973333333333307</v>
      </c>
      <c r="N65">
        <f t="shared" si="24"/>
        <v>63</v>
      </c>
      <c r="O65" s="6">
        <f t="shared" si="17"/>
        <v>267033.49717586371</v>
      </c>
      <c r="P65">
        <f t="shared" si="0"/>
        <v>13.351674858793187</v>
      </c>
      <c r="Q65">
        <f t="shared" si="1"/>
        <v>0</v>
      </c>
      <c r="R65" s="6">
        <f t="shared" si="18"/>
        <v>1207.3711600185065</v>
      </c>
      <c r="S65">
        <f t="shared" si="2"/>
        <v>7.2442269601110398</v>
      </c>
      <c r="T65">
        <f t="shared" si="3"/>
        <v>0</v>
      </c>
      <c r="U65" s="6">
        <f t="shared" si="19"/>
        <v>1.2873446152376724E-2</v>
      </c>
      <c r="V65">
        <f t="shared" si="4"/>
        <v>1.9310169228565085E-3</v>
      </c>
      <c r="W65">
        <f t="shared" si="5"/>
        <v>0</v>
      </c>
      <c r="X65">
        <f t="shared" si="21"/>
        <v>268240.88120932836</v>
      </c>
      <c r="Y65" s="6">
        <f t="shared" si="9"/>
        <v>29670.388575095953</v>
      </c>
      <c r="Z65" s="6">
        <f t="shared" si="10"/>
        <v>134.1523511131673</v>
      </c>
      <c r="AA65" s="6">
        <f t="shared" si="11"/>
        <v>1.4303829058196359E-3</v>
      </c>
      <c r="AB65">
        <f t="shared" si="12"/>
        <v>0</v>
      </c>
      <c r="AD65" s="6">
        <f t="shared" si="22"/>
        <v>117421.33372565707</v>
      </c>
      <c r="AG65">
        <f t="shared" si="13"/>
        <v>82140.841909283263</v>
      </c>
      <c r="AH65">
        <f t="shared" si="14"/>
        <v>5475.6061678843807</v>
      </c>
      <c r="AI65">
        <f t="shared" si="15"/>
        <v>0.34329189739671256</v>
      </c>
      <c r="AL65">
        <f t="shared" si="23"/>
        <v>0.99348474521973473</v>
      </c>
      <c r="AM65">
        <f t="shared" si="20"/>
        <v>0.90324102865890055</v>
      </c>
      <c r="AO65">
        <v>63</v>
      </c>
      <c r="AP65">
        <v>0.99658912864096205</v>
      </c>
      <c r="AQ65">
        <v>0.89983864340191799</v>
      </c>
    </row>
    <row r="66" spans="1:43" x14ac:dyDescent="0.35">
      <c r="B66" t="s">
        <v>3</v>
      </c>
      <c r="C66" s="4">
        <v>0.20899999999999999</v>
      </c>
      <c r="D66" s="10">
        <f>C66/C69</f>
        <v>0.83600000000000008</v>
      </c>
      <c r="E66">
        <f>$A$15*C66</f>
        <v>83600</v>
      </c>
      <c r="F66" s="4">
        <v>3.0000000000000001E-5</v>
      </c>
      <c r="G66" s="5" t="s">
        <v>15</v>
      </c>
      <c r="H66" s="4">
        <v>1.5E-5</v>
      </c>
      <c r="I66" s="5" t="s">
        <v>15</v>
      </c>
      <c r="N66">
        <f t="shared" si="24"/>
        <v>64</v>
      </c>
      <c r="O66" s="6">
        <f t="shared" si="17"/>
        <v>267020.14550100494</v>
      </c>
      <c r="P66">
        <f t="shared" ref="P66:P129" si="25">IF(N66&lt;$H$12,O66*($F$3+$H$3),O66*$F$3)</f>
        <v>13.351007275050248</v>
      </c>
      <c r="Q66">
        <f t="shared" ref="Q66:Q129" si="26">IF(N66&lt;$H$12,P66*$I$3,0)</f>
        <v>0</v>
      </c>
      <c r="R66" s="6">
        <f t="shared" si="18"/>
        <v>1200.1269330583955</v>
      </c>
      <c r="S66">
        <f t="shared" ref="S66:S129" si="27">IF(N66&lt;$H$12,R66*($F$4+$H$4),R66*$F$4)</f>
        <v>7.2007615983503728</v>
      </c>
      <c r="T66">
        <f t="shared" ref="T66:T129" si="28">IF(N66&lt;$H$12,S66*$I$4,0)</f>
        <v>0</v>
      </c>
      <c r="U66" s="6">
        <f t="shared" si="19"/>
        <v>1.0942429229520215E-2</v>
      </c>
      <c r="V66">
        <f t="shared" ref="V66:V129" si="29">IF(N66&lt;$H$12,U66*($F$5+$H$5),U66*$F$5)</f>
        <v>1.6413643844280324E-3</v>
      </c>
      <c r="W66">
        <f t="shared" ref="W66:W129" si="30">IF(N66&lt;$H$12,V66*$I$5,0)</f>
        <v>0</v>
      </c>
      <c r="X66">
        <f t="shared" ref="X66:X97" si="31">O66+R66+U66-$J$57</f>
        <v>268220.28337649256</v>
      </c>
      <c r="Y66" s="6">
        <f t="shared" si="9"/>
        <v>29668.905055667197</v>
      </c>
      <c r="Z66" s="6">
        <f t="shared" si="10"/>
        <v>133.34743700648829</v>
      </c>
      <c r="AA66" s="6">
        <f t="shared" si="11"/>
        <v>1.2158254699466905E-3</v>
      </c>
      <c r="AB66">
        <f t="shared" si="12"/>
        <v>0</v>
      </c>
      <c r="AD66" s="6">
        <f t="shared" ref="AD66:AD97" si="32">Y66+Z66+AA66+AG66+AH66+AI66-AB66+$M$59</f>
        <v>117382.0329046768</v>
      </c>
      <c r="AG66">
        <f t="shared" si="13"/>
        <v>82136.734867187799</v>
      </c>
      <c r="AH66">
        <f t="shared" si="14"/>
        <v>5442.7525308770746</v>
      </c>
      <c r="AI66">
        <f t="shared" si="15"/>
        <v>0.29179811278720569</v>
      </c>
      <c r="AL66">
        <f t="shared" ref="AL66:AL97" si="33">X66/$X$2</f>
        <v>0.99340845694997248</v>
      </c>
      <c r="AM66">
        <f t="shared" si="20"/>
        <v>0.90293871465136</v>
      </c>
      <c r="AO66">
        <v>64</v>
      </c>
      <c r="AP66">
        <v>0.99654235861253404</v>
      </c>
      <c r="AQ66">
        <v>0.89950791248659501</v>
      </c>
    </row>
    <row r="67" spans="1:43" x14ac:dyDescent="0.35">
      <c r="A67" t="s">
        <v>6</v>
      </c>
      <c r="B67" t="s">
        <v>5</v>
      </c>
      <c r="C67" s="4">
        <v>0.02</v>
      </c>
      <c r="D67" s="10">
        <f>C67/C69</f>
        <v>8.0000000000000016E-2</v>
      </c>
      <c r="E67">
        <f>$A$15*C67</f>
        <v>8000</v>
      </c>
      <c r="F67" s="4">
        <v>2E-3</v>
      </c>
      <c r="G67" s="5" t="s">
        <v>15</v>
      </c>
      <c r="H67" s="4">
        <v>5.0000000000000004E-6</v>
      </c>
      <c r="I67" s="5" t="s">
        <v>15</v>
      </c>
      <c r="N67">
        <f t="shared" si="24"/>
        <v>65</v>
      </c>
      <c r="O67" s="6">
        <f t="shared" si="17"/>
        <v>267006.79449372989</v>
      </c>
      <c r="P67">
        <f t="shared" si="25"/>
        <v>13.350339724686496</v>
      </c>
      <c r="Q67">
        <f t="shared" si="26"/>
        <v>0</v>
      </c>
      <c r="R67" s="6">
        <f t="shared" si="18"/>
        <v>1192.926171460045</v>
      </c>
      <c r="S67">
        <f t="shared" si="27"/>
        <v>7.1575570287602703</v>
      </c>
      <c r="T67">
        <f t="shared" si="28"/>
        <v>0</v>
      </c>
      <c r="U67" s="6">
        <f t="shared" si="19"/>
        <v>9.3010648450921832E-3</v>
      </c>
      <c r="V67">
        <f t="shared" si="29"/>
        <v>1.3951597267638275E-3</v>
      </c>
      <c r="W67">
        <f t="shared" si="30"/>
        <v>0</v>
      </c>
      <c r="X67">
        <f t="shared" si="31"/>
        <v>268199.72996625479</v>
      </c>
      <c r="Y67" s="6">
        <f t="shared" ref="Y67:Y130" si="34">Y66-Y66*$F$3-Q67</f>
        <v>29667.421610414414</v>
      </c>
      <c r="Z67" s="6">
        <f t="shared" ref="Z67:Z130" si="35">Z66-Z66*$F$4</f>
        <v>132.54735238444937</v>
      </c>
      <c r="AA67" s="6">
        <f t="shared" ref="AA67:AA130" si="36">AA66-AA66*$F$5</f>
        <v>1.033451649454687E-3</v>
      </c>
      <c r="AB67">
        <f t="shared" ref="AB67:AB130" si="37">Q67+T67+W67</f>
        <v>0</v>
      </c>
      <c r="AD67" s="6">
        <f t="shared" si="32"/>
        <v>117342.94207078264</v>
      </c>
      <c r="AG67">
        <f t="shared" ref="AG67:AG130" si="38">IF(N66&lt;$H$12,AG66-AG66*($F$7+$H$7),AG66-AG66*$F$7)</f>
        <v>82132.628030444437</v>
      </c>
      <c r="AH67">
        <f t="shared" ref="AH67:AH130" si="39">IF(N66&lt;$H$12,AH66-AH66*($F$8+$H$8),AH66-AH66*$F$8)</f>
        <v>5410.0960156918118</v>
      </c>
      <c r="AI67">
        <f t="shared" ref="AI67:AI130" si="40">IF(N66&lt;$H$12,AI66-AI66*($F$9+$H$9),AI66-AI66*$F$9)</f>
        <v>0.24802839586912484</v>
      </c>
      <c r="AL67">
        <f t="shared" si="33"/>
        <v>0.99333233320835101</v>
      </c>
      <c r="AM67">
        <f t="shared" si="20"/>
        <v>0.9026380159290972</v>
      </c>
      <c r="AO67">
        <v>65</v>
      </c>
      <c r="AP67">
        <v>0.99648890715147098</v>
      </c>
      <c r="AQ67">
        <v>0.89923731446496702</v>
      </c>
    </row>
    <row r="68" spans="1:43" x14ac:dyDescent="0.35">
      <c r="B68" t="s">
        <v>4</v>
      </c>
      <c r="C68" s="4">
        <v>2.1000000000000001E-2</v>
      </c>
      <c r="D68" s="10">
        <f>C68/C69</f>
        <v>8.4000000000000019E-2</v>
      </c>
      <c r="E68">
        <f>$A$15*C68</f>
        <v>8400</v>
      </c>
      <c r="F68" s="4">
        <v>0.1</v>
      </c>
      <c r="G68" s="5" t="s">
        <v>15</v>
      </c>
      <c r="H68" s="4">
        <v>1E-3</v>
      </c>
      <c r="I68" s="5" t="s">
        <v>15</v>
      </c>
      <c r="N68">
        <f t="shared" si="24"/>
        <v>66</v>
      </c>
      <c r="O68" s="6">
        <f t="shared" ref="O68:O114" si="41">O67-(P67-Q67)</f>
        <v>266993.44415400521</v>
      </c>
      <c r="P68">
        <f t="shared" si="25"/>
        <v>13.349672207700261</v>
      </c>
      <c r="Q68">
        <f t="shared" si="26"/>
        <v>0</v>
      </c>
      <c r="R68" s="6">
        <f t="shared" ref="R68:R131" si="42">R67-(S67-T67)</f>
        <v>1185.7686144312847</v>
      </c>
      <c r="S68">
        <f t="shared" si="27"/>
        <v>7.1146116865877085</v>
      </c>
      <c r="T68">
        <f t="shared" si="28"/>
        <v>0</v>
      </c>
      <c r="U68" s="6">
        <f t="shared" ref="U68:U131" si="43">U67-(V67-W67)</f>
        <v>7.9059051183283553E-3</v>
      </c>
      <c r="V68">
        <f t="shared" si="29"/>
        <v>1.1858857677492533E-3</v>
      </c>
      <c r="W68">
        <f t="shared" si="30"/>
        <v>0</v>
      </c>
      <c r="X68">
        <f t="shared" si="31"/>
        <v>268179.2206743416</v>
      </c>
      <c r="Y68" s="6">
        <f t="shared" si="34"/>
        <v>29665.938239333893</v>
      </c>
      <c r="Z68" s="6">
        <f t="shared" si="35"/>
        <v>131.75206827014267</v>
      </c>
      <c r="AA68" s="6">
        <f t="shared" si="36"/>
        <v>8.78433902036484E-4</v>
      </c>
      <c r="AB68">
        <f t="shared" si="37"/>
        <v>0</v>
      </c>
      <c r="AD68" s="6">
        <f t="shared" si="32"/>
        <v>117304.05884881501</v>
      </c>
      <c r="AG68">
        <f t="shared" si="38"/>
        <v>82128.521399042918</v>
      </c>
      <c r="AH68">
        <f t="shared" si="39"/>
        <v>5377.6354395976605</v>
      </c>
      <c r="AI68">
        <f t="shared" si="40"/>
        <v>0.21082413648875611</v>
      </c>
      <c r="AL68">
        <f t="shared" si="33"/>
        <v>0.99325637286793189</v>
      </c>
      <c r="AM68">
        <f t="shared" ref="AM68:AM131" si="44">IF(AD68/$AD$2&lt;AM67,AD68/$AD$2,AM67)</f>
        <v>0.90233891422165391</v>
      </c>
      <c r="AO68">
        <v>66</v>
      </c>
      <c r="AP68">
        <v>0.99645215927199204</v>
      </c>
      <c r="AQ68">
        <v>0.89894667214544099</v>
      </c>
    </row>
    <row r="69" spans="1:43" x14ac:dyDescent="0.35">
      <c r="B69" s="3" t="s">
        <v>7</v>
      </c>
      <c r="C69" s="9">
        <f>SUM(C66:C68)</f>
        <v>0.24999999999999997</v>
      </c>
      <c r="D69" s="10">
        <f>SUM(D66:D68)</f>
        <v>1.0000000000000002</v>
      </c>
      <c r="E69">
        <f>C69*A74</f>
        <v>99999.999999999985</v>
      </c>
      <c r="N69">
        <f t="shared" si="24"/>
        <v>67</v>
      </c>
      <c r="O69" s="6">
        <f t="shared" si="41"/>
        <v>266980.09448179748</v>
      </c>
      <c r="P69">
        <f t="shared" si="25"/>
        <v>13.349004724089875</v>
      </c>
      <c r="Q69">
        <f t="shared" si="26"/>
        <v>0</v>
      </c>
      <c r="R69" s="6">
        <f t="shared" si="42"/>
        <v>1178.654002744697</v>
      </c>
      <c r="S69">
        <f t="shared" si="27"/>
        <v>7.0719240164681825</v>
      </c>
      <c r="T69">
        <f t="shared" si="28"/>
        <v>0</v>
      </c>
      <c r="U69" s="6">
        <f t="shared" si="43"/>
        <v>6.720019350579102E-3</v>
      </c>
      <c r="V69">
        <f t="shared" si="29"/>
        <v>1.0080029025868653E-3</v>
      </c>
      <c r="W69">
        <f t="shared" si="30"/>
        <v>0</v>
      </c>
      <c r="X69">
        <f t="shared" si="31"/>
        <v>268158.75520456152</v>
      </c>
      <c r="Y69" s="6">
        <f t="shared" si="34"/>
        <v>29664.454942421926</v>
      </c>
      <c r="Z69" s="6">
        <f t="shared" si="35"/>
        <v>130.96155586052183</v>
      </c>
      <c r="AA69" s="6">
        <f t="shared" si="36"/>
        <v>7.4666881673101141E-4</v>
      </c>
      <c r="AB69">
        <f t="shared" si="37"/>
        <v>0</v>
      </c>
      <c r="AD69" s="6">
        <f t="shared" si="32"/>
        <v>117265.38104540033</v>
      </c>
      <c r="AG69">
        <f t="shared" si="38"/>
        <v>82124.414972972969</v>
      </c>
      <c r="AH69">
        <f t="shared" si="39"/>
        <v>5345.3696269600741</v>
      </c>
      <c r="AI69">
        <f t="shared" si="40"/>
        <v>0.17920051601544271</v>
      </c>
      <c r="AL69">
        <f t="shared" si="33"/>
        <v>0.9931805748317093</v>
      </c>
      <c r="AM69">
        <f t="shared" si="44"/>
        <v>0.90204139265692562</v>
      </c>
      <c r="AO69">
        <v>67</v>
      </c>
      <c r="AP69">
        <v>0.996385344945663</v>
      </c>
      <c r="AQ69">
        <v>0.898736207017509</v>
      </c>
    </row>
    <row r="70" spans="1:43" x14ac:dyDescent="0.35">
      <c r="N70">
        <f t="shared" si="24"/>
        <v>68</v>
      </c>
      <c r="O70" s="6">
        <f t="shared" si="41"/>
        <v>266966.74547707342</v>
      </c>
      <c r="P70">
        <f t="shared" si="25"/>
        <v>13.348337273853671</v>
      </c>
      <c r="Q70">
        <f t="shared" si="26"/>
        <v>0</v>
      </c>
      <c r="R70" s="6">
        <f t="shared" si="42"/>
        <v>1171.5820787282289</v>
      </c>
      <c r="S70">
        <f t="shared" si="27"/>
        <v>7.0294924723693732</v>
      </c>
      <c r="T70">
        <f t="shared" si="28"/>
        <v>0</v>
      </c>
      <c r="U70" s="6">
        <f t="shared" si="43"/>
        <v>5.7120164479922365E-3</v>
      </c>
      <c r="V70">
        <f t="shared" si="29"/>
        <v>8.5680246719883543E-4</v>
      </c>
      <c r="W70">
        <f t="shared" si="30"/>
        <v>0</v>
      </c>
      <c r="X70">
        <f t="shared" si="31"/>
        <v>268138.33326781809</v>
      </c>
      <c r="Y70" s="6">
        <f t="shared" si="34"/>
        <v>29662.971719674806</v>
      </c>
      <c r="Z70" s="6">
        <f t="shared" si="35"/>
        <v>130.17578652535869</v>
      </c>
      <c r="AA70" s="6">
        <f t="shared" si="36"/>
        <v>6.3466849422135971E-4</v>
      </c>
      <c r="AB70">
        <f t="shared" si="37"/>
        <v>0</v>
      </c>
      <c r="AD70" s="6">
        <f t="shared" si="32"/>
        <v>117226.90662272992</v>
      </c>
      <c r="AG70">
        <f t="shared" si="38"/>
        <v>82120.308752224315</v>
      </c>
      <c r="AH70">
        <f t="shared" si="39"/>
        <v>5313.2974091983133</v>
      </c>
      <c r="AI70">
        <f t="shared" si="40"/>
        <v>0.1523204386131263</v>
      </c>
      <c r="AL70">
        <f t="shared" si="33"/>
        <v>0.99310493802895583</v>
      </c>
      <c r="AM70">
        <f t="shared" si="44"/>
        <v>0.90174543555946096</v>
      </c>
      <c r="AO70">
        <v>68</v>
      </c>
      <c r="AP70">
        <v>0.99632187133565198</v>
      </c>
      <c r="AQ70">
        <v>0.89848565329377805</v>
      </c>
    </row>
    <row r="71" spans="1:43" x14ac:dyDescent="0.35">
      <c r="B71" s="3" t="s">
        <v>9</v>
      </c>
      <c r="C71">
        <f>C65+C69</f>
        <v>1</v>
      </c>
      <c r="E71">
        <f>E65+E69</f>
        <v>400000</v>
      </c>
      <c r="G71" s="12" t="s">
        <v>29</v>
      </c>
      <c r="H71" s="4">
        <v>29</v>
      </c>
      <c r="J71">
        <f>D62*C69</f>
        <v>0.23333333333333328</v>
      </c>
      <c r="N71">
        <f t="shared" si="24"/>
        <v>69</v>
      </c>
      <c r="O71" s="6">
        <f t="shared" si="41"/>
        <v>266953.39713979955</v>
      </c>
      <c r="P71">
        <f t="shared" si="25"/>
        <v>13.347669856989977</v>
      </c>
      <c r="Q71">
        <f t="shared" si="26"/>
        <v>0</v>
      </c>
      <c r="R71" s="6">
        <f t="shared" si="42"/>
        <v>1164.5525862558595</v>
      </c>
      <c r="S71">
        <f t="shared" si="27"/>
        <v>6.9873155175351576</v>
      </c>
      <c r="T71">
        <f t="shared" si="28"/>
        <v>0</v>
      </c>
      <c r="U71" s="6">
        <f t="shared" si="43"/>
        <v>4.8552139807934011E-3</v>
      </c>
      <c r="V71">
        <f t="shared" si="29"/>
        <v>7.2828209711901012E-4</v>
      </c>
      <c r="W71">
        <f t="shared" si="30"/>
        <v>0</v>
      </c>
      <c r="X71">
        <f t="shared" si="31"/>
        <v>268117.95458126941</v>
      </c>
      <c r="Y71" s="6">
        <f t="shared" si="34"/>
        <v>29661.488571088823</v>
      </c>
      <c r="Z71" s="6">
        <f t="shared" si="35"/>
        <v>129.39473180620655</v>
      </c>
      <c r="AA71" s="6">
        <f t="shared" si="36"/>
        <v>5.394682200881558E-4</v>
      </c>
      <c r="AB71">
        <f t="shared" si="37"/>
        <v>0</v>
      </c>
      <c r="AD71" s="6">
        <f t="shared" si="32"/>
        <v>117188.63367626588</v>
      </c>
      <c r="AG71">
        <f t="shared" si="38"/>
        <v>82116.202736786698</v>
      </c>
      <c r="AH71">
        <f t="shared" si="39"/>
        <v>5281.4176247431233</v>
      </c>
      <c r="AI71">
        <f t="shared" si="40"/>
        <v>0.12947237282115737</v>
      </c>
      <c r="AL71">
        <f t="shared" si="33"/>
        <v>0.9930294614121089</v>
      </c>
      <c r="AM71">
        <f t="shared" si="44"/>
        <v>0.90145102827896828</v>
      </c>
      <c r="AO71">
        <v>69</v>
      </c>
      <c r="AP71">
        <v>0.99625839772564095</v>
      </c>
      <c r="AQ71">
        <v>0.89826516601689699</v>
      </c>
    </row>
    <row r="72" spans="1:43" x14ac:dyDescent="0.35">
      <c r="B72" s="3" t="s">
        <v>12</v>
      </c>
      <c r="C72">
        <f>1-C71</f>
        <v>0</v>
      </c>
      <c r="D72">
        <f>C66+C72</f>
        <v>0.20899999999999999</v>
      </c>
      <c r="J72">
        <f>D63*C69</f>
        <v>1.6333333333333332E-2</v>
      </c>
      <c r="N72">
        <f t="shared" si="24"/>
        <v>70</v>
      </c>
      <c r="O72" s="6">
        <f t="shared" si="41"/>
        <v>266940.04946994258</v>
      </c>
      <c r="P72">
        <f t="shared" si="25"/>
        <v>13.347002473497129</v>
      </c>
      <c r="Q72">
        <f t="shared" si="26"/>
        <v>0</v>
      </c>
      <c r="R72" s="6">
        <f t="shared" si="42"/>
        <v>1157.5652707383244</v>
      </c>
      <c r="S72">
        <f t="shared" si="27"/>
        <v>6.9453916244299467</v>
      </c>
      <c r="T72">
        <f t="shared" si="28"/>
        <v>0</v>
      </c>
      <c r="U72" s="6">
        <f t="shared" si="43"/>
        <v>4.126931883674391E-3</v>
      </c>
      <c r="V72">
        <f t="shared" si="29"/>
        <v>6.1903978255115858E-4</v>
      </c>
      <c r="W72">
        <f t="shared" si="30"/>
        <v>0</v>
      </c>
      <c r="X72">
        <f t="shared" si="31"/>
        <v>268097.61886761279</v>
      </c>
      <c r="Y72" s="6">
        <f t="shared" si="34"/>
        <v>29660.005496660269</v>
      </c>
      <c r="Z72" s="6">
        <f t="shared" si="35"/>
        <v>128.61836341536932</v>
      </c>
      <c r="AA72" s="6">
        <f t="shared" si="36"/>
        <v>4.5854798707493244E-4</v>
      </c>
      <c r="AB72">
        <f t="shared" si="37"/>
        <v>0</v>
      </c>
      <c r="AD72" s="6">
        <f t="shared" si="32"/>
        <v>117150.56041578505</v>
      </c>
      <c r="AG72">
        <f t="shared" si="38"/>
        <v>82112.096926649858</v>
      </c>
      <c r="AH72">
        <f t="shared" si="39"/>
        <v>5249.7291189946645</v>
      </c>
      <c r="AI72">
        <f t="shared" si="40"/>
        <v>0.11005151689798376</v>
      </c>
      <c r="AL72">
        <f t="shared" si="33"/>
        <v>0.9929541439541214</v>
      </c>
      <c r="AM72">
        <f t="shared" si="44"/>
        <v>0.90115815704450031</v>
      </c>
      <c r="AO72">
        <v>70</v>
      </c>
      <c r="AP72">
        <v>0.99618824268299699</v>
      </c>
      <c r="AQ72">
        <v>0.89807474518686303</v>
      </c>
    </row>
    <row r="73" spans="1:43" x14ac:dyDescent="0.35">
      <c r="A73" s="1" t="s">
        <v>11</v>
      </c>
      <c r="C73" t="s">
        <v>43</v>
      </c>
      <c r="D73" t="s">
        <v>43</v>
      </c>
      <c r="E73" t="s">
        <v>58</v>
      </c>
      <c r="J73">
        <f>D64*C69</f>
        <v>3.3333333333333327E-4</v>
      </c>
      <c r="N73">
        <f t="shared" si="24"/>
        <v>71</v>
      </c>
      <c r="O73" s="6">
        <f t="shared" si="41"/>
        <v>266926.70246746909</v>
      </c>
      <c r="P73">
        <f t="shared" si="25"/>
        <v>13.346335123373455</v>
      </c>
      <c r="Q73">
        <f t="shared" si="26"/>
        <v>0</v>
      </c>
      <c r="R73" s="6">
        <f t="shared" si="42"/>
        <v>1150.6198791138945</v>
      </c>
      <c r="S73">
        <f t="shared" si="27"/>
        <v>6.9037192746833673</v>
      </c>
      <c r="T73">
        <f t="shared" si="28"/>
        <v>0</v>
      </c>
      <c r="U73" s="6">
        <f t="shared" si="43"/>
        <v>3.5078921011232325E-3</v>
      </c>
      <c r="V73">
        <f t="shared" si="29"/>
        <v>5.2618381516848485E-4</v>
      </c>
      <c r="W73">
        <f t="shared" si="30"/>
        <v>0</v>
      </c>
      <c r="X73">
        <f t="shared" si="31"/>
        <v>268077.32585447509</v>
      </c>
      <c r="Y73" s="6">
        <f t="shared" si="34"/>
        <v>29658.522496385438</v>
      </c>
      <c r="Z73" s="6">
        <f t="shared" si="35"/>
        <v>127.8466532348771</v>
      </c>
      <c r="AA73" s="6">
        <f t="shared" si="36"/>
        <v>3.8976578901369258E-4</v>
      </c>
      <c r="AB73">
        <f t="shared" si="37"/>
        <v>0</v>
      </c>
      <c r="AD73" s="6">
        <f t="shared" si="32"/>
        <v>117112.68514925968</v>
      </c>
      <c r="AG73">
        <f t="shared" si="38"/>
        <v>82107.991321803522</v>
      </c>
      <c r="AH73">
        <f t="shared" si="39"/>
        <v>5218.2307442806969</v>
      </c>
      <c r="AI73">
        <f t="shared" si="40"/>
        <v>9.3543789363286195E-2</v>
      </c>
      <c r="AL73">
        <f t="shared" si="33"/>
        <v>0.99287898464620405</v>
      </c>
      <c r="AM73">
        <f t="shared" si="44"/>
        <v>0.900866808840459</v>
      </c>
      <c r="AO73">
        <v>71</v>
      </c>
      <c r="AP73">
        <v>0.99614815408720003</v>
      </c>
      <c r="AQ73">
        <v>0.89770392567574397</v>
      </c>
    </row>
    <row r="74" spans="1:43" x14ac:dyDescent="0.35">
      <c r="A74">
        <v>400000</v>
      </c>
      <c r="C74">
        <f>C68/C64</f>
        <v>21</v>
      </c>
      <c r="D74" s="9">
        <f>D68/D64</f>
        <v>63.000000000000014</v>
      </c>
      <c r="E74" s="9">
        <f>(D67+D68)/(D63+D64)</f>
        <v>2.46</v>
      </c>
      <c r="J74" s="9">
        <f>SUM(J71:J73)</f>
        <v>0.24999999999999994</v>
      </c>
      <c r="N74">
        <f t="shared" si="24"/>
        <v>72</v>
      </c>
      <c r="O74" s="6">
        <f t="shared" si="41"/>
        <v>266913.35613234574</v>
      </c>
      <c r="P74">
        <f t="shared" si="25"/>
        <v>13.345667806617287</v>
      </c>
      <c r="Q74">
        <f t="shared" si="26"/>
        <v>0</v>
      </c>
      <c r="R74" s="6">
        <f t="shared" si="42"/>
        <v>1143.7161598392111</v>
      </c>
      <c r="S74">
        <f t="shared" si="27"/>
        <v>6.8622969590352669</v>
      </c>
      <c r="T74">
        <f t="shared" si="28"/>
        <v>0</v>
      </c>
      <c r="U74" s="6">
        <f t="shared" si="43"/>
        <v>2.9817082859547477E-3</v>
      </c>
      <c r="V74">
        <f t="shared" si="29"/>
        <v>4.4725624289321215E-4</v>
      </c>
      <c r="W74">
        <f t="shared" si="30"/>
        <v>0</v>
      </c>
      <c r="X74">
        <f t="shared" si="31"/>
        <v>268057.07527389319</v>
      </c>
      <c r="Y74" s="6">
        <f t="shared" si="34"/>
        <v>29657.039570260618</v>
      </c>
      <c r="Z74" s="6">
        <f t="shared" si="35"/>
        <v>127.07957331546783</v>
      </c>
      <c r="AA74" s="6">
        <f t="shared" si="36"/>
        <v>3.313009206616387E-4</v>
      </c>
      <c r="AB74">
        <f t="shared" si="37"/>
        <v>0</v>
      </c>
      <c r="AD74" s="6">
        <f t="shared" si="32"/>
        <v>117075.0062691504</v>
      </c>
      <c r="AG74">
        <f t="shared" si="38"/>
        <v>82103.88592223743</v>
      </c>
      <c r="AH74">
        <f t="shared" si="39"/>
        <v>5186.9213598150127</v>
      </c>
      <c r="AI74">
        <f t="shared" si="40"/>
        <v>7.9512220958793262E-2</v>
      </c>
      <c r="AL74">
        <f t="shared" si="33"/>
        <v>0.99280398249590074</v>
      </c>
      <c r="AM74">
        <f t="shared" si="44"/>
        <v>0.90057697130115688</v>
      </c>
      <c r="AO74">
        <v>72</v>
      </c>
      <c r="AP74">
        <v>0.99608802119350504</v>
      </c>
      <c r="AQ74">
        <v>0.89744334980306395</v>
      </c>
    </row>
    <row r="75" spans="1:43" x14ac:dyDescent="0.35">
      <c r="N75">
        <f t="shared" si="24"/>
        <v>73</v>
      </c>
      <c r="O75" s="6">
        <f t="shared" si="41"/>
        <v>266900.01046453911</v>
      </c>
      <c r="P75">
        <f t="shared" si="25"/>
        <v>13.345000523226956</v>
      </c>
      <c r="Q75">
        <f t="shared" si="26"/>
        <v>0</v>
      </c>
      <c r="R75" s="6">
        <f t="shared" si="42"/>
        <v>1136.8538628801757</v>
      </c>
      <c r="S75">
        <f t="shared" si="27"/>
        <v>6.8211231772810548</v>
      </c>
      <c r="T75">
        <f t="shared" si="28"/>
        <v>0</v>
      </c>
      <c r="U75" s="6">
        <f t="shared" si="43"/>
        <v>2.5344520430615356E-3</v>
      </c>
      <c r="V75">
        <f t="shared" si="29"/>
        <v>3.8016780645923034E-4</v>
      </c>
      <c r="W75">
        <f t="shared" si="30"/>
        <v>0</v>
      </c>
      <c r="X75">
        <f t="shared" si="31"/>
        <v>268036.86686187133</v>
      </c>
      <c r="Y75" s="6">
        <f t="shared" si="34"/>
        <v>29655.556718282107</v>
      </c>
      <c r="Z75" s="6">
        <f t="shared" si="35"/>
        <v>126.31709587557502</v>
      </c>
      <c r="AA75" s="6">
        <f t="shared" si="36"/>
        <v>2.8160578256239291E-4</v>
      </c>
      <c r="AB75">
        <f t="shared" si="37"/>
        <v>0</v>
      </c>
      <c r="AD75" s="6">
        <f t="shared" si="32"/>
        <v>117037.52224074875</v>
      </c>
      <c r="AG75">
        <f t="shared" si="38"/>
        <v>82099.780727941325</v>
      </c>
      <c r="AH75">
        <f t="shared" si="39"/>
        <v>5155.7998316561225</v>
      </c>
      <c r="AI75">
        <f t="shared" si="40"/>
        <v>6.7585387814974279E-2</v>
      </c>
      <c r="AL75">
        <f t="shared" si="33"/>
        <v>0.99272913652544936</v>
      </c>
      <c r="AM75">
        <f t="shared" si="44"/>
        <v>0.90028863262114422</v>
      </c>
      <c r="AO75">
        <v>73</v>
      </c>
      <c r="AP75">
        <v>0.99603456973244298</v>
      </c>
      <c r="AQ75">
        <v>0.897192796079335</v>
      </c>
    </row>
    <row r="76" spans="1:43" x14ac:dyDescent="0.35">
      <c r="N76">
        <f t="shared" si="24"/>
        <v>74</v>
      </c>
      <c r="O76" s="6">
        <f t="shared" si="41"/>
        <v>266886.66546401591</v>
      </c>
      <c r="P76">
        <f t="shared" si="25"/>
        <v>13.344333273200796</v>
      </c>
      <c r="Q76">
        <f t="shared" si="26"/>
        <v>0</v>
      </c>
      <c r="R76" s="6">
        <f t="shared" si="42"/>
        <v>1130.0327397028946</v>
      </c>
      <c r="S76">
        <f t="shared" si="27"/>
        <v>6.7801964382173674</v>
      </c>
      <c r="T76">
        <f t="shared" si="28"/>
        <v>0</v>
      </c>
      <c r="U76" s="6">
        <f t="shared" si="43"/>
        <v>2.1542842366023053E-3</v>
      </c>
      <c r="V76">
        <f t="shared" si="29"/>
        <v>3.2314263549034579E-4</v>
      </c>
      <c r="W76">
        <f t="shared" si="30"/>
        <v>0</v>
      </c>
      <c r="X76">
        <f t="shared" si="31"/>
        <v>268016.70035800303</v>
      </c>
      <c r="Y76" s="6">
        <f t="shared" si="34"/>
        <v>29654.073940446193</v>
      </c>
      <c r="Z76" s="6">
        <f t="shared" si="35"/>
        <v>125.55919330032157</v>
      </c>
      <c r="AA76" s="6">
        <f t="shared" si="36"/>
        <v>2.3936491517803399E-4</v>
      </c>
      <c r="AB76">
        <f t="shared" si="37"/>
        <v>0</v>
      </c>
      <c r="AD76" s="6">
        <f t="shared" si="32"/>
        <v>117000.23159226219</v>
      </c>
      <c r="AG76">
        <f t="shared" si="38"/>
        <v>82095.675738904931</v>
      </c>
      <c r="AH76">
        <f t="shared" si="39"/>
        <v>5124.8650326661855</v>
      </c>
      <c r="AI76">
        <f t="shared" si="40"/>
        <v>5.744757964272814E-2</v>
      </c>
      <c r="AL76">
        <f t="shared" si="33"/>
        <v>0.99265444577038153</v>
      </c>
      <c r="AM76">
        <f t="shared" si="44"/>
        <v>0.90000178147893994</v>
      </c>
      <c r="AO76">
        <v>74</v>
      </c>
      <c r="AP76">
        <v>0.99596441468979802</v>
      </c>
      <c r="AQ76">
        <v>0.89697230880245304</v>
      </c>
    </row>
    <row r="77" spans="1:43" ht="26" customHeight="1" x14ac:dyDescent="0.35">
      <c r="A77" s="15" t="s">
        <v>44</v>
      </c>
      <c r="B77" t="s">
        <v>45</v>
      </c>
      <c r="N77">
        <f t="shared" si="24"/>
        <v>75</v>
      </c>
      <c r="O77" s="6">
        <f t="shared" si="41"/>
        <v>266873.32113074273</v>
      </c>
      <c r="P77">
        <f t="shared" si="25"/>
        <v>13.343666056537137</v>
      </c>
      <c r="Q77">
        <f t="shared" si="26"/>
        <v>0</v>
      </c>
      <c r="R77" s="6">
        <f t="shared" si="42"/>
        <v>1123.2525432646771</v>
      </c>
      <c r="S77">
        <f t="shared" si="27"/>
        <v>6.739515259588063</v>
      </c>
      <c r="T77">
        <f t="shared" si="28"/>
        <v>0</v>
      </c>
      <c r="U77" s="6">
        <f t="shared" si="43"/>
        <v>1.8311416011119594E-3</v>
      </c>
      <c r="V77">
        <f t="shared" si="29"/>
        <v>2.7467124016679388E-4</v>
      </c>
      <c r="W77">
        <f t="shared" si="30"/>
        <v>0</v>
      </c>
      <c r="X77">
        <f t="shared" si="31"/>
        <v>267996.57550514897</v>
      </c>
      <c r="Y77" s="6">
        <f t="shared" si="34"/>
        <v>29652.591236749169</v>
      </c>
      <c r="Z77" s="6">
        <f t="shared" si="35"/>
        <v>124.80583814051964</v>
      </c>
      <c r="AA77" s="6">
        <f t="shared" si="36"/>
        <v>2.034601779013289E-4</v>
      </c>
      <c r="AB77">
        <f t="shared" si="37"/>
        <v>0</v>
      </c>
      <c r="AD77" s="6">
        <f t="shared" si="32"/>
        <v>116963.13290638075</v>
      </c>
      <c r="AG77">
        <f t="shared" si="38"/>
        <v>82091.57095511799</v>
      </c>
      <c r="AH77">
        <f t="shared" si="39"/>
        <v>5094.115842470188</v>
      </c>
      <c r="AI77">
        <f t="shared" si="40"/>
        <v>4.8830442696318921E-2</v>
      </c>
      <c r="AL77">
        <f t="shared" si="33"/>
        <v>0.99257990927832951</v>
      </c>
      <c r="AM77">
        <f t="shared" si="44"/>
        <v>0.8997164069721596</v>
      </c>
      <c r="AO77">
        <v>75</v>
      </c>
      <c r="AP77">
        <v>0.99590762251242004</v>
      </c>
      <c r="AQ77">
        <v>0.89670171078082594</v>
      </c>
    </row>
    <row r="78" spans="1:43" ht="58" x14ac:dyDescent="0.35">
      <c r="A78" s="2" t="s">
        <v>0</v>
      </c>
      <c r="B78" s="2" t="s">
        <v>2</v>
      </c>
      <c r="C78" s="2" t="s">
        <v>8</v>
      </c>
      <c r="D78" s="2" t="s">
        <v>10</v>
      </c>
      <c r="E78" s="2" t="s">
        <v>13</v>
      </c>
      <c r="F78" s="2" t="s">
        <v>27</v>
      </c>
      <c r="G78" s="2" t="s">
        <v>28</v>
      </c>
      <c r="H78" s="2" t="s">
        <v>30</v>
      </c>
      <c r="I78" s="2" t="s">
        <v>32</v>
      </c>
      <c r="N78">
        <f t="shared" si="24"/>
        <v>76</v>
      </c>
      <c r="O78" s="6">
        <f t="shared" si="41"/>
        <v>266859.97746468621</v>
      </c>
      <c r="P78">
        <f t="shared" si="25"/>
        <v>13.342998873234311</v>
      </c>
      <c r="Q78">
        <f t="shared" si="26"/>
        <v>0</v>
      </c>
      <c r="R78" s="6">
        <f t="shared" si="42"/>
        <v>1116.5130280050892</v>
      </c>
      <c r="S78">
        <f t="shared" si="27"/>
        <v>6.6990781680305354</v>
      </c>
      <c r="T78">
        <f t="shared" si="28"/>
        <v>0</v>
      </c>
      <c r="U78" s="6">
        <f t="shared" si="43"/>
        <v>1.5564703609451656E-3</v>
      </c>
      <c r="V78">
        <f t="shared" si="29"/>
        <v>2.3347055414177484E-4</v>
      </c>
      <c r="W78">
        <f t="shared" si="30"/>
        <v>0</v>
      </c>
      <c r="X78">
        <f t="shared" si="31"/>
        <v>267976.49204916164</v>
      </c>
      <c r="Y78" s="6">
        <f t="shared" si="34"/>
        <v>29651.108607187332</v>
      </c>
      <c r="Z78" s="6">
        <f t="shared" si="35"/>
        <v>124.05700311167652</v>
      </c>
      <c r="AA78" s="6">
        <f t="shared" si="36"/>
        <v>1.7294115121612957E-4</v>
      </c>
      <c r="AB78">
        <f t="shared" si="37"/>
        <v>0</v>
      </c>
      <c r="AD78" s="6">
        <f t="shared" si="32"/>
        <v>116926.22481310205</v>
      </c>
      <c r="AG78">
        <f t="shared" si="38"/>
        <v>82087.466376570228</v>
      </c>
      <c r="AH78">
        <f t="shared" si="39"/>
        <v>5063.5511474153673</v>
      </c>
      <c r="AI78">
        <f t="shared" si="40"/>
        <v>4.150587629187108E-2</v>
      </c>
      <c r="AL78">
        <f t="shared" si="33"/>
        <v>0.99250552610800602</v>
      </c>
      <c r="AM78">
        <f t="shared" si="44"/>
        <v>0.89943249856232343</v>
      </c>
      <c r="AO78">
        <v>76</v>
      </c>
      <c r="AP78">
        <v>0.99586085248399003</v>
      </c>
      <c r="AQ78">
        <v>0.89644113490814603</v>
      </c>
    </row>
    <row r="79" spans="1:43" x14ac:dyDescent="0.35">
      <c r="B79" t="s">
        <v>3</v>
      </c>
      <c r="C79" s="17">
        <v>0.74409999999999998</v>
      </c>
      <c r="D79" s="19">
        <f>C79/C82</f>
        <v>0.99213333333333331</v>
      </c>
      <c r="E79">
        <f>$A$15*C79</f>
        <v>297640</v>
      </c>
      <c r="F79" s="4">
        <v>5.0000000000000002E-5</v>
      </c>
      <c r="G79" s="4">
        <v>0.9</v>
      </c>
      <c r="H79" s="4">
        <v>0</v>
      </c>
      <c r="I79" s="4">
        <v>0</v>
      </c>
      <c r="N79">
        <f t="shared" si="24"/>
        <v>77</v>
      </c>
      <c r="O79" s="6">
        <f t="shared" si="41"/>
        <v>266846.634465813</v>
      </c>
      <c r="P79">
        <f t="shared" si="25"/>
        <v>13.34233172329065</v>
      </c>
      <c r="Q79">
        <f t="shared" si="26"/>
        <v>0</v>
      </c>
      <c r="R79" s="6">
        <f t="shared" si="42"/>
        <v>1109.8139498370585</v>
      </c>
      <c r="S79">
        <f t="shared" si="27"/>
        <v>6.6588836990223514</v>
      </c>
      <c r="T79">
        <f t="shared" si="28"/>
        <v>0</v>
      </c>
      <c r="U79" s="6">
        <f t="shared" si="43"/>
        <v>1.3229998068033906E-3</v>
      </c>
      <c r="V79">
        <f t="shared" si="29"/>
        <v>1.9844997102050859E-4</v>
      </c>
      <c r="W79">
        <f t="shared" si="30"/>
        <v>0</v>
      </c>
      <c r="X79">
        <f t="shared" si="31"/>
        <v>267956.44973864988</v>
      </c>
      <c r="Y79" s="6">
        <f t="shared" si="34"/>
        <v>29649.626051756972</v>
      </c>
      <c r="Z79" s="6">
        <f t="shared" si="35"/>
        <v>123.31266109300647</v>
      </c>
      <c r="AA79" s="6">
        <f t="shared" si="36"/>
        <v>1.4699997853371012E-4</v>
      </c>
      <c r="AB79">
        <f t="shared" si="37"/>
        <v>0</v>
      </c>
      <c r="AD79" s="6">
        <f t="shared" si="32"/>
        <v>116889.50598362707</v>
      </c>
      <c r="AG79">
        <f t="shared" si="38"/>
        <v>82083.362003251401</v>
      </c>
      <c r="AH79">
        <f t="shared" si="39"/>
        <v>5033.1698405308753</v>
      </c>
      <c r="AI79">
        <f t="shared" si="40"/>
        <v>3.5279994848090419E-2</v>
      </c>
      <c r="AL79">
        <f t="shared" si="33"/>
        <v>0.99243129532833285</v>
      </c>
      <c r="AM79">
        <f t="shared" si="44"/>
        <v>0.8991500460279005</v>
      </c>
      <c r="AO79">
        <v>77</v>
      </c>
      <c r="AP79">
        <v>0.99582744532082501</v>
      </c>
      <c r="AQ79">
        <v>0.89620060333336704</v>
      </c>
    </row>
    <row r="80" spans="1:43" x14ac:dyDescent="0.35">
      <c r="A80" t="s">
        <v>1</v>
      </c>
      <c r="B80" t="s">
        <v>5</v>
      </c>
      <c r="C80" s="17">
        <v>4.8999999999999998E-3</v>
      </c>
      <c r="D80" s="19">
        <f>C80/C82</f>
        <v>6.5333333333333328E-3</v>
      </c>
      <c r="E80">
        <f>$A$15*C80</f>
        <v>1960</v>
      </c>
      <c r="F80" s="4">
        <v>6.0000000000000001E-3</v>
      </c>
      <c r="G80" s="4">
        <v>0.9</v>
      </c>
      <c r="H80" s="4">
        <v>0</v>
      </c>
      <c r="I80" s="4">
        <v>0</v>
      </c>
      <c r="N80">
        <f t="shared" si="24"/>
        <v>78</v>
      </c>
      <c r="O80" s="6">
        <f t="shared" si="41"/>
        <v>266833.29213408969</v>
      </c>
      <c r="P80">
        <f t="shared" si="25"/>
        <v>13.341664606704486</v>
      </c>
      <c r="Q80">
        <f t="shared" si="26"/>
        <v>0</v>
      </c>
      <c r="R80" s="6">
        <f t="shared" si="42"/>
        <v>1103.1550661380361</v>
      </c>
      <c r="S80">
        <f t="shared" si="27"/>
        <v>6.6189303968282163</v>
      </c>
      <c r="T80">
        <f t="shared" si="28"/>
        <v>0</v>
      </c>
      <c r="U80" s="6">
        <f t="shared" si="43"/>
        <v>1.124549835782882E-3</v>
      </c>
      <c r="V80">
        <f t="shared" si="29"/>
        <v>1.6868247536743229E-4</v>
      </c>
      <c r="W80">
        <f t="shared" si="30"/>
        <v>0</v>
      </c>
      <c r="X80">
        <f t="shared" si="31"/>
        <v>267936.44832477754</v>
      </c>
      <c r="Y80" s="6">
        <f t="shared" si="34"/>
        <v>29648.143570454384</v>
      </c>
      <c r="Z80" s="6">
        <f t="shared" si="35"/>
        <v>122.57278512644842</v>
      </c>
      <c r="AA80" s="6">
        <f t="shared" si="36"/>
        <v>1.2494998175365359E-4</v>
      </c>
      <c r="AB80">
        <f t="shared" si="37"/>
        <v>0</v>
      </c>
      <c r="AD80" s="6">
        <f t="shared" si="32"/>
        <v>116852.97512516535</v>
      </c>
      <c r="AG80">
        <f t="shared" si="38"/>
        <v>82079.257835151235</v>
      </c>
      <c r="AH80">
        <f t="shared" si="39"/>
        <v>5002.97082148769</v>
      </c>
      <c r="AI80">
        <f t="shared" si="40"/>
        <v>2.9987995620876857E-2</v>
      </c>
      <c r="AL80">
        <f t="shared" si="33"/>
        <v>0.99235721601769455</v>
      </c>
      <c r="AM80">
        <f t="shared" si="44"/>
        <v>0.89886903942434881</v>
      </c>
      <c r="AO80">
        <v>78</v>
      </c>
      <c r="AP80">
        <v>0.99574392741291695</v>
      </c>
      <c r="AQ80">
        <v>0.89600016035438301</v>
      </c>
    </row>
    <row r="81" spans="1:43" x14ac:dyDescent="0.35">
      <c r="B81" t="s">
        <v>4</v>
      </c>
      <c r="C81" s="17">
        <v>1E-3</v>
      </c>
      <c r="D81" s="19">
        <f>C81/C82</f>
        <v>1.3333333333333333E-3</v>
      </c>
      <c r="E81">
        <f>$A$15*C81</f>
        <v>400</v>
      </c>
      <c r="F81" s="4">
        <v>0.15</v>
      </c>
      <c r="G81" s="4">
        <v>0.9</v>
      </c>
      <c r="H81" s="4">
        <v>0</v>
      </c>
      <c r="I81" s="4">
        <v>0</v>
      </c>
      <c r="N81">
        <f t="shared" si="24"/>
        <v>79</v>
      </c>
      <c r="O81" s="6">
        <f t="shared" si="41"/>
        <v>266819.95046948298</v>
      </c>
      <c r="P81">
        <f t="shared" si="25"/>
        <v>13.340997523474149</v>
      </c>
      <c r="Q81">
        <f t="shared" si="26"/>
        <v>0</v>
      </c>
      <c r="R81" s="6">
        <f t="shared" si="42"/>
        <v>1096.5361357412078</v>
      </c>
      <c r="S81">
        <f t="shared" si="27"/>
        <v>6.5792168144472472</v>
      </c>
      <c r="T81">
        <f t="shared" si="28"/>
        <v>0</v>
      </c>
      <c r="U81" s="6">
        <f t="shared" si="43"/>
        <v>9.5586736041544966E-4</v>
      </c>
      <c r="V81">
        <f t="shared" si="29"/>
        <v>1.4338010406231744E-4</v>
      </c>
      <c r="W81">
        <f t="shared" si="30"/>
        <v>0</v>
      </c>
      <c r="X81">
        <f t="shared" si="31"/>
        <v>267916.48756109155</v>
      </c>
      <c r="Y81" s="6">
        <f t="shared" si="34"/>
        <v>29646.661163275861</v>
      </c>
      <c r="Z81" s="6">
        <f t="shared" si="35"/>
        <v>121.83734841568973</v>
      </c>
      <c r="AA81" s="6">
        <f t="shared" si="36"/>
        <v>1.0620748449060555E-4</v>
      </c>
      <c r="AB81">
        <f t="shared" si="37"/>
        <v>0</v>
      </c>
      <c r="AD81" s="6">
        <f t="shared" si="32"/>
        <v>116816.63097651354</v>
      </c>
      <c r="AG81">
        <f t="shared" si="38"/>
        <v>82075.153872259471</v>
      </c>
      <c r="AH81">
        <f t="shared" si="39"/>
        <v>4972.9529965587635</v>
      </c>
      <c r="AI81">
        <f t="shared" si="40"/>
        <v>2.5489796277745329E-2</v>
      </c>
      <c r="AL81">
        <f t="shared" si="33"/>
        <v>0.99228328726330206</v>
      </c>
      <c r="AM81">
        <f t="shared" si="44"/>
        <v>0.89858946905010417</v>
      </c>
      <c r="AO81">
        <v>79</v>
      </c>
      <c r="AP81">
        <v>0.995690475951854</v>
      </c>
      <c r="AQ81">
        <v>0.89576965092855199</v>
      </c>
    </row>
    <row r="82" spans="1:43" x14ac:dyDescent="0.35">
      <c r="B82" s="3" t="s">
        <v>7</v>
      </c>
      <c r="C82" s="18">
        <f>SUM(C79:C81)</f>
        <v>0.75</v>
      </c>
      <c r="D82" s="19">
        <f>SUM(D79:D81)</f>
        <v>0.99999999999999989</v>
      </c>
      <c r="E82">
        <f>A91*C82</f>
        <v>300000</v>
      </c>
      <c r="G82" s="11">
        <f>D79*G79+D80*G80+D81*G81</f>
        <v>0.9</v>
      </c>
      <c r="N82">
        <f t="shared" si="24"/>
        <v>80</v>
      </c>
      <c r="O82" s="6">
        <f t="shared" si="41"/>
        <v>266806.60947195953</v>
      </c>
      <c r="P82">
        <f t="shared" si="25"/>
        <v>13.340330473597977</v>
      </c>
      <c r="Q82">
        <f t="shared" si="26"/>
        <v>0</v>
      </c>
      <c r="R82" s="6">
        <f t="shared" si="42"/>
        <v>1089.9569189267606</v>
      </c>
      <c r="S82">
        <f t="shared" si="27"/>
        <v>6.5397415135605641</v>
      </c>
      <c r="T82">
        <f t="shared" si="28"/>
        <v>0</v>
      </c>
      <c r="U82" s="6">
        <f t="shared" si="43"/>
        <v>8.1248725635313227E-4</v>
      </c>
      <c r="V82">
        <f t="shared" si="29"/>
        <v>1.2187308845296983E-4</v>
      </c>
      <c r="W82">
        <f t="shared" si="30"/>
        <v>0</v>
      </c>
      <c r="X82">
        <f t="shared" si="31"/>
        <v>267896.56720337353</v>
      </c>
      <c r="Y82" s="6">
        <f t="shared" si="34"/>
        <v>29645.178830217697</v>
      </c>
      <c r="Z82" s="6">
        <f t="shared" si="35"/>
        <v>121.10632432519559</v>
      </c>
      <c r="AA82" s="6">
        <f t="shared" si="36"/>
        <v>9.0276361817014718E-5</v>
      </c>
      <c r="AB82">
        <f t="shared" si="37"/>
        <v>0</v>
      </c>
      <c r="AD82" s="6">
        <f t="shared" si="32"/>
        <v>116780.47230429137</v>
      </c>
      <c r="AG82">
        <f t="shared" si="38"/>
        <v>82071.050114565864</v>
      </c>
      <c r="AH82">
        <f t="shared" si="39"/>
        <v>4943.1152785794111</v>
      </c>
      <c r="AI82">
        <f t="shared" si="40"/>
        <v>2.1666326836083528E-2</v>
      </c>
      <c r="AL82">
        <f t="shared" si="33"/>
        <v>0.99220950816064268</v>
      </c>
      <c r="AM82">
        <f t="shared" si="44"/>
        <v>0.89831132541762593</v>
      </c>
      <c r="AO82">
        <v>80</v>
      </c>
      <c r="AP82">
        <v>0.99563368377447403</v>
      </c>
      <c r="AQ82">
        <v>0.89554916365167003</v>
      </c>
    </row>
    <row r="83" spans="1:43" x14ac:dyDescent="0.35">
      <c r="B83" t="s">
        <v>3</v>
      </c>
      <c r="C83" s="17">
        <v>0.20599999999999999</v>
      </c>
      <c r="D83" s="19">
        <f>C83/C86</f>
        <v>0.82400000000000007</v>
      </c>
      <c r="E83">
        <f>$A$15*C83</f>
        <v>82400</v>
      </c>
      <c r="F83" s="4">
        <v>5.0000000000000002E-5</v>
      </c>
      <c r="G83" s="5" t="s">
        <v>15</v>
      </c>
      <c r="H83" s="4">
        <v>0</v>
      </c>
      <c r="I83" s="5" t="s">
        <v>15</v>
      </c>
      <c r="N83">
        <f t="shared" si="24"/>
        <v>81</v>
      </c>
      <c r="O83" s="6">
        <f t="shared" si="41"/>
        <v>266793.26914148591</v>
      </c>
      <c r="P83">
        <f t="shared" si="25"/>
        <v>13.339663457074296</v>
      </c>
      <c r="Q83">
        <f t="shared" si="26"/>
        <v>0</v>
      </c>
      <c r="R83" s="6">
        <f t="shared" si="42"/>
        <v>1083.4171774132001</v>
      </c>
      <c r="S83">
        <f t="shared" si="27"/>
        <v>6.5005030644792008</v>
      </c>
      <c r="T83">
        <f t="shared" si="28"/>
        <v>0</v>
      </c>
      <c r="U83" s="6">
        <f t="shared" si="43"/>
        <v>6.906141679001624E-4</v>
      </c>
      <c r="V83">
        <f t="shared" si="29"/>
        <v>1.0359212518502435E-4</v>
      </c>
      <c r="W83">
        <f t="shared" si="30"/>
        <v>0</v>
      </c>
      <c r="X83">
        <f t="shared" si="31"/>
        <v>267876.68700951326</v>
      </c>
      <c r="Y83" s="6">
        <f t="shared" si="34"/>
        <v>29643.696571276185</v>
      </c>
      <c r="Z83" s="6">
        <f t="shared" si="35"/>
        <v>120.37968637924442</v>
      </c>
      <c r="AA83" s="6">
        <f t="shared" si="36"/>
        <v>7.6734907544462514E-5</v>
      </c>
      <c r="AB83">
        <f t="shared" si="37"/>
        <v>0</v>
      </c>
      <c r="AD83" s="6">
        <f t="shared" si="32"/>
        <v>116744.49789973623</v>
      </c>
      <c r="AG83">
        <f t="shared" si="38"/>
        <v>82066.94656206014</v>
      </c>
      <c r="AH83">
        <f t="shared" si="39"/>
        <v>4913.4565869079343</v>
      </c>
      <c r="AI83">
        <f t="shared" si="40"/>
        <v>1.8416377810671E-2</v>
      </c>
      <c r="AL83">
        <f t="shared" si="33"/>
        <v>0.99213587781301205</v>
      </c>
      <c r="AM83">
        <f t="shared" si="44"/>
        <v>0.89803459922874029</v>
      </c>
      <c r="AO83">
        <v>81</v>
      </c>
      <c r="AP83">
        <v>0.995553506582881</v>
      </c>
      <c r="AQ83">
        <v>0.89533869852373704</v>
      </c>
    </row>
    <row r="84" spans="1:43" x14ac:dyDescent="0.35">
      <c r="A84" t="s">
        <v>6</v>
      </c>
      <c r="B84" t="s">
        <v>5</v>
      </c>
      <c r="C84" s="17">
        <v>0.02</v>
      </c>
      <c r="D84" s="19">
        <f>C84/C86</f>
        <v>8.0000000000000016E-2</v>
      </c>
      <c r="E84">
        <f>$A$15*C84</f>
        <v>8000</v>
      </c>
      <c r="F84" s="4">
        <v>6.0000000000000001E-3</v>
      </c>
      <c r="G84" s="5" t="s">
        <v>15</v>
      </c>
      <c r="H84" s="4">
        <v>0</v>
      </c>
      <c r="I84" s="5" t="s">
        <v>15</v>
      </c>
      <c r="N84">
        <f t="shared" si="24"/>
        <v>82</v>
      </c>
      <c r="O84" s="6">
        <f t="shared" si="41"/>
        <v>266779.92947802885</v>
      </c>
      <c r="P84">
        <f t="shared" si="25"/>
        <v>13.338996473901442</v>
      </c>
      <c r="Q84">
        <f t="shared" si="26"/>
        <v>0</v>
      </c>
      <c r="R84" s="6">
        <f t="shared" si="42"/>
        <v>1076.9166743487208</v>
      </c>
      <c r="S84">
        <f t="shared" si="27"/>
        <v>6.4615000460923246</v>
      </c>
      <c r="T84">
        <f t="shared" si="28"/>
        <v>0</v>
      </c>
      <c r="U84" s="6">
        <f t="shared" si="43"/>
        <v>5.8702204271513805E-4</v>
      </c>
      <c r="V84">
        <f t="shared" si="29"/>
        <v>8.8053306407270709E-5</v>
      </c>
      <c r="W84">
        <f t="shared" si="30"/>
        <v>0</v>
      </c>
      <c r="X84">
        <f t="shared" si="31"/>
        <v>267856.8467393996</v>
      </c>
      <c r="Y84" s="6">
        <f t="shared" si="34"/>
        <v>29642.21438644762</v>
      </c>
      <c r="Z84" s="6">
        <f t="shared" si="35"/>
        <v>119.65740826096895</v>
      </c>
      <c r="AA84" s="6">
        <f t="shared" si="36"/>
        <v>6.5224671412793131E-5</v>
      </c>
      <c r="AB84">
        <f t="shared" si="37"/>
        <v>0</v>
      </c>
      <c r="AD84" s="6">
        <f t="shared" si="32"/>
        <v>116708.70657597294</v>
      </c>
      <c r="AG84">
        <f t="shared" si="38"/>
        <v>82062.843214732042</v>
      </c>
      <c r="AH84">
        <f t="shared" si="39"/>
        <v>4883.9758473864867</v>
      </c>
      <c r="AI84">
        <f t="shared" si="40"/>
        <v>1.565392113907035E-2</v>
      </c>
      <c r="AL84">
        <f t="shared" si="33"/>
        <v>0.99206239533110963</v>
      </c>
      <c r="AM84">
        <f t="shared" si="44"/>
        <v>0.89775928135363803</v>
      </c>
      <c r="AO84">
        <v>82</v>
      </c>
      <c r="AP84">
        <v>0.99550005512181905</v>
      </c>
      <c r="AQ84">
        <v>0.89503803405526094</v>
      </c>
    </row>
    <row r="85" spans="1:43" x14ac:dyDescent="0.35">
      <c r="B85" t="s">
        <v>4</v>
      </c>
      <c r="C85" s="17">
        <v>2.4E-2</v>
      </c>
      <c r="D85" s="19">
        <f>C85/C86</f>
        <v>9.6000000000000016E-2</v>
      </c>
      <c r="E85">
        <f>$A$15*C85</f>
        <v>9600</v>
      </c>
      <c r="F85" s="4">
        <v>0.15</v>
      </c>
      <c r="G85" s="5" t="s">
        <v>15</v>
      </c>
      <c r="H85" s="4">
        <v>0</v>
      </c>
      <c r="I85" s="5" t="s">
        <v>15</v>
      </c>
      <c r="N85">
        <f t="shared" si="24"/>
        <v>83</v>
      </c>
      <c r="O85" s="6">
        <f t="shared" si="41"/>
        <v>266766.59048155497</v>
      </c>
      <c r="P85">
        <f t="shared" si="25"/>
        <v>13.33832952407775</v>
      </c>
      <c r="Q85">
        <f t="shared" si="26"/>
        <v>0</v>
      </c>
      <c r="R85" s="6">
        <f t="shared" si="42"/>
        <v>1070.4551743026284</v>
      </c>
      <c r="S85">
        <f t="shared" si="27"/>
        <v>6.4227310458157705</v>
      </c>
      <c r="T85">
        <f t="shared" si="28"/>
        <v>0</v>
      </c>
      <c r="U85" s="6">
        <f t="shared" si="43"/>
        <v>4.9896873630786735E-4</v>
      </c>
      <c r="V85">
        <f t="shared" si="29"/>
        <v>7.4845310446180094E-5</v>
      </c>
      <c r="W85">
        <f t="shared" si="30"/>
        <v>0</v>
      </c>
      <c r="X85">
        <f t="shared" si="31"/>
        <v>267837.04615482636</v>
      </c>
      <c r="Y85" s="6">
        <f t="shared" si="34"/>
        <v>29640.732275728296</v>
      </c>
      <c r="Z85" s="6">
        <f t="shared" si="35"/>
        <v>118.93946381140313</v>
      </c>
      <c r="AA85" s="6">
        <f t="shared" si="36"/>
        <v>5.5440970700874164E-5</v>
      </c>
      <c r="AB85">
        <f t="shared" si="37"/>
        <v>0</v>
      </c>
      <c r="AD85" s="6">
        <f t="shared" si="32"/>
        <v>116673.09716568711</v>
      </c>
      <c r="AG85">
        <f t="shared" si="38"/>
        <v>82058.740072571309</v>
      </c>
      <c r="AH85">
        <f t="shared" si="39"/>
        <v>4854.6719923021674</v>
      </c>
      <c r="AI85">
        <f t="shared" si="40"/>
        <v>1.3305832968209797E-2</v>
      </c>
      <c r="AL85">
        <f t="shared" si="33"/>
        <v>0.99198905983269026</v>
      </c>
      <c r="AM85">
        <f t="shared" si="44"/>
        <v>0.89748536281297775</v>
      </c>
      <c r="AO85">
        <v>83</v>
      </c>
      <c r="AP85">
        <v>0.99542655936285895</v>
      </c>
      <c r="AQ85">
        <v>0.89490774611892199</v>
      </c>
    </row>
    <row r="86" spans="1:43" x14ac:dyDescent="0.35">
      <c r="B86" s="3" t="s">
        <v>7</v>
      </c>
      <c r="C86" s="9">
        <f>SUM(C83:C85)</f>
        <v>0.24999999999999997</v>
      </c>
      <c r="D86" s="19">
        <f>SUM(D83:D85)</f>
        <v>1.0000000000000002</v>
      </c>
      <c r="E86">
        <f>C86*A91</f>
        <v>99999.999999999985</v>
      </c>
      <c r="N86">
        <f t="shared" si="24"/>
        <v>84</v>
      </c>
      <c r="O86" s="6">
        <f t="shared" si="41"/>
        <v>266753.25215203088</v>
      </c>
      <c r="P86">
        <f t="shared" si="25"/>
        <v>13.337662607601544</v>
      </c>
      <c r="Q86">
        <f t="shared" si="26"/>
        <v>0</v>
      </c>
      <c r="R86" s="6">
        <f t="shared" si="42"/>
        <v>1064.0324432568127</v>
      </c>
      <c r="S86">
        <f t="shared" si="27"/>
        <v>6.3841946595408761</v>
      </c>
      <c r="T86">
        <f t="shared" si="28"/>
        <v>0</v>
      </c>
      <c r="U86" s="6">
        <f t="shared" si="43"/>
        <v>4.2412342586168727E-4</v>
      </c>
      <c r="V86">
        <f t="shared" si="29"/>
        <v>6.3618513879253088E-5</v>
      </c>
      <c r="W86">
        <f t="shared" si="30"/>
        <v>0</v>
      </c>
      <c r="X86">
        <f t="shared" si="31"/>
        <v>267817.28501941112</v>
      </c>
      <c r="Y86" s="6">
        <f t="shared" si="34"/>
        <v>29639.25023911451</v>
      </c>
      <c r="Z86" s="6">
        <f t="shared" si="35"/>
        <v>118.22582702853471</v>
      </c>
      <c r="AA86" s="6">
        <f t="shared" si="36"/>
        <v>4.7124825095743036E-5</v>
      </c>
      <c r="AB86">
        <f t="shared" si="37"/>
        <v>0</v>
      </c>
      <c r="AD86" s="6">
        <f t="shared" si="32"/>
        <v>116637.66851914192</v>
      </c>
      <c r="AG86">
        <f t="shared" si="38"/>
        <v>82054.637135567682</v>
      </c>
      <c r="AH86">
        <f t="shared" si="39"/>
        <v>4825.5439603483546</v>
      </c>
      <c r="AI86">
        <f t="shared" si="40"/>
        <v>1.1309958022978328E-2</v>
      </c>
      <c r="AL86">
        <f t="shared" si="33"/>
        <v>0.99191587044226337</v>
      </c>
      <c r="AM86">
        <f t="shared" si="44"/>
        <v>0.89721283476263014</v>
      </c>
      <c r="AO86">
        <v>84</v>
      </c>
      <c r="AP86">
        <v>0.99537310790179601</v>
      </c>
      <c r="AQ86">
        <v>0.894607081650447</v>
      </c>
    </row>
    <row r="87" spans="1:43" x14ac:dyDescent="0.35">
      <c r="N87">
        <f t="shared" si="24"/>
        <v>85</v>
      </c>
      <c r="O87" s="6">
        <f t="shared" si="41"/>
        <v>266739.91448942327</v>
      </c>
      <c r="P87">
        <f t="shared" si="25"/>
        <v>13.336995724471164</v>
      </c>
      <c r="Q87">
        <f t="shared" si="26"/>
        <v>0</v>
      </c>
      <c r="R87" s="6">
        <f t="shared" si="42"/>
        <v>1057.6482485972717</v>
      </c>
      <c r="S87">
        <f t="shared" si="27"/>
        <v>6.3458894915836304</v>
      </c>
      <c r="T87">
        <f t="shared" si="28"/>
        <v>0</v>
      </c>
      <c r="U87" s="6">
        <f t="shared" si="43"/>
        <v>3.6050491198243417E-4</v>
      </c>
      <c r="V87">
        <f t="shared" si="29"/>
        <v>5.4075736797365124E-5</v>
      </c>
      <c r="W87">
        <f t="shared" si="30"/>
        <v>0</v>
      </c>
      <c r="X87">
        <f t="shared" si="31"/>
        <v>267797.56309852545</v>
      </c>
      <c r="Y87" s="6">
        <f t="shared" si="34"/>
        <v>29637.768276602554</v>
      </c>
      <c r="Z87" s="6">
        <f t="shared" si="35"/>
        <v>117.51647206636351</v>
      </c>
      <c r="AA87" s="6">
        <f t="shared" si="36"/>
        <v>4.0056101331381583E-5</v>
      </c>
      <c r="AB87">
        <f t="shared" si="37"/>
        <v>0</v>
      </c>
      <c r="AD87" s="6">
        <f t="shared" si="32"/>
        <v>116602.4195024865</v>
      </c>
      <c r="AG87">
        <f t="shared" si="38"/>
        <v>82050.534403710903</v>
      </c>
      <c r="AH87">
        <f t="shared" si="39"/>
        <v>4796.5906965862641</v>
      </c>
      <c r="AI87">
        <f t="shared" si="40"/>
        <v>9.6134643195315787E-3</v>
      </c>
      <c r="AL87">
        <f t="shared" si="33"/>
        <v>0.99184282629083498</v>
      </c>
      <c r="AM87">
        <f t="shared" si="44"/>
        <v>0.89694168848066547</v>
      </c>
      <c r="AO87">
        <v>85</v>
      </c>
      <c r="AP87">
        <v>0.99531965644073495</v>
      </c>
      <c r="AQ87">
        <v>0.89442668296936201</v>
      </c>
    </row>
    <row r="88" spans="1:43" x14ac:dyDescent="0.35">
      <c r="B88" s="3" t="s">
        <v>9</v>
      </c>
      <c r="C88">
        <f>C82+C86</f>
        <v>1</v>
      </c>
      <c r="E88">
        <f>E82+E86</f>
        <v>400000</v>
      </c>
      <c r="G88" s="12" t="s">
        <v>29</v>
      </c>
      <c r="H88" s="4">
        <v>29</v>
      </c>
      <c r="J88">
        <f>D79*C86</f>
        <v>0.2480333333333333</v>
      </c>
      <c r="N88">
        <f t="shared" si="24"/>
        <v>86</v>
      </c>
      <c r="O88" s="6">
        <f t="shared" si="41"/>
        <v>266726.5774936988</v>
      </c>
      <c r="P88">
        <f t="shared" si="25"/>
        <v>13.336328874684941</v>
      </c>
      <c r="Q88">
        <f t="shared" si="26"/>
        <v>0</v>
      </c>
      <c r="R88" s="6">
        <f t="shared" si="42"/>
        <v>1051.3023591056881</v>
      </c>
      <c r="S88">
        <f t="shared" si="27"/>
        <v>6.3078141546341282</v>
      </c>
      <c r="T88">
        <f t="shared" si="28"/>
        <v>0</v>
      </c>
      <c r="U88" s="6">
        <f t="shared" si="43"/>
        <v>3.0642917518506902E-4</v>
      </c>
      <c r="V88">
        <f t="shared" si="29"/>
        <v>4.5964376277760349E-5</v>
      </c>
      <c r="W88">
        <f t="shared" si="30"/>
        <v>0</v>
      </c>
      <c r="X88">
        <f t="shared" si="31"/>
        <v>267777.88015923364</v>
      </c>
      <c r="Y88" s="6">
        <f t="shared" si="34"/>
        <v>29636.286388188724</v>
      </c>
      <c r="Z88" s="6">
        <f t="shared" si="35"/>
        <v>116.81137323396533</v>
      </c>
      <c r="AA88" s="6">
        <f t="shared" si="36"/>
        <v>3.4047686131674346E-5</v>
      </c>
      <c r="AB88">
        <f t="shared" si="37"/>
        <v>0</v>
      </c>
      <c r="AD88" s="6">
        <f t="shared" si="32"/>
        <v>116567.34899631252</v>
      </c>
      <c r="AG88">
        <f t="shared" si="38"/>
        <v>82046.431876990711</v>
      </c>
      <c r="AH88">
        <f t="shared" si="39"/>
        <v>4767.8111524067463</v>
      </c>
      <c r="AI88">
        <f t="shared" si="40"/>
        <v>8.1714446716018418E-3</v>
      </c>
      <c r="AL88">
        <f t="shared" si="33"/>
        <v>0.99176992651568019</v>
      </c>
      <c r="AM88">
        <f t="shared" si="44"/>
        <v>0.89667191535625013</v>
      </c>
      <c r="AO88">
        <v>86</v>
      </c>
      <c r="AP88">
        <v>0.995236138532825</v>
      </c>
      <c r="AQ88">
        <v>0.89414606279878395</v>
      </c>
    </row>
    <row r="89" spans="1:43" x14ac:dyDescent="0.35">
      <c r="B89" s="3" t="s">
        <v>12</v>
      </c>
      <c r="C89">
        <f>1-C88</f>
        <v>0</v>
      </c>
      <c r="D89">
        <f>C83+C89</f>
        <v>0.20599999999999999</v>
      </c>
      <c r="J89">
        <f>D80*C86</f>
        <v>1.633333333333333E-3</v>
      </c>
      <c r="N89">
        <f t="shared" si="24"/>
        <v>87</v>
      </c>
      <c r="O89" s="6">
        <f t="shared" si="41"/>
        <v>266713.24116482411</v>
      </c>
      <c r="P89">
        <f t="shared" si="25"/>
        <v>13.335662058241207</v>
      </c>
      <c r="Q89">
        <f t="shared" si="26"/>
        <v>0</v>
      </c>
      <c r="R89" s="6">
        <f t="shared" si="42"/>
        <v>1044.994544951054</v>
      </c>
      <c r="S89">
        <f t="shared" si="27"/>
        <v>6.2699672697063242</v>
      </c>
      <c r="T89">
        <f t="shared" si="28"/>
        <v>0</v>
      </c>
      <c r="U89" s="6">
        <f t="shared" si="43"/>
        <v>2.6046479890730865E-4</v>
      </c>
      <c r="V89">
        <f t="shared" si="29"/>
        <v>3.9069719836096297E-5</v>
      </c>
      <c r="W89">
        <f t="shared" si="30"/>
        <v>0</v>
      </c>
      <c r="X89">
        <f t="shared" si="31"/>
        <v>267758.23597023997</v>
      </c>
      <c r="Y89" s="6">
        <f t="shared" si="34"/>
        <v>29634.804573869314</v>
      </c>
      <c r="Z89" s="6">
        <f t="shared" si="35"/>
        <v>116.11050499456154</v>
      </c>
      <c r="AA89" s="6">
        <f t="shared" si="36"/>
        <v>2.8940533211923194E-5</v>
      </c>
      <c r="AB89">
        <f t="shared" si="37"/>
        <v>0</v>
      </c>
      <c r="AD89" s="6">
        <f t="shared" si="32"/>
        <v>116532.45589442155</v>
      </c>
      <c r="AG89">
        <f t="shared" si="38"/>
        <v>82042.329555396864</v>
      </c>
      <c r="AH89">
        <f t="shared" si="39"/>
        <v>4739.2042854923056</v>
      </c>
      <c r="AI89">
        <f t="shared" si="40"/>
        <v>6.9457279708615653E-3</v>
      </c>
      <c r="AL89">
        <f t="shared" si="33"/>
        <v>0.99169717026014803</v>
      </c>
      <c r="AM89">
        <f t="shared" si="44"/>
        <v>0.89640350688016579</v>
      </c>
      <c r="AO89">
        <v>87</v>
      </c>
      <c r="AP89">
        <v>0.995176005639129</v>
      </c>
      <c r="AQ89">
        <v>0.89392557552190299</v>
      </c>
    </row>
    <row r="90" spans="1:43" x14ac:dyDescent="0.35">
      <c r="A90" s="1" t="s">
        <v>11</v>
      </c>
      <c r="C90" t="s">
        <v>43</v>
      </c>
      <c r="D90" t="s">
        <v>43</v>
      </c>
      <c r="E90" t="s">
        <v>58</v>
      </c>
      <c r="J90">
        <f>D81*C86</f>
        <v>3.3333333333333327E-4</v>
      </c>
      <c r="N90">
        <f t="shared" si="24"/>
        <v>88</v>
      </c>
      <c r="O90" s="6">
        <f t="shared" si="41"/>
        <v>266699.90550276585</v>
      </c>
      <c r="P90">
        <f t="shared" si="25"/>
        <v>13.334995275138294</v>
      </c>
      <c r="Q90">
        <f t="shared" si="26"/>
        <v>0</v>
      </c>
      <c r="R90" s="6">
        <f t="shared" si="42"/>
        <v>1038.7245776813477</v>
      </c>
      <c r="S90">
        <f t="shared" si="27"/>
        <v>6.2323474660880862</v>
      </c>
      <c r="T90">
        <f t="shared" si="28"/>
        <v>0</v>
      </c>
      <c r="U90" s="6">
        <f t="shared" si="43"/>
        <v>2.2139507907121235E-4</v>
      </c>
      <c r="V90">
        <f t="shared" si="29"/>
        <v>3.3209261860681854E-5</v>
      </c>
      <c r="W90">
        <f t="shared" si="30"/>
        <v>0</v>
      </c>
      <c r="X90">
        <f t="shared" si="31"/>
        <v>267738.63030184223</v>
      </c>
      <c r="Y90" s="6">
        <f t="shared" si="34"/>
        <v>29633.322833640621</v>
      </c>
      <c r="Z90" s="6">
        <f t="shared" si="35"/>
        <v>115.41384196459417</v>
      </c>
      <c r="AA90" s="6">
        <f t="shared" si="36"/>
        <v>2.4599453230134713E-5</v>
      </c>
      <c r="AB90">
        <f t="shared" si="37"/>
        <v>0</v>
      </c>
      <c r="AD90" s="6">
        <f t="shared" si="32"/>
        <v>116497.7391027719</v>
      </c>
      <c r="AG90">
        <f t="shared" si="38"/>
        <v>82038.227438919101</v>
      </c>
      <c r="AH90">
        <f t="shared" si="39"/>
        <v>4710.7690597793517</v>
      </c>
      <c r="AI90">
        <f t="shared" si="40"/>
        <v>5.9038687752323302E-3</v>
      </c>
      <c r="AL90">
        <f t="shared" si="33"/>
        <v>0.9916245566734897</v>
      </c>
      <c r="AM90">
        <f t="shared" si="44"/>
        <v>0.89613645463670688</v>
      </c>
      <c r="AO90">
        <v>88</v>
      </c>
      <c r="AP90">
        <v>0.995115872745435</v>
      </c>
      <c r="AQ90">
        <v>0.893775243287665</v>
      </c>
    </row>
    <row r="91" spans="1:43" x14ac:dyDescent="0.35">
      <c r="A91">
        <v>400000</v>
      </c>
      <c r="C91">
        <f>C85/C81</f>
        <v>24</v>
      </c>
      <c r="D91" s="9">
        <f>D85/D81</f>
        <v>72.000000000000014</v>
      </c>
      <c r="E91" s="9">
        <f>(D84+D85)/(D80+D81)</f>
        <v>22.372881355932211</v>
      </c>
      <c r="J91" s="9">
        <f>SUM(J88:J90)</f>
        <v>0.24999999999999994</v>
      </c>
      <c r="N91">
        <f t="shared" si="24"/>
        <v>89</v>
      </c>
      <c r="O91" s="6">
        <f t="shared" si="41"/>
        <v>266686.57050749072</v>
      </c>
      <c r="P91">
        <f t="shared" si="25"/>
        <v>13.334328525374536</v>
      </c>
      <c r="Q91">
        <f t="shared" si="26"/>
        <v>0</v>
      </c>
      <c r="R91" s="6">
        <f t="shared" si="42"/>
        <v>1032.4922302152595</v>
      </c>
      <c r="S91">
        <f t="shared" si="27"/>
        <v>6.1949533812915574</v>
      </c>
      <c r="T91">
        <f t="shared" si="28"/>
        <v>0</v>
      </c>
      <c r="U91" s="6">
        <f t="shared" si="43"/>
        <v>1.881858172105305E-4</v>
      </c>
      <c r="V91">
        <f t="shared" si="29"/>
        <v>2.8227872581579575E-5</v>
      </c>
      <c r="W91">
        <f t="shared" si="30"/>
        <v>0</v>
      </c>
      <c r="X91">
        <f t="shared" si="31"/>
        <v>267719.06292589183</v>
      </c>
      <c r="Y91" s="6">
        <f t="shared" si="34"/>
        <v>29631.84116749894</v>
      </c>
      <c r="Z91" s="6">
        <f t="shared" si="35"/>
        <v>114.72135891280661</v>
      </c>
      <c r="AA91" s="6">
        <f t="shared" si="36"/>
        <v>2.0909535245614506E-5</v>
      </c>
      <c r="AB91">
        <f t="shared" si="37"/>
        <v>0</v>
      </c>
      <c r="AD91" s="6">
        <f t="shared" si="32"/>
        <v>116463.19753857757</v>
      </c>
      <c r="AG91">
        <f t="shared" si="38"/>
        <v>82034.125527547149</v>
      </c>
      <c r="AH91">
        <f t="shared" si="39"/>
        <v>4682.5044454206754</v>
      </c>
      <c r="AI91">
        <f t="shared" si="40"/>
        <v>5.0182884589474808E-3</v>
      </c>
      <c r="AL91">
        <f t="shared" si="33"/>
        <v>0.99155208491071045</v>
      </c>
      <c r="AM91">
        <f t="shared" si="44"/>
        <v>0.89587075029675056</v>
      </c>
      <c r="AO91">
        <v>89</v>
      </c>
      <c r="AP91">
        <v>0.99506242128437095</v>
      </c>
      <c r="AQ91">
        <v>0.89350464526603701</v>
      </c>
    </row>
    <row r="92" spans="1:43" x14ac:dyDescent="0.35">
      <c r="N92">
        <f t="shared" si="24"/>
        <v>90</v>
      </c>
      <c r="O92" s="6">
        <f t="shared" si="41"/>
        <v>266673.23617896537</v>
      </c>
      <c r="P92">
        <f t="shared" si="25"/>
        <v>13.333661808948269</v>
      </c>
      <c r="Q92">
        <f t="shared" si="26"/>
        <v>0</v>
      </c>
      <c r="R92" s="6">
        <f t="shared" si="42"/>
        <v>1026.297276833968</v>
      </c>
      <c r="S92">
        <f t="shared" si="27"/>
        <v>6.1577836610038084</v>
      </c>
      <c r="T92">
        <f t="shared" si="28"/>
        <v>0</v>
      </c>
      <c r="U92" s="6">
        <f t="shared" si="43"/>
        <v>1.5995794462895092E-4</v>
      </c>
      <c r="V92">
        <f t="shared" si="29"/>
        <v>2.3993691694342637E-5</v>
      </c>
      <c r="W92">
        <f t="shared" si="30"/>
        <v>0</v>
      </c>
      <c r="X92">
        <f t="shared" si="31"/>
        <v>267699.5336157573</v>
      </c>
      <c r="Y92" s="6">
        <f t="shared" si="34"/>
        <v>29630.359575440565</v>
      </c>
      <c r="Z92" s="6">
        <f t="shared" si="35"/>
        <v>114.03303075932976</v>
      </c>
      <c r="AA92" s="6">
        <f t="shared" si="36"/>
        <v>1.7773104958772329E-5</v>
      </c>
      <c r="AB92">
        <f t="shared" si="37"/>
        <v>0</v>
      </c>
      <c r="AD92" s="6">
        <f t="shared" si="32"/>
        <v>116428.83012953712</v>
      </c>
      <c r="AG92">
        <f t="shared" si="38"/>
        <v>82030.023821270777</v>
      </c>
      <c r="AH92">
        <f t="shared" si="39"/>
        <v>4654.4094187481514</v>
      </c>
      <c r="AI92">
        <f t="shared" si="40"/>
        <v>4.2655451901053585E-3</v>
      </c>
      <c r="AL92">
        <f t="shared" si="33"/>
        <v>0.9914797541324345</v>
      </c>
      <c r="AM92">
        <f t="shared" si="44"/>
        <v>0.89560638561182404</v>
      </c>
      <c r="AO92">
        <v>90</v>
      </c>
      <c r="AP92">
        <v>0.99500896982331</v>
      </c>
      <c r="AQ92">
        <v>0.89326411369125702</v>
      </c>
    </row>
    <row r="93" spans="1:43" x14ac:dyDescent="0.35">
      <c r="A93" s="15" t="s">
        <v>46</v>
      </c>
      <c r="B93" t="s">
        <v>48</v>
      </c>
      <c r="N93">
        <f t="shared" si="24"/>
        <v>91</v>
      </c>
      <c r="O93" s="6">
        <f t="shared" si="41"/>
        <v>266659.90251715644</v>
      </c>
      <c r="P93">
        <f t="shared" si="25"/>
        <v>13.332995125857822</v>
      </c>
      <c r="Q93">
        <f t="shared" si="26"/>
        <v>0</v>
      </c>
      <c r="R93" s="6">
        <f t="shared" si="42"/>
        <v>1020.1394931729642</v>
      </c>
      <c r="S93">
        <f t="shared" si="27"/>
        <v>6.1208369590377849</v>
      </c>
      <c r="T93">
        <f t="shared" si="28"/>
        <v>0</v>
      </c>
      <c r="U93" s="6">
        <f t="shared" si="43"/>
        <v>1.3596425293460829E-4</v>
      </c>
      <c r="V93">
        <f t="shared" si="29"/>
        <v>2.0394637940191244E-5</v>
      </c>
      <c r="W93">
        <f t="shared" si="30"/>
        <v>0</v>
      </c>
      <c r="X93">
        <f t="shared" si="31"/>
        <v>267680.04214629368</v>
      </c>
      <c r="Y93" s="6">
        <f t="shared" si="34"/>
        <v>29628.878057461792</v>
      </c>
      <c r="Z93" s="6">
        <f t="shared" si="35"/>
        <v>113.34883257477378</v>
      </c>
      <c r="AA93" s="6">
        <f t="shared" si="36"/>
        <v>1.5107139214956481E-5</v>
      </c>
      <c r="AB93">
        <f t="shared" si="37"/>
        <v>0</v>
      </c>
      <c r="AD93" s="6">
        <f t="shared" si="32"/>
        <v>116394.63581317248</v>
      </c>
      <c r="AG93">
        <f t="shared" si="38"/>
        <v>82025.922320079713</v>
      </c>
      <c r="AH93">
        <f t="shared" si="39"/>
        <v>4626.4829622356629</v>
      </c>
      <c r="AI93">
        <f t="shared" si="40"/>
        <v>3.6257134115895546E-3</v>
      </c>
      <c r="AL93">
        <f t="shared" si="33"/>
        <v>0.99140756350479142</v>
      </c>
      <c r="AM93">
        <f t="shared" si="44"/>
        <v>0.89534335240901908</v>
      </c>
      <c r="AO93">
        <v>91</v>
      </c>
      <c r="AP93">
        <v>0.99495885907856396</v>
      </c>
      <c r="AQ93">
        <v>0.89312380360596899</v>
      </c>
    </row>
    <row r="94" spans="1:43" ht="58" x14ac:dyDescent="0.35">
      <c r="A94" s="2" t="s">
        <v>0</v>
      </c>
      <c r="B94" s="2" t="s">
        <v>2</v>
      </c>
      <c r="C94" s="2" t="s">
        <v>8</v>
      </c>
      <c r="D94" s="2" t="s">
        <v>10</v>
      </c>
      <c r="E94" s="2" t="s">
        <v>13</v>
      </c>
      <c r="F94" s="2" t="s">
        <v>27</v>
      </c>
      <c r="G94" s="2" t="s">
        <v>28</v>
      </c>
      <c r="H94" s="2" t="s">
        <v>30</v>
      </c>
      <c r="I94" s="2" t="s">
        <v>32</v>
      </c>
      <c r="N94">
        <f t="shared" si="24"/>
        <v>92</v>
      </c>
      <c r="O94" s="6">
        <f t="shared" si="41"/>
        <v>266646.56952203059</v>
      </c>
      <c r="P94">
        <f t="shared" si="25"/>
        <v>13.33232847610153</v>
      </c>
      <c r="Q94">
        <f t="shared" si="26"/>
        <v>0</v>
      </c>
      <c r="R94" s="6">
        <f t="shared" si="42"/>
        <v>1014.0186562139264</v>
      </c>
      <c r="S94">
        <f t="shared" si="27"/>
        <v>6.0841119372835584</v>
      </c>
      <c r="T94">
        <f t="shared" si="28"/>
        <v>0</v>
      </c>
      <c r="U94" s="6">
        <f t="shared" si="43"/>
        <v>1.1556961499441705E-4</v>
      </c>
      <c r="V94">
        <f t="shared" si="29"/>
        <v>1.7335442249162556E-5</v>
      </c>
      <c r="W94">
        <f t="shared" si="30"/>
        <v>0</v>
      </c>
      <c r="X94">
        <f t="shared" si="31"/>
        <v>267660.58829381416</v>
      </c>
      <c r="Y94" s="6">
        <f t="shared" si="34"/>
        <v>29627.396613558918</v>
      </c>
      <c r="Z94" s="6">
        <f t="shared" si="35"/>
        <v>112.66873957932513</v>
      </c>
      <c r="AA94" s="6">
        <f t="shared" si="36"/>
        <v>1.2841068332713009E-5</v>
      </c>
      <c r="AB94">
        <f t="shared" si="37"/>
        <v>0</v>
      </c>
      <c r="AD94" s="6">
        <f t="shared" si="32"/>
        <v>116360.61353626168</v>
      </c>
      <c r="AG94">
        <f t="shared" si="38"/>
        <v>82021.821023963712</v>
      </c>
      <c r="AH94">
        <f t="shared" si="39"/>
        <v>4598.7240644622489</v>
      </c>
      <c r="AI94">
        <f t="shared" si="40"/>
        <v>3.0818563998511214E-3</v>
      </c>
      <c r="AL94">
        <f t="shared" si="33"/>
        <v>0.99133551219931171</v>
      </c>
      <c r="AM94">
        <f t="shared" si="44"/>
        <v>0.89508164258662826</v>
      </c>
      <c r="AO94">
        <v>92</v>
      </c>
      <c r="AP94">
        <v>0.994918770482767</v>
      </c>
      <c r="AQ94">
        <v>0.89298349352067996</v>
      </c>
    </row>
    <row r="95" spans="1:43" x14ac:dyDescent="0.35">
      <c r="B95" t="s">
        <v>3</v>
      </c>
      <c r="C95" s="4">
        <v>0.9</v>
      </c>
      <c r="D95" s="10">
        <f>C95/C98</f>
        <v>0.98253275109170302</v>
      </c>
      <c r="E95">
        <f>$A$15*C95</f>
        <v>360000</v>
      </c>
      <c r="F95" s="4">
        <v>5.0000000000000002E-5</v>
      </c>
      <c r="G95" s="4">
        <v>0.95</v>
      </c>
      <c r="H95" s="4">
        <v>0</v>
      </c>
      <c r="I95" s="4">
        <v>0.7</v>
      </c>
      <c r="N95">
        <f t="shared" si="24"/>
        <v>93</v>
      </c>
      <c r="O95" s="6">
        <f t="shared" si="41"/>
        <v>266633.23719355447</v>
      </c>
      <c r="P95">
        <f t="shared" si="25"/>
        <v>13.331661859677723</v>
      </c>
      <c r="Q95">
        <f t="shared" si="26"/>
        <v>0</v>
      </c>
      <c r="R95" s="6">
        <f t="shared" si="42"/>
        <v>1007.9345442766429</v>
      </c>
      <c r="S95">
        <f t="shared" si="27"/>
        <v>6.0476072656598578</v>
      </c>
      <c r="T95">
        <f t="shared" si="28"/>
        <v>0</v>
      </c>
      <c r="U95" s="6">
        <f t="shared" si="43"/>
        <v>9.8234172745254497E-5</v>
      </c>
      <c r="V95">
        <f t="shared" si="29"/>
        <v>1.4735125911788175E-5</v>
      </c>
      <c r="W95">
        <f t="shared" si="30"/>
        <v>0</v>
      </c>
      <c r="X95">
        <f t="shared" si="31"/>
        <v>267641.17183606524</v>
      </c>
      <c r="Y95" s="6">
        <f t="shared" si="34"/>
        <v>29625.915243728239</v>
      </c>
      <c r="Z95" s="6">
        <f t="shared" si="35"/>
        <v>111.99272714184919</v>
      </c>
      <c r="AA95" s="6">
        <f t="shared" si="36"/>
        <v>1.0914908082806057E-5</v>
      </c>
      <c r="AB95">
        <f t="shared" si="37"/>
        <v>0</v>
      </c>
      <c r="AD95" s="6">
        <f t="shared" si="32"/>
        <v>116326.76225435092</v>
      </c>
      <c r="AG95">
        <f t="shared" si="38"/>
        <v>82017.719932912514</v>
      </c>
      <c r="AH95">
        <f t="shared" si="39"/>
        <v>4571.1317200754756</v>
      </c>
      <c r="AI95">
        <f t="shared" si="40"/>
        <v>2.619577939873453E-3</v>
      </c>
      <c r="AL95">
        <f t="shared" si="33"/>
        <v>0.99126359939283426</v>
      </c>
      <c r="AM95">
        <f t="shared" si="44"/>
        <v>0.89482124811039165</v>
      </c>
      <c r="AO95">
        <v>93</v>
      </c>
      <c r="AP95">
        <v>0.99486197830538903</v>
      </c>
      <c r="AQ95">
        <v>0.89268282905220497</v>
      </c>
    </row>
    <row r="96" spans="1:43" x14ac:dyDescent="0.35">
      <c r="A96" t="s">
        <v>1</v>
      </c>
      <c r="B96" t="s">
        <v>5</v>
      </c>
      <c r="C96" s="4">
        <v>1.4999999999999999E-2</v>
      </c>
      <c r="D96" s="10">
        <f>C96/C98</f>
        <v>1.6375545851528384E-2</v>
      </c>
      <c r="E96">
        <f>$A$15*C96</f>
        <v>6000</v>
      </c>
      <c r="F96" s="4">
        <v>0.01</v>
      </c>
      <c r="G96" s="4">
        <v>0.7</v>
      </c>
      <c r="H96" s="4">
        <v>0</v>
      </c>
      <c r="I96" s="4">
        <v>0.7</v>
      </c>
      <c r="N96">
        <f t="shared" si="24"/>
        <v>94</v>
      </c>
      <c r="O96" s="6">
        <f t="shared" si="41"/>
        <v>266619.90553169476</v>
      </c>
      <c r="P96">
        <f t="shared" si="25"/>
        <v>13.330995276584739</v>
      </c>
      <c r="Q96">
        <f t="shared" si="26"/>
        <v>0</v>
      </c>
      <c r="R96" s="6">
        <f t="shared" si="42"/>
        <v>1001.886937010983</v>
      </c>
      <c r="S96">
        <f t="shared" si="27"/>
        <v>6.011321622065898</v>
      </c>
      <c r="T96">
        <f t="shared" si="28"/>
        <v>0</v>
      </c>
      <c r="U96" s="6">
        <f t="shared" si="43"/>
        <v>8.3499046833466326E-5</v>
      </c>
      <c r="V96">
        <f t="shared" si="29"/>
        <v>1.2524857025019949E-5</v>
      </c>
      <c r="W96">
        <f t="shared" si="30"/>
        <v>0</v>
      </c>
      <c r="X96">
        <f t="shared" si="31"/>
        <v>267621.7925522048</v>
      </c>
      <c r="Y96" s="6">
        <f t="shared" si="34"/>
        <v>29624.433947966052</v>
      </c>
      <c r="Z96" s="6">
        <f t="shared" si="35"/>
        <v>111.3207707789981</v>
      </c>
      <c r="AA96" s="6">
        <f t="shared" si="36"/>
        <v>9.2776718703851492E-6</v>
      </c>
      <c r="AB96">
        <f t="shared" si="37"/>
        <v>0</v>
      </c>
      <c r="AD96" s="6">
        <f t="shared" si="32"/>
        <v>116293.08093133489</v>
      </c>
      <c r="AG96">
        <f t="shared" si="38"/>
        <v>82013.619046915876</v>
      </c>
      <c r="AH96">
        <f t="shared" si="39"/>
        <v>4543.7049297550229</v>
      </c>
      <c r="AI96">
        <f t="shared" si="40"/>
        <v>2.226641248892435E-3</v>
      </c>
      <c r="AL96">
        <f t="shared" si="33"/>
        <v>0.99119182426742525</v>
      </c>
      <c r="AM96">
        <f t="shared" si="44"/>
        <v>0.89456216101026831</v>
      </c>
      <c r="AO96">
        <v>94</v>
      </c>
      <c r="AP96">
        <v>0.99478514183011202</v>
      </c>
      <c r="AQ96">
        <v>0.89248238607322194</v>
      </c>
    </row>
    <row r="97" spans="1:43" x14ac:dyDescent="0.35">
      <c r="B97" t="s">
        <v>4</v>
      </c>
      <c r="C97" s="4">
        <v>1E-3</v>
      </c>
      <c r="D97" s="10">
        <f>C97/C98</f>
        <v>1.0917030567685589E-3</v>
      </c>
      <c r="E97">
        <f>$A$15*C97</f>
        <v>400</v>
      </c>
      <c r="F97" s="4">
        <v>0.2</v>
      </c>
      <c r="G97" s="4">
        <v>0.5</v>
      </c>
      <c r="H97" s="4">
        <v>0</v>
      </c>
      <c r="I97" s="4">
        <v>0.7</v>
      </c>
      <c r="N97">
        <f t="shared" si="24"/>
        <v>95</v>
      </c>
      <c r="O97" s="6">
        <f t="shared" si="41"/>
        <v>266606.57453641819</v>
      </c>
      <c r="P97">
        <f t="shared" si="25"/>
        <v>13.330328726820911</v>
      </c>
      <c r="Q97">
        <f t="shared" si="26"/>
        <v>0</v>
      </c>
      <c r="R97" s="6">
        <f t="shared" si="42"/>
        <v>995.87561538891714</v>
      </c>
      <c r="S97">
        <f t="shared" si="27"/>
        <v>5.9752536923335029</v>
      </c>
      <c r="T97">
        <f t="shared" si="28"/>
        <v>0</v>
      </c>
      <c r="U97" s="6">
        <f t="shared" si="43"/>
        <v>7.0974189808446374E-5</v>
      </c>
      <c r="V97">
        <f t="shared" si="29"/>
        <v>1.0646128471266956E-5</v>
      </c>
      <c r="W97">
        <f t="shared" si="30"/>
        <v>0</v>
      </c>
      <c r="X97">
        <f t="shared" si="31"/>
        <v>267602.45022278128</v>
      </c>
      <c r="Y97" s="6">
        <f t="shared" si="34"/>
        <v>29622.952726268653</v>
      </c>
      <c r="Z97" s="6">
        <f t="shared" si="35"/>
        <v>110.65284615432411</v>
      </c>
      <c r="AA97" s="6">
        <f t="shared" si="36"/>
        <v>7.886021089827376E-6</v>
      </c>
      <c r="AB97">
        <f t="shared" si="37"/>
        <v>0</v>
      </c>
      <c r="AD97" s="6">
        <f t="shared" si="32"/>
        <v>116259.56853909409</v>
      </c>
      <c r="AG97">
        <f t="shared" si="38"/>
        <v>82009.518365963537</v>
      </c>
      <c r="AH97">
        <f t="shared" si="39"/>
        <v>4516.4427001764925</v>
      </c>
      <c r="AI97">
        <f t="shared" si="40"/>
        <v>1.8926450615585697E-3</v>
      </c>
      <c r="AL97">
        <f t="shared" si="33"/>
        <v>0.99112018601030105</v>
      </c>
      <c r="AM97">
        <f t="shared" si="44"/>
        <v>0.8943043733776469</v>
      </c>
      <c r="AO97">
        <v>95</v>
      </c>
      <c r="AP97">
        <v>0.99471832750378397</v>
      </c>
      <c r="AQ97">
        <v>0.89228194309423803</v>
      </c>
    </row>
    <row r="98" spans="1:43" x14ac:dyDescent="0.35">
      <c r="B98" s="3" t="s">
        <v>7</v>
      </c>
      <c r="C98" s="9">
        <f>SUM(C95:C97)</f>
        <v>0.91600000000000004</v>
      </c>
      <c r="D98">
        <f>SUM(D95:D97)</f>
        <v>0.99999999999999989</v>
      </c>
      <c r="E98">
        <f>A107*C98</f>
        <v>0</v>
      </c>
      <c r="G98" s="11">
        <f>D95*G95+D96*G96+D97*G97</f>
        <v>0.94541484716157187</v>
      </c>
      <c r="N98">
        <f t="shared" si="24"/>
        <v>96</v>
      </c>
      <c r="O98" s="6">
        <f t="shared" si="41"/>
        <v>266593.24420769134</v>
      </c>
      <c r="P98">
        <f t="shared" si="25"/>
        <v>13.329662210384567</v>
      </c>
      <c r="Q98">
        <f t="shared" si="26"/>
        <v>0</v>
      </c>
      <c r="R98" s="6">
        <f t="shared" si="42"/>
        <v>989.90036169658367</v>
      </c>
      <c r="S98">
        <f t="shared" si="27"/>
        <v>5.9394021701795019</v>
      </c>
      <c r="T98">
        <f t="shared" si="28"/>
        <v>0</v>
      </c>
      <c r="U98" s="6">
        <f t="shared" si="43"/>
        <v>6.0328061337179418E-5</v>
      </c>
      <c r="V98">
        <f t="shared" si="29"/>
        <v>9.0492092005769116E-6</v>
      </c>
      <c r="W98">
        <f t="shared" si="30"/>
        <v>0</v>
      </c>
      <c r="X98">
        <f t="shared" ref="X98:X115" si="45">O98+R98+U98-$J$57</f>
        <v>267583.144629716</v>
      </c>
      <c r="Y98" s="6">
        <f t="shared" si="34"/>
        <v>29621.47157863234</v>
      </c>
      <c r="Z98" s="6">
        <f t="shared" si="35"/>
        <v>109.98892907739817</v>
      </c>
      <c r="AA98" s="6">
        <f t="shared" si="36"/>
        <v>6.7031179263532698E-6</v>
      </c>
      <c r="AB98">
        <f t="shared" si="37"/>
        <v>0</v>
      </c>
      <c r="AD98" s="6">
        <f t="shared" ref="AD98:AD115" si="46">Y98+Z98+AA98+AG98+AH98+AI98-AB98+$M$59</f>
        <v>116226.22405718184</v>
      </c>
      <c r="AG98">
        <f t="shared" si="38"/>
        <v>82005.417890045239</v>
      </c>
      <c r="AH98">
        <f t="shared" si="39"/>
        <v>4489.3440439754331</v>
      </c>
      <c r="AI98">
        <f t="shared" si="40"/>
        <v>1.6087483023247843E-3</v>
      </c>
      <c r="AL98">
        <f t="shared" ref="AL98:AL115" si="47">X98/$X$2</f>
        <v>0.99104868381376299</v>
      </c>
      <c r="AM98">
        <f t="shared" si="44"/>
        <v>0.89404787736293723</v>
      </c>
      <c r="AO98">
        <v>96</v>
      </c>
      <c r="AP98">
        <v>0.99463480959587303</v>
      </c>
      <c r="AQ98">
        <v>0.89206145581735596</v>
      </c>
    </row>
    <row r="99" spans="1:43" x14ac:dyDescent="0.35">
      <c r="B99" t="s">
        <v>3</v>
      </c>
      <c r="C99" s="4">
        <v>7.1999999999999911E-2</v>
      </c>
      <c r="D99" s="10">
        <f>C99/C102</f>
        <v>0.85714285714285687</v>
      </c>
      <c r="E99">
        <f>$A$15*C99</f>
        <v>28799.999999999964</v>
      </c>
      <c r="F99" s="4">
        <v>5.0000000000000002E-5</v>
      </c>
      <c r="G99" s="5" t="s">
        <v>15</v>
      </c>
      <c r="H99" s="4">
        <v>0</v>
      </c>
      <c r="I99" s="5" t="s">
        <v>15</v>
      </c>
      <c r="N99">
        <f t="shared" si="24"/>
        <v>97</v>
      </c>
      <c r="O99" s="6">
        <f t="shared" si="41"/>
        <v>266579.91454548098</v>
      </c>
      <c r="P99">
        <f t="shared" si="25"/>
        <v>13.32899572727405</v>
      </c>
      <c r="Q99">
        <f t="shared" si="26"/>
        <v>0</v>
      </c>
      <c r="R99" s="6">
        <f t="shared" si="42"/>
        <v>983.96095952640417</v>
      </c>
      <c r="S99">
        <f t="shared" si="27"/>
        <v>5.9037657571584248</v>
      </c>
      <c r="T99">
        <f t="shared" si="28"/>
        <v>0</v>
      </c>
      <c r="U99" s="6">
        <f t="shared" si="43"/>
        <v>5.1278852136602504E-5</v>
      </c>
      <c r="V99">
        <f t="shared" si="29"/>
        <v>7.6918278204903756E-6</v>
      </c>
      <c r="W99">
        <f t="shared" si="30"/>
        <v>0</v>
      </c>
      <c r="X99">
        <f t="shared" si="45"/>
        <v>267563.87555628625</v>
      </c>
      <c r="Y99" s="6">
        <f t="shared" si="34"/>
        <v>29619.990505053407</v>
      </c>
      <c r="Z99" s="6">
        <f t="shared" si="35"/>
        <v>109.32899550293378</v>
      </c>
      <c r="AA99" s="6">
        <f t="shared" si="36"/>
        <v>5.6976502374002793E-6</v>
      </c>
      <c r="AB99">
        <f t="shared" si="37"/>
        <v>0</v>
      </c>
      <c r="AD99" s="6">
        <f t="shared" si="46"/>
        <v>116193.04647255236</v>
      </c>
      <c r="AG99">
        <f t="shared" si="38"/>
        <v>82001.317619150737</v>
      </c>
      <c r="AH99">
        <f t="shared" si="39"/>
        <v>4462.4079797115801</v>
      </c>
      <c r="AI99">
        <f t="shared" si="40"/>
        <v>1.3674360569760667E-3</v>
      </c>
      <c r="AL99">
        <f t="shared" si="47"/>
        <v>0.99097731687513424</v>
      </c>
      <c r="AM99">
        <f t="shared" si="44"/>
        <v>0.89379266517347977</v>
      </c>
      <c r="AO99">
        <v>97</v>
      </c>
      <c r="AP99">
        <v>0.99456799526954498</v>
      </c>
      <c r="AQ99">
        <v>0.89185099068942297</v>
      </c>
    </row>
    <row r="100" spans="1:43" x14ac:dyDescent="0.35">
      <c r="A100" t="s">
        <v>6</v>
      </c>
      <c r="B100" t="s">
        <v>5</v>
      </c>
      <c r="C100" s="4">
        <v>5.0000000000000001E-3</v>
      </c>
      <c r="D100" s="10">
        <f>C100/C102</f>
        <v>5.9523809523809583E-2</v>
      </c>
      <c r="E100">
        <f>$A$15*C100</f>
        <v>2000</v>
      </c>
      <c r="F100" s="4">
        <v>0.01</v>
      </c>
      <c r="G100" s="5" t="s">
        <v>15</v>
      </c>
      <c r="H100" s="4">
        <v>0</v>
      </c>
      <c r="I100" s="5" t="s">
        <v>15</v>
      </c>
      <c r="N100">
        <f t="shared" si="24"/>
        <v>98</v>
      </c>
      <c r="O100" s="6">
        <f t="shared" si="41"/>
        <v>266566.58554975368</v>
      </c>
      <c r="P100">
        <f t="shared" si="25"/>
        <v>13.328329277487684</v>
      </c>
      <c r="Q100">
        <f t="shared" si="26"/>
        <v>0</v>
      </c>
      <c r="R100" s="6">
        <f t="shared" si="42"/>
        <v>978.05719376924571</v>
      </c>
      <c r="S100">
        <f t="shared" si="27"/>
        <v>5.8683431626154743</v>
      </c>
      <c r="T100">
        <f t="shared" si="28"/>
        <v>0</v>
      </c>
      <c r="U100" s="6">
        <f t="shared" si="43"/>
        <v>4.3587024316112127E-5</v>
      </c>
      <c r="V100">
        <f t="shared" si="29"/>
        <v>6.5380536474168192E-6</v>
      </c>
      <c r="W100">
        <f t="shared" si="30"/>
        <v>0</v>
      </c>
      <c r="X100">
        <f t="shared" si="45"/>
        <v>267544.64278710994</v>
      </c>
      <c r="Y100" s="6">
        <f t="shared" si="34"/>
        <v>29618.509505528153</v>
      </c>
      <c r="Z100" s="6">
        <f t="shared" si="35"/>
        <v>108.67302152991617</v>
      </c>
      <c r="AA100" s="6">
        <f t="shared" si="36"/>
        <v>4.8430027017902373E-6</v>
      </c>
      <c r="AB100">
        <f t="shared" si="37"/>
        <v>0</v>
      </c>
      <c r="AD100" s="6">
        <f t="shared" si="46"/>
        <v>116160.03477932481</v>
      </c>
      <c r="AG100">
        <f t="shared" si="38"/>
        <v>81997.217553269773</v>
      </c>
      <c r="AH100">
        <f t="shared" si="39"/>
        <v>4435.6335318333104</v>
      </c>
      <c r="AI100">
        <f t="shared" si="40"/>
        <v>1.1623206484296566E-3</v>
      </c>
      <c r="AL100">
        <f t="shared" si="47"/>
        <v>0.99090608439670347</v>
      </c>
      <c r="AM100">
        <f t="shared" si="44"/>
        <v>0.89353872907172927</v>
      </c>
      <c r="AO100">
        <v>98</v>
      </c>
      <c r="AP100">
        <v>0.99453792882269898</v>
      </c>
      <c r="AQ100">
        <v>0.89166056985938802</v>
      </c>
    </row>
    <row r="101" spans="1:43" x14ac:dyDescent="0.35">
      <c r="B101" t="s">
        <v>4</v>
      </c>
      <c r="C101" s="4">
        <v>7.0000000000000001E-3</v>
      </c>
      <c r="D101" s="10">
        <f>C101/C102</f>
        <v>8.3333333333333412E-2</v>
      </c>
      <c r="E101">
        <f>$A$15*C101</f>
        <v>2800</v>
      </c>
      <c r="F101" s="4">
        <v>0.2</v>
      </c>
      <c r="G101" s="5" t="s">
        <v>15</v>
      </c>
      <c r="H101" s="4">
        <v>0</v>
      </c>
      <c r="I101" s="5" t="s">
        <v>15</v>
      </c>
      <c r="N101">
        <f t="shared" ref="N101:N164" si="48">N100+1</f>
        <v>99</v>
      </c>
      <c r="O101" s="6">
        <f t="shared" si="41"/>
        <v>266553.25722047617</v>
      </c>
      <c r="P101">
        <f t="shared" si="25"/>
        <v>13.327662861023809</v>
      </c>
      <c r="Q101">
        <f t="shared" si="26"/>
        <v>0</v>
      </c>
      <c r="R101" s="6">
        <f t="shared" si="42"/>
        <v>972.18885060663024</v>
      </c>
      <c r="S101">
        <f t="shared" si="27"/>
        <v>5.8331331036397813</v>
      </c>
      <c r="T101">
        <f t="shared" si="28"/>
        <v>0</v>
      </c>
      <c r="U101" s="6">
        <f t="shared" si="43"/>
        <v>3.7048970668695305E-5</v>
      </c>
      <c r="V101">
        <f t="shared" si="29"/>
        <v>5.5573456003042953E-6</v>
      </c>
      <c r="W101">
        <f t="shared" si="30"/>
        <v>0</v>
      </c>
      <c r="X101">
        <f t="shared" si="45"/>
        <v>267525.44610813173</v>
      </c>
      <c r="Y101" s="6">
        <f t="shared" si="34"/>
        <v>29617.028580052876</v>
      </c>
      <c r="Z101" s="6">
        <f t="shared" si="35"/>
        <v>108.02098340073667</v>
      </c>
      <c r="AA101" s="6">
        <f t="shared" si="36"/>
        <v>4.1165522965217014E-6</v>
      </c>
      <c r="AB101">
        <f t="shared" si="37"/>
        <v>0</v>
      </c>
      <c r="AD101" s="6">
        <f t="shared" si="46"/>
        <v>116127.18797857715</v>
      </c>
      <c r="AG101">
        <f t="shared" si="38"/>
        <v>81993.117692392116</v>
      </c>
      <c r="AH101">
        <f t="shared" si="39"/>
        <v>4409.0197306423106</v>
      </c>
      <c r="AI101">
        <f t="shared" si="40"/>
        <v>9.8797255116520825E-4</v>
      </c>
      <c r="AL101">
        <f t="shared" si="47"/>
        <v>0.99083498558567307</v>
      </c>
      <c r="AM101">
        <f t="shared" si="44"/>
        <v>0.89328606137367039</v>
      </c>
      <c r="AO101">
        <v>99</v>
      </c>
      <c r="AP101">
        <v>0.99450786237585098</v>
      </c>
      <c r="AQ101">
        <v>0.89146012688040499</v>
      </c>
    </row>
    <row r="102" spans="1:43" x14ac:dyDescent="0.35">
      <c r="B102" s="3" t="s">
        <v>7</v>
      </c>
      <c r="C102" s="9">
        <f>SUM(C99:C101)</f>
        <v>8.3999999999999922E-2</v>
      </c>
      <c r="D102" s="10">
        <f>SUM(D99:D101)</f>
        <v>0.99999999999999978</v>
      </c>
      <c r="E102">
        <f>C102*A107</f>
        <v>0</v>
      </c>
      <c r="N102">
        <f t="shared" si="48"/>
        <v>100</v>
      </c>
      <c r="O102" s="6">
        <f t="shared" si="41"/>
        <v>266539.92955761513</v>
      </c>
      <c r="P102">
        <f t="shared" si="25"/>
        <v>13.326996477880757</v>
      </c>
      <c r="Q102">
        <f t="shared" si="26"/>
        <v>0</v>
      </c>
      <c r="R102" s="6">
        <f t="shared" si="42"/>
        <v>966.3557175029905</v>
      </c>
      <c r="S102">
        <f t="shared" si="27"/>
        <v>5.7981343050179435</v>
      </c>
      <c r="T102">
        <f t="shared" si="28"/>
        <v>0</v>
      </c>
      <c r="U102" s="6">
        <f t="shared" si="43"/>
        <v>3.1491625068391009E-5</v>
      </c>
      <c r="V102">
        <f t="shared" si="29"/>
        <v>4.7237437602586514E-6</v>
      </c>
      <c r="W102">
        <f t="shared" si="30"/>
        <v>0</v>
      </c>
      <c r="X102">
        <f t="shared" si="45"/>
        <v>267506.28530660976</v>
      </c>
      <c r="Y102" s="6">
        <f t="shared" si="34"/>
        <v>29615.547728623875</v>
      </c>
      <c r="Z102" s="6">
        <f t="shared" si="35"/>
        <v>107.37285750033224</v>
      </c>
      <c r="AA102" s="6">
        <f t="shared" si="36"/>
        <v>3.4990694520434463E-6</v>
      </c>
      <c r="AB102">
        <f t="shared" si="37"/>
        <v>0</v>
      </c>
      <c r="AD102" s="6">
        <f t="shared" si="46"/>
        <v>116094.50507816589</v>
      </c>
      <c r="AG102">
        <f t="shared" si="38"/>
        <v>81989.018036507492</v>
      </c>
      <c r="AH102">
        <f t="shared" si="39"/>
        <v>4382.5656122584569</v>
      </c>
      <c r="AI102">
        <f t="shared" si="40"/>
        <v>8.3977666849042705E-4</v>
      </c>
      <c r="AL102">
        <f t="shared" si="47"/>
        <v>0.99076401965411021</v>
      </c>
      <c r="AM102">
        <f t="shared" si="44"/>
        <v>0.89303465444742991</v>
      </c>
      <c r="AO102">
        <v>100</v>
      </c>
      <c r="AP102">
        <v>0.99445775163110495</v>
      </c>
      <c r="AQ102">
        <v>0.89123963960352304</v>
      </c>
    </row>
    <row r="103" spans="1:43" x14ac:dyDescent="0.35">
      <c r="N103">
        <f t="shared" si="48"/>
        <v>101</v>
      </c>
      <c r="O103" s="6">
        <f t="shared" si="41"/>
        <v>266526.60256113723</v>
      </c>
      <c r="P103">
        <f t="shared" si="25"/>
        <v>13.326330128056862</v>
      </c>
      <c r="Q103">
        <f t="shared" si="26"/>
        <v>0</v>
      </c>
      <c r="R103" s="6">
        <f t="shared" si="42"/>
        <v>960.55758319797258</v>
      </c>
      <c r="S103">
        <f t="shared" si="27"/>
        <v>5.7633454991878352</v>
      </c>
      <c r="T103">
        <f t="shared" si="28"/>
        <v>0</v>
      </c>
      <c r="U103" s="6">
        <f t="shared" si="43"/>
        <v>2.6767881308132358E-5</v>
      </c>
      <c r="V103">
        <f t="shared" si="29"/>
        <v>4.0151821962198537E-6</v>
      </c>
      <c r="W103">
        <f t="shared" si="30"/>
        <v>0</v>
      </c>
      <c r="X103">
        <f t="shared" si="45"/>
        <v>267487.16017110308</v>
      </c>
      <c r="Y103" s="6">
        <f t="shared" si="34"/>
        <v>29614.066951237444</v>
      </c>
      <c r="Z103" s="6">
        <f t="shared" si="35"/>
        <v>106.72862035533025</v>
      </c>
      <c r="AA103" s="6">
        <f t="shared" si="36"/>
        <v>2.9742090342369293E-6</v>
      </c>
      <c r="AB103">
        <f t="shared" si="37"/>
        <v>0</v>
      </c>
      <c r="AD103" s="6">
        <f t="shared" si="46"/>
        <v>116061.98509256772</v>
      </c>
      <c r="AG103">
        <f t="shared" si="38"/>
        <v>81984.918585605672</v>
      </c>
      <c r="AH103">
        <f t="shared" si="39"/>
        <v>4356.2702185849057</v>
      </c>
      <c r="AI103">
        <f t="shared" si="40"/>
        <v>7.1381016821686302E-4</v>
      </c>
      <c r="AL103">
        <f t="shared" si="47"/>
        <v>0.99069318581890031</v>
      </c>
      <c r="AM103">
        <f t="shared" si="44"/>
        <v>0.89278450071205939</v>
      </c>
      <c r="AO103">
        <v>101</v>
      </c>
      <c r="AP103">
        <v>0.99438091515582805</v>
      </c>
      <c r="AQ103">
        <v>0.89098908587979397</v>
      </c>
    </row>
    <row r="104" spans="1:43" x14ac:dyDescent="0.35">
      <c r="B104" s="3" t="s">
        <v>9</v>
      </c>
      <c r="C104">
        <f>C98+C102</f>
        <v>1</v>
      </c>
      <c r="E104">
        <f>E98+E102</f>
        <v>0</v>
      </c>
      <c r="G104" s="12" t="s">
        <v>29</v>
      </c>
      <c r="H104" s="4">
        <v>29</v>
      </c>
      <c r="N104">
        <f t="shared" si="48"/>
        <v>102</v>
      </c>
      <c r="O104" s="6">
        <f t="shared" si="41"/>
        <v>266513.27623100916</v>
      </c>
      <c r="P104">
        <f t="shared" si="25"/>
        <v>13.325663811550459</v>
      </c>
      <c r="Q104">
        <f t="shared" si="26"/>
        <v>0</v>
      </c>
      <c r="R104" s="6">
        <f t="shared" si="42"/>
        <v>954.79423769878474</v>
      </c>
      <c r="S104">
        <f t="shared" si="27"/>
        <v>5.7287654261927088</v>
      </c>
      <c r="T104">
        <f t="shared" si="28"/>
        <v>0</v>
      </c>
      <c r="U104" s="6">
        <f t="shared" si="43"/>
        <v>2.2752699111912504E-5</v>
      </c>
      <c r="V104">
        <f t="shared" si="29"/>
        <v>3.4129048667868754E-6</v>
      </c>
      <c r="W104">
        <f t="shared" si="30"/>
        <v>0</v>
      </c>
      <c r="X104">
        <f t="shared" si="45"/>
        <v>267468.07049146062</v>
      </c>
      <c r="Y104" s="6">
        <f t="shared" si="34"/>
        <v>29612.586247889882</v>
      </c>
      <c r="Z104" s="6">
        <f t="shared" si="35"/>
        <v>106.08824863319826</v>
      </c>
      <c r="AA104" s="6">
        <f t="shared" si="36"/>
        <v>2.5280776791013899E-6</v>
      </c>
      <c r="AB104">
        <f t="shared" si="37"/>
        <v>0</v>
      </c>
      <c r="AD104" s="6">
        <f t="shared" si="46"/>
        <v>116029.62704273959</v>
      </c>
      <c r="AG104">
        <f t="shared" si="38"/>
        <v>81980.819339676396</v>
      </c>
      <c r="AH104">
        <f t="shared" si="39"/>
        <v>4330.1325972733966</v>
      </c>
      <c r="AI104">
        <f t="shared" si="40"/>
        <v>6.0673864298433353E-4</v>
      </c>
      <c r="AL104">
        <f t="shared" si="47"/>
        <v>0.99062248330170599</v>
      </c>
      <c r="AM104">
        <f t="shared" si="44"/>
        <v>0.89253559263645843</v>
      </c>
      <c r="AO104">
        <v>102</v>
      </c>
      <c r="AP104">
        <v>0.99429071581528605</v>
      </c>
      <c r="AQ104">
        <v>0.89074855430501299</v>
      </c>
    </row>
    <row r="105" spans="1:43" x14ac:dyDescent="0.35">
      <c r="B105" s="3" t="s">
        <v>12</v>
      </c>
      <c r="C105">
        <f>1-C104</f>
        <v>0</v>
      </c>
      <c r="D105">
        <f>C99+C105</f>
        <v>7.1999999999999911E-2</v>
      </c>
      <c r="N105">
        <f t="shared" si="48"/>
        <v>103</v>
      </c>
      <c r="O105" s="6">
        <f t="shared" si="41"/>
        <v>266499.95056719764</v>
      </c>
      <c r="P105">
        <f t="shared" si="25"/>
        <v>13.324997528359882</v>
      </c>
      <c r="Q105">
        <f t="shared" si="26"/>
        <v>0</v>
      </c>
      <c r="R105" s="6">
        <f t="shared" si="42"/>
        <v>949.06547227259205</v>
      </c>
      <c r="S105">
        <f t="shared" si="27"/>
        <v>5.6943928336355523</v>
      </c>
      <c r="T105">
        <f t="shared" si="28"/>
        <v>0</v>
      </c>
      <c r="U105" s="6">
        <f t="shared" si="43"/>
        <v>1.9339794245125627E-5</v>
      </c>
      <c r="V105">
        <f t="shared" si="29"/>
        <v>2.9009691367688439E-6</v>
      </c>
      <c r="W105">
        <f t="shared" si="30"/>
        <v>0</v>
      </c>
      <c r="X105">
        <f t="shared" si="45"/>
        <v>267449.01605881</v>
      </c>
      <c r="Y105" s="6">
        <f t="shared" si="34"/>
        <v>29611.105618577487</v>
      </c>
      <c r="Z105" s="6">
        <f t="shared" si="35"/>
        <v>105.45171914139907</v>
      </c>
      <c r="AA105" s="6">
        <f t="shared" si="36"/>
        <v>2.1488660272361816E-6</v>
      </c>
      <c r="AB105">
        <f t="shared" si="37"/>
        <v>0</v>
      </c>
      <c r="AD105" s="6">
        <f t="shared" si="46"/>
        <v>115997.42995599477</v>
      </c>
      <c r="AG105">
        <f t="shared" si="38"/>
        <v>81976.720298709406</v>
      </c>
      <c r="AH105">
        <f t="shared" si="39"/>
        <v>4304.1518016897562</v>
      </c>
      <c r="AI105">
        <f t="shared" si="40"/>
        <v>5.1572784653668353E-4</v>
      </c>
      <c r="AL105">
        <f t="shared" si="47"/>
        <v>0.99055191132892595</v>
      </c>
      <c r="AM105">
        <f t="shared" si="44"/>
        <v>0.89228792273842128</v>
      </c>
      <c r="AO105">
        <v>103</v>
      </c>
      <c r="AP105">
        <v>0.99421722005632496</v>
      </c>
      <c r="AQ105">
        <v>0.89045791198548796</v>
      </c>
    </row>
    <row r="106" spans="1:43" x14ac:dyDescent="0.35">
      <c r="A106" s="1" t="s">
        <v>11</v>
      </c>
      <c r="C106" t="s">
        <v>43</v>
      </c>
      <c r="D106" t="s">
        <v>43</v>
      </c>
      <c r="E106" t="s">
        <v>58</v>
      </c>
      <c r="N106">
        <f t="shared" si="48"/>
        <v>104</v>
      </c>
      <c r="O106" s="6">
        <f t="shared" si="41"/>
        <v>266486.6255696693</v>
      </c>
      <c r="P106">
        <f t="shared" si="25"/>
        <v>13.324331278483465</v>
      </c>
      <c r="Q106">
        <f t="shared" si="26"/>
        <v>0</v>
      </c>
      <c r="R106" s="6">
        <f t="shared" si="42"/>
        <v>943.37107943895649</v>
      </c>
      <c r="S106">
        <f t="shared" si="27"/>
        <v>5.6602264766337393</v>
      </c>
      <c r="T106">
        <f t="shared" si="28"/>
        <v>0</v>
      </c>
      <c r="U106" s="6">
        <f t="shared" si="43"/>
        <v>1.6438825108356782E-5</v>
      </c>
      <c r="V106">
        <f t="shared" si="29"/>
        <v>2.4658237662535172E-6</v>
      </c>
      <c r="W106">
        <f t="shared" si="30"/>
        <v>0</v>
      </c>
      <c r="X106">
        <f t="shared" si="45"/>
        <v>267429.99666554708</v>
      </c>
      <c r="Y106" s="6">
        <f t="shared" si="34"/>
        <v>29609.625063296557</v>
      </c>
      <c r="Z106" s="6">
        <f t="shared" si="35"/>
        <v>104.81900882655067</v>
      </c>
      <c r="AA106" s="6">
        <f t="shared" si="36"/>
        <v>1.8265361231507544E-6</v>
      </c>
      <c r="AB106">
        <f t="shared" si="37"/>
        <v>0</v>
      </c>
      <c r="AD106" s="6">
        <f t="shared" si="46"/>
        <v>115965.3928658924</v>
      </c>
      <c r="AG106">
        <f t="shared" si="38"/>
        <v>81972.621462694471</v>
      </c>
      <c r="AH106">
        <f t="shared" si="39"/>
        <v>4278.3268908796181</v>
      </c>
      <c r="AI106">
        <f t="shared" si="40"/>
        <v>4.3836866955618102E-4</v>
      </c>
      <c r="AL106">
        <f t="shared" si="47"/>
        <v>0.9904814691316558</v>
      </c>
      <c r="AM106">
        <f t="shared" si="44"/>
        <v>0.89204148358378765</v>
      </c>
      <c r="AO106">
        <v>104</v>
      </c>
      <c r="AP106">
        <v>0.99416710931157803</v>
      </c>
      <c r="AQ106">
        <v>0.89024744685755397</v>
      </c>
    </row>
    <row r="107" spans="1:43" x14ac:dyDescent="0.35">
      <c r="C107">
        <f>C101/C97</f>
        <v>7</v>
      </c>
      <c r="D107" s="9">
        <f>D101/D97</f>
        <v>76.333333333333414</v>
      </c>
      <c r="E107">
        <f>(D100+D101)/(D96+D97)</f>
        <v>8.1785714285714359</v>
      </c>
      <c r="N107">
        <f t="shared" si="48"/>
        <v>105</v>
      </c>
      <c r="O107" s="6">
        <f t="shared" si="41"/>
        <v>266473.30123839079</v>
      </c>
      <c r="P107">
        <f t="shared" si="25"/>
        <v>13.32366506191954</v>
      </c>
      <c r="Q107">
        <f t="shared" si="26"/>
        <v>0</v>
      </c>
      <c r="R107" s="6">
        <f t="shared" si="42"/>
        <v>937.71085296232275</v>
      </c>
      <c r="S107">
        <f t="shared" si="27"/>
        <v>5.6262651177739365</v>
      </c>
      <c r="T107">
        <f t="shared" si="28"/>
        <v>0</v>
      </c>
      <c r="U107" s="6">
        <f t="shared" si="43"/>
        <v>1.3973001342103264E-5</v>
      </c>
      <c r="V107">
        <f t="shared" si="29"/>
        <v>2.0959502013154897E-6</v>
      </c>
      <c r="W107">
        <f t="shared" si="30"/>
        <v>0</v>
      </c>
      <c r="X107">
        <f t="shared" si="45"/>
        <v>267411.01210532611</v>
      </c>
      <c r="Y107" s="6">
        <f t="shared" si="34"/>
        <v>29608.144582043391</v>
      </c>
      <c r="Z107" s="6">
        <f t="shared" si="35"/>
        <v>104.19009477359137</v>
      </c>
      <c r="AA107" s="6">
        <f t="shared" si="36"/>
        <v>1.5525557046781411E-6</v>
      </c>
      <c r="AB107">
        <f t="shared" si="37"/>
        <v>0</v>
      </c>
      <c r="AD107" s="6">
        <f t="shared" si="46"/>
        <v>115933.51481213857</v>
      </c>
      <c r="AG107">
        <f t="shared" si="38"/>
        <v>81968.522831621332</v>
      </c>
      <c r="AH107">
        <f t="shared" si="39"/>
        <v>4252.6569295343406</v>
      </c>
      <c r="AI107">
        <f t="shared" si="40"/>
        <v>3.7261336912275389E-4</v>
      </c>
      <c r="AL107">
        <f t="shared" si="47"/>
        <v>0.99041115594565221</v>
      </c>
      <c r="AM107">
        <f t="shared" si="44"/>
        <v>0.89179626778568133</v>
      </c>
      <c r="AO107">
        <v>105</v>
      </c>
      <c r="AP107">
        <v>0.99412367999946505</v>
      </c>
      <c r="AQ107">
        <v>0.88998687098487606</v>
      </c>
    </row>
    <row r="108" spans="1:43" x14ac:dyDescent="0.35">
      <c r="N108">
        <f t="shared" si="48"/>
        <v>106</v>
      </c>
      <c r="O108" s="6">
        <f t="shared" si="41"/>
        <v>266459.97757332888</v>
      </c>
      <c r="P108">
        <f t="shared" si="25"/>
        <v>13.322998878666445</v>
      </c>
      <c r="Q108">
        <f t="shared" si="26"/>
        <v>0</v>
      </c>
      <c r="R108" s="6">
        <f t="shared" si="42"/>
        <v>932.08458784454876</v>
      </c>
      <c r="S108">
        <f t="shared" si="27"/>
        <v>5.5925075270672924</v>
      </c>
      <c r="T108">
        <f t="shared" si="28"/>
        <v>0</v>
      </c>
      <c r="U108" s="6">
        <f t="shared" si="43"/>
        <v>1.1877051140787775E-5</v>
      </c>
      <c r="V108">
        <f t="shared" si="29"/>
        <v>1.7815576711181661E-6</v>
      </c>
      <c r="W108">
        <f t="shared" si="30"/>
        <v>0</v>
      </c>
      <c r="X108">
        <f t="shared" si="45"/>
        <v>267392.06217305048</v>
      </c>
      <c r="Y108" s="6">
        <f t="shared" si="34"/>
        <v>29606.66417481429</v>
      </c>
      <c r="Z108" s="6">
        <f t="shared" si="35"/>
        <v>103.56495420494981</v>
      </c>
      <c r="AA108" s="6">
        <f t="shared" si="36"/>
        <v>1.3196723489764201E-6</v>
      </c>
      <c r="AB108">
        <f t="shared" si="37"/>
        <v>0</v>
      </c>
      <c r="AD108" s="6">
        <f t="shared" si="46"/>
        <v>115901.79484049714</v>
      </c>
      <c r="AG108">
        <f t="shared" si="38"/>
        <v>81964.424405479745</v>
      </c>
      <c r="AH108">
        <f t="shared" si="39"/>
        <v>4227.1409879571347</v>
      </c>
      <c r="AI108">
        <f t="shared" si="40"/>
        <v>3.1672136375434084E-4</v>
      </c>
      <c r="AL108">
        <f t="shared" si="47"/>
        <v>0.99034097101129803</v>
      </c>
      <c r="AM108">
        <f t="shared" si="44"/>
        <v>0.89155226800382414</v>
      </c>
      <c r="AO108">
        <v>106</v>
      </c>
      <c r="AP108">
        <v>0.99406688782208796</v>
      </c>
      <c r="AQ108">
        <v>0.88981649445274102</v>
      </c>
    </row>
    <row r="109" spans="1:43" x14ac:dyDescent="0.35">
      <c r="A109" s="15" t="s">
        <v>47</v>
      </c>
      <c r="B109" t="s">
        <v>49</v>
      </c>
      <c r="N109">
        <f t="shared" si="48"/>
        <v>107</v>
      </c>
      <c r="O109" s="6">
        <f t="shared" si="41"/>
        <v>266446.65457445022</v>
      </c>
      <c r="P109">
        <f t="shared" si="25"/>
        <v>13.322332728722511</v>
      </c>
      <c r="Q109">
        <f t="shared" si="26"/>
        <v>0</v>
      </c>
      <c r="R109" s="6">
        <f t="shared" si="42"/>
        <v>926.49208031748151</v>
      </c>
      <c r="S109">
        <f t="shared" si="27"/>
        <v>5.558952481904889</v>
      </c>
      <c r="T109">
        <f t="shared" si="28"/>
        <v>0</v>
      </c>
      <c r="U109" s="6">
        <f t="shared" si="43"/>
        <v>1.0095493469669609E-5</v>
      </c>
      <c r="V109">
        <f t="shared" si="29"/>
        <v>1.5143240204504413E-6</v>
      </c>
      <c r="W109">
        <f t="shared" si="30"/>
        <v>0</v>
      </c>
      <c r="X109">
        <f t="shared" si="45"/>
        <v>267373.14666486316</v>
      </c>
      <c r="Y109" s="6">
        <f t="shared" si="34"/>
        <v>29605.183841605551</v>
      </c>
      <c r="Z109" s="6">
        <f t="shared" si="35"/>
        <v>102.94356447972011</v>
      </c>
      <c r="AA109" s="6">
        <f t="shared" si="36"/>
        <v>1.1217214966299571E-6</v>
      </c>
      <c r="AB109">
        <f t="shared" si="37"/>
        <v>0</v>
      </c>
      <c r="AD109" s="6">
        <f t="shared" si="46"/>
        <v>115870.232002709</v>
      </c>
      <c r="AG109">
        <f t="shared" si="38"/>
        <v>81960.326184259466</v>
      </c>
      <c r="AH109">
        <f t="shared" si="39"/>
        <v>4201.7781420293923</v>
      </c>
      <c r="AI109">
        <f t="shared" si="40"/>
        <v>2.6921315919118972E-4</v>
      </c>
      <c r="AL109">
        <f t="shared" si="47"/>
        <v>0.99027091357356722</v>
      </c>
      <c r="AM109">
        <f t="shared" si="44"/>
        <v>0.89130947694391538</v>
      </c>
      <c r="AO109">
        <v>107</v>
      </c>
      <c r="AP109">
        <v>0.99400341421207505</v>
      </c>
      <c r="AQ109">
        <v>0.889646117920604</v>
      </c>
    </row>
    <row r="110" spans="1:43" ht="58" x14ac:dyDescent="0.35">
      <c r="A110" s="2" t="s">
        <v>0</v>
      </c>
      <c r="B110" s="2" t="s">
        <v>2</v>
      </c>
      <c r="C110" s="2" t="s">
        <v>8</v>
      </c>
      <c r="D110" s="2" t="s">
        <v>10</v>
      </c>
      <c r="E110" s="2" t="s">
        <v>13</v>
      </c>
      <c r="F110" s="2" t="s">
        <v>27</v>
      </c>
      <c r="G110" s="2" t="s">
        <v>28</v>
      </c>
      <c r="H110" s="2" t="s">
        <v>30</v>
      </c>
      <c r="I110" s="2" t="s">
        <v>32</v>
      </c>
      <c r="N110">
        <f t="shared" si="48"/>
        <v>108</v>
      </c>
      <c r="O110" s="6">
        <f t="shared" si="41"/>
        <v>266433.33224172151</v>
      </c>
      <c r="P110">
        <f t="shared" si="25"/>
        <v>13.321666612086076</v>
      </c>
      <c r="Q110">
        <f t="shared" si="26"/>
        <v>0</v>
      </c>
      <c r="R110" s="6">
        <f t="shared" si="42"/>
        <v>920.93312783557667</v>
      </c>
      <c r="S110">
        <f t="shared" si="27"/>
        <v>5.5255987670134603</v>
      </c>
      <c r="T110">
        <f t="shared" si="28"/>
        <v>0</v>
      </c>
      <c r="U110" s="6">
        <f t="shared" si="43"/>
        <v>8.5811694492191686E-6</v>
      </c>
      <c r="V110">
        <f t="shared" si="29"/>
        <v>1.2871754173828752E-6</v>
      </c>
      <c r="W110">
        <f t="shared" si="30"/>
        <v>0</v>
      </c>
      <c r="X110">
        <f t="shared" si="45"/>
        <v>267354.26537813823</v>
      </c>
      <c r="Y110" s="6">
        <f t="shared" si="34"/>
        <v>29603.703582413469</v>
      </c>
      <c r="Z110" s="6">
        <f t="shared" si="35"/>
        <v>102.32590309284178</v>
      </c>
      <c r="AA110" s="6">
        <f t="shared" si="36"/>
        <v>9.5346327213546346E-7</v>
      </c>
      <c r="AB110">
        <f t="shared" si="37"/>
        <v>0</v>
      </c>
      <c r="AD110" s="6">
        <f t="shared" si="46"/>
        <v>115838.82535641843</v>
      </c>
      <c r="AG110">
        <f t="shared" si="38"/>
        <v>81956.228167950248</v>
      </c>
      <c r="AH110">
        <f t="shared" si="39"/>
        <v>4176.567473177216</v>
      </c>
      <c r="AI110">
        <f t="shared" si="40"/>
        <v>2.2883118531251125E-4</v>
      </c>
      <c r="AL110">
        <f t="shared" si="47"/>
        <v>0.99020098288199343</v>
      </c>
      <c r="AM110">
        <f t="shared" si="44"/>
        <v>0.89106788735706477</v>
      </c>
      <c r="AO110">
        <v>108</v>
      </c>
      <c r="AP110">
        <v>0.99395998489996196</v>
      </c>
      <c r="AQ110">
        <v>0.88944567494161997</v>
      </c>
    </row>
    <row r="111" spans="1:43" x14ac:dyDescent="0.35">
      <c r="B111" t="s">
        <v>3</v>
      </c>
      <c r="C111" s="4">
        <v>0.9</v>
      </c>
      <c r="D111" s="10">
        <f>C111/C114</f>
        <v>0.98253275109170302</v>
      </c>
      <c r="E111">
        <f>$A$15*C111</f>
        <v>360000</v>
      </c>
      <c r="F111" s="4">
        <v>5.0000000000000002E-5</v>
      </c>
      <c r="G111" s="4">
        <v>0.95</v>
      </c>
      <c r="H111" s="4">
        <v>0</v>
      </c>
      <c r="I111" s="4">
        <v>0.9</v>
      </c>
      <c r="N111">
        <f t="shared" si="48"/>
        <v>109</v>
      </c>
      <c r="O111" s="6">
        <f t="shared" si="41"/>
        <v>266420.01057510945</v>
      </c>
      <c r="P111">
        <f t="shared" si="25"/>
        <v>13.321000528755473</v>
      </c>
      <c r="Q111">
        <f t="shared" si="26"/>
        <v>0</v>
      </c>
      <c r="R111" s="6">
        <f t="shared" si="42"/>
        <v>915.40752906856324</v>
      </c>
      <c r="S111">
        <f t="shared" si="27"/>
        <v>5.4924451744113796</v>
      </c>
      <c r="T111">
        <f t="shared" si="28"/>
        <v>0</v>
      </c>
      <c r="U111" s="6">
        <f t="shared" si="43"/>
        <v>7.2939940318362934E-6</v>
      </c>
      <c r="V111">
        <f t="shared" si="29"/>
        <v>1.094099104775444E-6</v>
      </c>
      <c r="W111">
        <f t="shared" si="30"/>
        <v>0</v>
      </c>
      <c r="X111">
        <f t="shared" si="45"/>
        <v>267335.41811147204</v>
      </c>
      <c r="Y111" s="6">
        <f t="shared" si="34"/>
        <v>29602.223397234349</v>
      </c>
      <c r="Z111" s="6">
        <f t="shared" si="35"/>
        <v>101.71194767428473</v>
      </c>
      <c r="AA111" s="6">
        <f t="shared" si="36"/>
        <v>8.104437813151439E-7</v>
      </c>
      <c r="AB111">
        <f t="shared" si="37"/>
        <v>0</v>
      </c>
      <c r="AD111" s="6">
        <f t="shared" si="46"/>
        <v>115807.57396510558</v>
      </c>
      <c r="AG111">
        <f t="shared" si="38"/>
        <v>81952.130356541849</v>
      </c>
      <c r="AH111">
        <f t="shared" si="39"/>
        <v>4151.508068338153</v>
      </c>
      <c r="AI111">
        <f t="shared" si="40"/>
        <v>1.9450650751563455E-4</v>
      </c>
      <c r="AL111">
        <f t="shared" si="47"/>
        <v>0.99013117819063723</v>
      </c>
      <c r="AM111">
        <f t="shared" si="44"/>
        <v>0.89082749203927369</v>
      </c>
      <c r="AO111">
        <v>109</v>
      </c>
      <c r="AP111">
        <v>0.99391655558784797</v>
      </c>
      <c r="AQ111">
        <v>0.88925525411158701</v>
      </c>
    </row>
    <row r="112" spans="1:43" x14ac:dyDescent="0.35">
      <c r="A112" t="s">
        <v>1</v>
      </c>
      <c r="B112" t="s">
        <v>5</v>
      </c>
      <c r="C112" s="4">
        <v>1.4999999999999999E-2</v>
      </c>
      <c r="D112" s="10">
        <f>C112/C114</f>
        <v>1.6375545851528384E-2</v>
      </c>
      <c r="E112">
        <f>$A$15*C112</f>
        <v>6000</v>
      </c>
      <c r="F112" s="4">
        <v>0.01</v>
      </c>
      <c r="G112" s="4">
        <v>0.5</v>
      </c>
      <c r="H112" s="4">
        <v>0</v>
      </c>
      <c r="I112" s="4">
        <v>0.9</v>
      </c>
      <c r="N112">
        <f t="shared" si="48"/>
        <v>110</v>
      </c>
      <c r="O112" s="6">
        <f t="shared" si="41"/>
        <v>266406.6895745807</v>
      </c>
      <c r="P112">
        <f t="shared" si="25"/>
        <v>13.320334478729036</v>
      </c>
      <c r="Q112">
        <f t="shared" si="26"/>
        <v>0</v>
      </c>
      <c r="R112" s="6">
        <f t="shared" si="42"/>
        <v>909.91508389415185</v>
      </c>
      <c r="S112">
        <f t="shared" si="27"/>
        <v>5.4594905033649113</v>
      </c>
      <c r="T112">
        <f t="shared" si="28"/>
        <v>0</v>
      </c>
      <c r="U112" s="6">
        <f t="shared" si="43"/>
        <v>6.1998949270608496E-6</v>
      </c>
      <c r="V112">
        <f t="shared" si="29"/>
        <v>9.2998423905912744E-7</v>
      </c>
      <c r="W112">
        <f t="shared" si="30"/>
        <v>0</v>
      </c>
      <c r="X112">
        <f t="shared" si="45"/>
        <v>267316.60466467473</v>
      </c>
      <c r="Y112" s="6">
        <f t="shared" si="34"/>
        <v>29600.743286064488</v>
      </c>
      <c r="Z112" s="6">
        <f t="shared" si="35"/>
        <v>101.10167598823902</v>
      </c>
      <c r="AA112" s="6">
        <f t="shared" si="36"/>
        <v>6.8887721411787227E-7</v>
      </c>
      <c r="AB112">
        <f t="shared" si="37"/>
        <v>0</v>
      </c>
      <c r="AD112" s="6">
        <f t="shared" si="46"/>
        <v>115776.47689802428</v>
      </c>
      <c r="AG112">
        <f t="shared" si="38"/>
        <v>81948.032750024024</v>
      </c>
      <c r="AH112">
        <f t="shared" si="39"/>
        <v>4126.5990199281241</v>
      </c>
      <c r="AI112">
        <f t="shared" si="40"/>
        <v>1.6533053138828937E-4</v>
      </c>
      <c r="AL112">
        <f t="shared" si="47"/>
        <v>0.99006149875805449</v>
      </c>
      <c r="AM112">
        <f t="shared" si="44"/>
        <v>0.89058828383095601</v>
      </c>
      <c r="AO112">
        <v>110</v>
      </c>
      <c r="AP112">
        <v>0.99385308197783695</v>
      </c>
      <c r="AQ112">
        <v>0.88903476683470495</v>
      </c>
    </row>
    <row r="113" spans="1:43" x14ac:dyDescent="0.35">
      <c r="B113" t="s">
        <v>4</v>
      </c>
      <c r="C113" s="4">
        <v>1E-3</v>
      </c>
      <c r="D113" s="10">
        <f>C113/C114</f>
        <v>1.0917030567685589E-3</v>
      </c>
      <c r="E113">
        <f>$A$15*C113</f>
        <v>400</v>
      </c>
      <c r="F113" s="4">
        <v>0.2</v>
      </c>
      <c r="G113" s="4">
        <v>0.3</v>
      </c>
      <c r="H113" s="4">
        <v>0</v>
      </c>
      <c r="I113" s="4">
        <v>0.9</v>
      </c>
      <c r="N113">
        <f t="shared" si="48"/>
        <v>111</v>
      </c>
      <c r="O113" s="6">
        <f t="shared" si="41"/>
        <v>266393.36924010195</v>
      </c>
      <c r="P113">
        <f t="shared" si="25"/>
        <v>13.319668462005097</v>
      </c>
      <c r="Q113">
        <f t="shared" si="26"/>
        <v>0</v>
      </c>
      <c r="R113" s="6">
        <f t="shared" si="42"/>
        <v>904.45559339078693</v>
      </c>
      <c r="S113">
        <f t="shared" si="27"/>
        <v>5.4267335603447213</v>
      </c>
      <c r="T113">
        <f t="shared" si="28"/>
        <v>0</v>
      </c>
      <c r="U113" s="6">
        <f t="shared" si="43"/>
        <v>5.269910688001722E-6</v>
      </c>
      <c r="V113">
        <f t="shared" si="29"/>
        <v>7.9048660320025827E-7</v>
      </c>
      <c r="W113">
        <f t="shared" si="30"/>
        <v>0</v>
      </c>
      <c r="X113">
        <f t="shared" si="45"/>
        <v>267297.82483876264</v>
      </c>
      <c r="Y113" s="6">
        <f t="shared" si="34"/>
        <v>29599.263248900184</v>
      </c>
      <c r="Z113" s="6">
        <f t="shared" si="35"/>
        <v>100.49506593230959</v>
      </c>
      <c r="AA113" s="6">
        <f t="shared" si="36"/>
        <v>5.8554563200019141E-7</v>
      </c>
      <c r="AB113">
        <f t="shared" si="37"/>
        <v>0</v>
      </c>
      <c r="AD113" s="6">
        <f t="shared" si="46"/>
        <v>115745.53323014408</v>
      </c>
      <c r="AG113">
        <f t="shared" si="38"/>
        <v>81943.935348386527</v>
      </c>
      <c r="AH113">
        <f t="shared" si="39"/>
        <v>4101.8394258085555</v>
      </c>
      <c r="AI113">
        <f t="shared" si="40"/>
        <v>1.4053095168004598E-4</v>
      </c>
      <c r="AL113">
        <f t="shared" si="47"/>
        <v>0.98999194384726907</v>
      </c>
      <c r="AM113">
        <f t="shared" si="44"/>
        <v>0.89035025561649295</v>
      </c>
      <c r="AO113">
        <v>111</v>
      </c>
      <c r="AP113">
        <v>0.99377290478624403</v>
      </c>
      <c r="AQ113">
        <v>0.88885436815361996</v>
      </c>
    </row>
    <row r="114" spans="1:43" x14ac:dyDescent="0.35">
      <c r="B114" s="3" t="s">
        <v>7</v>
      </c>
      <c r="C114" s="9">
        <f>SUM(C111:C113)</f>
        <v>0.91600000000000004</v>
      </c>
      <c r="D114">
        <f>SUM(D111:D113)</f>
        <v>0.99999999999999989</v>
      </c>
      <c r="E114">
        <f>A123*C114</f>
        <v>366400</v>
      </c>
      <c r="G114" s="11">
        <f>D111*G111+D112*G112+D113*G113</f>
        <v>0.94192139737991254</v>
      </c>
      <c r="N114">
        <f t="shared" si="48"/>
        <v>112</v>
      </c>
      <c r="O114" s="6">
        <f t="shared" si="41"/>
        <v>266380.04957163997</v>
      </c>
      <c r="P114">
        <f t="shared" si="25"/>
        <v>13.319002478582</v>
      </c>
      <c r="Q114">
        <f t="shared" si="26"/>
        <v>0</v>
      </c>
      <c r="R114" s="6">
        <f t="shared" si="42"/>
        <v>899.02885983044223</v>
      </c>
      <c r="S114">
        <f t="shared" si="27"/>
        <v>5.3941731589826531</v>
      </c>
      <c r="T114">
        <f t="shared" si="28"/>
        <v>0</v>
      </c>
      <c r="U114" s="6">
        <f t="shared" si="43"/>
        <v>4.4794240848014638E-6</v>
      </c>
      <c r="V114">
        <f t="shared" si="29"/>
        <v>6.7191361272021953E-7</v>
      </c>
      <c r="W114">
        <f t="shared" si="30"/>
        <v>0</v>
      </c>
      <c r="X114">
        <f t="shared" si="45"/>
        <v>267279.07843594986</v>
      </c>
      <c r="Y114" s="6">
        <f t="shared" si="34"/>
        <v>29597.78328573774</v>
      </c>
      <c r="Z114" s="6">
        <f t="shared" si="35"/>
        <v>99.892095536715729</v>
      </c>
      <c r="AA114" s="6">
        <f t="shared" si="36"/>
        <v>4.9771378720016273E-7</v>
      </c>
      <c r="AB114">
        <f t="shared" si="37"/>
        <v>0</v>
      </c>
      <c r="AD114" s="6">
        <f t="shared" si="46"/>
        <v>115714.7420420963</v>
      </c>
      <c r="AG114">
        <f t="shared" si="38"/>
        <v>81939.838151619115</v>
      </c>
      <c r="AH114">
        <f t="shared" si="39"/>
        <v>4077.2283892537043</v>
      </c>
      <c r="AI114">
        <f t="shared" si="40"/>
        <v>1.1945130892803908E-4</v>
      </c>
      <c r="AL114">
        <f t="shared" si="47"/>
        <v>0.98992251272574028</v>
      </c>
      <c r="AM114">
        <f t="shared" si="44"/>
        <v>0.89011340032381769</v>
      </c>
      <c r="AO114">
        <v>112</v>
      </c>
      <c r="AP114">
        <v>0.99371945332518197</v>
      </c>
      <c r="AQ114">
        <v>0.888633880876737</v>
      </c>
    </row>
    <row r="115" spans="1:43" x14ac:dyDescent="0.35">
      <c r="B115" t="s">
        <v>3</v>
      </c>
      <c r="C115" s="4">
        <v>8.253275109170298E-2</v>
      </c>
      <c r="D115" s="10">
        <f>C115/C118</f>
        <v>0.98253275109170302</v>
      </c>
      <c r="E115">
        <f>$A$15*C115</f>
        <v>33013.10043668119</v>
      </c>
      <c r="F115" s="4">
        <v>5.0000000000000002E-5</v>
      </c>
      <c r="G115" s="5" t="s">
        <v>15</v>
      </c>
      <c r="H115" s="4">
        <v>0</v>
      </c>
      <c r="I115" s="5" t="s">
        <v>15</v>
      </c>
      <c r="N115">
        <f t="shared" si="48"/>
        <v>113</v>
      </c>
      <c r="O115" s="6">
        <f>O114-(P114-Q114)</f>
        <v>266366.73056916142</v>
      </c>
      <c r="P115">
        <f t="shared" si="25"/>
        <v>13.318336528458071</v>
      </c>
      <c r="Q115">
        <f t="shared" si="26"/>
        <v>0</v>
      </c>
      <c r="R115" s="6">
        <f t="shared" si="42"/>
        <v>893.63468667145958</v>
      </c>
      <c r="S115">
        <f t="shared" si="27"/>
        <v>5.3618081200287575</v>
      </c>
      <c r="T115">
        <f t="shared" si="28"/>
        <v>0</v>
      </c>
      <c r="U115" s="6">
        <f t="shared" si="43"/>
        <v>3.8075104720812443E-6</v>
      </c>
      <c r="V115">
        <f t="shared" si="29"/>
        <v>5.711265708121866E-7</v>
      </c>
      <c r="W115">
        <f t="shared" si="30"/>
        <v>0</v>
      </c>
      <c r="X115">
        <f t="shared" si="45"/>
        <v>267260.36525964044</v>
      </c>
      <c r="Y115" s="6">
        <f t="shared" si="34"/>
        <v>29596.303396573454</v>
      </c>
      <c r="Z115" s="6">
        <f t="shared" si="35"/>
        <v>99.292742963495428</v>
      </c>
      <c r="AA115" s="6">
        <f t="shared" si="36"/>
        <v>4.2305671912013832E-7</v>
      </c>
      <c r="AB115">
        <f t="shared" si="37"/>
        <v>0</v>
      </c>
      <c r="AD115" s="6">
        <f t="shared" si="46"/>
        <v>115684.10242012334</v>
      </c>
      <c r="AG115">
        <f t="shared" si="38"/>
        <v>81935.741159711528</v>
      </c>
      <c r="AH115">
        <f t="shared" si="39"/>
        <v>4052.7650189181822</v>
      </c>
      <c r="AI115">
        <f t="shared" si="40"/>
        <v>1.0153361258883322E-4</v>
      </c>
      <c r="AL115">
        <f t="shared" si="47"/>
        <v>0.989853204665335</v>
      </c>
      <c r="AM115">
        <f t="shared" si="44"/>
        <v>0.88987771092402568</v>
      </c>
      <c r="AO115">
        <v>113</v>
      </c>
      <c r="AP115">
        <v>0.99364929828253801</v>
      </c>
      <c r="AQ115">
        <v>0.88845348219565301</v>
      </c>
    </row>
    <row r="116" spans="1:43" x14ac:dyDescent="0.35">
      <c r="A116" t="s">
        <v>6</v>
      </c>
      <c r="B116" t="s">
        <v>5</v>
      </c>
      <c r="C116" s="4">
        <v>1.3755458515283829E-3</v>
      </c>
      <c r="D116" s="10">
        <f>C116/C118</f>
        <v>1.6375545851528384E-2</v>
      </c>
      <c r="E116">
        <f>$A$15*C116</f>
        <v>550.21834061135314</v>
      </c>
      <c r="F116" s="4">
        <v>0.01</v>
      </c>
      <c r="G116" s="5" t="s">
        <v>15</v>
      </c>
      <c r="H116" s="4">
        <v>0</v>
      </c>
      <c r="I116" s="5" t="s">
        <v>15</v>
      </c>
      <c r="N116">
        <f t="shared" si="48"/>
        <v>114</v>
      </c>
      <c r="O116" s="6">
        <f t="shared" ref="O116:O179" si="49">O115-(P115-Q115)</f>
        <v>266353.41223263298</v>
      </c>
      <c r="P116">
        <f t="shared" si="25"/>
        <v>13.31767061163165</v>
      </c>
      <c r="Q116">
        <f t="shared" si="26"/>
        <v>0</v>
      </c>
      <c r="R116" s="6">
        <f t="shared" si="42"/>
        <v>888.27287855143084</v>
      </c>
      <c r="S116">
        <f t="shared" si="27"/>
        <v>5.3296372713085853</v>
      </c>
      <c r="T116">
        <f t="shared" si="28"/>
        <v>0</v>
      </c>
      <c r="U116" s="6">
        <f t="shared" si="43"/>
        <v>3.2363839012690575E-6</v>
      </c>
      <c r="V116">
        <f t="shared" si="29"/>
        <v>4.8545758519035862E-7</v>
      </c>
      <c r="W116">
        <f t="shared" si="30"/>
        <v>0</v>
      </c>
      <c r="X116">
        <f t="shared" ref="X116:X179" si="50">O116+R116+U116-$J$57</f>
        <v>267241.68511442083</v>
      </c>
      <c r="Y116" s="6">
        <f t="shared" si="34"/>
        <v>29594.823581403627</v>
      </c>
      <c r="Z116" s="6">
        <f t="shared" si="35"/>
        <v>98.696986505714449</v>
      </c>
      <c r="AA116" s="6">
        <f t="shared" si="36"/>
        <v>3.595982112521176E-7</v>
      </c>
      <c r="AB116">
        <f t="shared" si="37"/>
        <v>0</v>
      </c>
      <c r="AD116" s="6">
        <f t="shared" ref="AD116:AD179" si="51">Y116+Z116+AA116+AG116+AH116+AI116-AB116+$M$59</f>
        <v>115653.61345603073</v>
      </c>
      <c r="AG116">
        <f t="shared" si="38"/>
        <v>81931.644372653536</v>
      </c>
      <c r="AH116">
        <f t="shared" si="39"/>
        <v>4028.4484288046733</v>
      </c>
      <c r="AI116">
        <f t="shared" si="40"/>
        <v>8.6303570700508244E-5</v>
      </c>
      <c r="AL116">
        <f t="shared" ref="AL116:AL179" si="52">X116/$X$2</f>
        <v>0.98978401894229939</v>
      </c>
      <c r="AM116">
        <f t="shared" si="44"/>
        <v>0.88964318043100554</v>
      </c>
      <c r="AO116">
        <v>114</v>
      </c>
      <c r="AP116">
        <v>0.99360586897042602</v>
      </c>
      <c r="AQ116">
        <v>0.88821295062087202</v>
      </c>
    </row>
    <row r="117" spans="1:43" x14ac:dyDescent="0.35">
      <c r="B117" t="s">
        <v>4</v>
      </c>
      <c r="C117" s="4">
        <v>9.1703056768558861E-5</v>
      </c>
      <c r="D117" s="10">
        <f>C117/C118</f>
        <v>1.0917030567685589E-3</v>
      </c>
      <c r="E117">
        <f>$A$15*C117</f>
        <v>36.681222707423544</v>
      </c>
      <c r="F117" s="4">
        <v>0.2</v>
      </c>
      <c r="G117" s="5" t="s">
        <v>15</v>
      </c>
      <c r="H117" s="4">
        <v>0</v>
      </c>
      <c r="I117" s="5" t="s">
        <v>15</v>
      </c>
      <c r="N117">
        <f t="shared" si="48"/>
        <v>115</v>
      </c>
      <c r="O117" s="6">
        <f t="shared" si="49"/>
        <v>266340.09456202138</v>
      </c>
      <c r="P117">
        <f t="shared" si="25"/>
        <v>13.31700472810107</v>
      </c>
      <c r="Q117">
        <f t="shared" si="26"/>
        <v>0</v>
      </c>
      <c r="R117" s="6">
        <f t="shared" si="42"/>
        <v>882.94324128012227</v>
      </c>
      <c r="S117">
        <f t="shared" si="27"/>
        <v>5.2976594476807337</v>
      </c>
      <c r="T117">
        <f t="shared" si="28"/>
        <v>0</v>
      </c>
      <c r="U117" s="6">
        <f t="shared" si="43"/>
        <v>2.7509263160786991E-6</v>
      </c>
      <c r="V117">
        <f t="shared" si="29"/>
        <v>4.1263894741180483E-7</v>
      </c>
      <c r="W117">
        <f t="shared" si="30"/>
        <v>0</v>
      </c>
      <c r="X117">
        <f t="shared" si="50"/>
        <v>267223.03780605242</v>
      </c>
      <c r="Y117" s="6">
        <f t="shared" si="34"/>
        <v>29593.343840224556</v>
      </c>
      <c r="Z117" s="6">
        <f t="shared" si="35"/>
        <v>98.10480458668016</v>
      </c>
      <c r="AA117" s="6">
        <f t="shared" si="36"/>
        <v>3.0565847956429995E-7</v>
      </c>
      <c r="AB117">
        <f t="shared" si="37"/>
        <v>0</v>
      </c>
      <c r="AD117" s="6">
        <f t="shared" si="51"/>
        <v>115623.27424714169</v>
      </c>
      <c r="AG117">
        <f t="shared" si="38"/>
        <v>81927.54779043491</v>
      </c>
      <c r="AH117">
        <f t="shared" si="39"/>
        <v>4004.2777382318454</v>
      </c>
      <c r="AI117">
        <f t="shared" si="40"/>
        <v>7.3358035095432011E-5</v>
      </c>
      <c r="AL117">
        <f t="shared" si="52"/>
        <v>0.98971495483723115</v>
      </c>
      <c r="AM117">
        <f t="shared" si="44"/>
        <v>0.88940980190108987</v>
      </c>
      <c r="AO117">
        <v>115</v>
      </c>
      <c r="AP117">
        <v>0.993542395360414</v>
      </c>
      <c r="AQ117">
        <v>0.88799246334398896</v>
      </c>
    </row>
    <row r="118" spans="1:43" x14ac:dyDescent="0.35">
      <c r="B118" s="3" t="s">
        <v>7</v>
      </c>
      <c r="C118" s="9">
        <f>SUM(C115:C117)</f>
        <v>8.3999999999999922E-2</v>
      </c>
      <c r="D118" s="10">
        <f>SUM(D115:D117)</f>
        <v>0.99999999999999989</v>
      </c>
      <c r="E118">
        <f>C118*A123</f>
        <v>33599.999999999971</v>
      </c>
      <c r="N118">
        <f t="shared" si="48"/>
        <v>116</v>
      </c>
      <c r="O118" s="6">
        <f t="shared" si="49"/>
        <v>266326.7775572933</v>
      </c>
      <c r="P118">
        <f t="shared" si="25"/>
        <v>13.316338877864666</v>
      </c>
      <c r="Q118">
        <f t="shared" si="26"/>
        <v>0</v>
      </c>
      <c r="R118" s="6">
        <f t="shared" si="42"/>
        <v>877.64558183244151</v>
      </c>
      <c r="S118">
        <f t="shared" si="27"/>
        <v>5.2658734909946494</v>
      </c>
      <c r="T118">
        <f t="shared" si="28"/>
        <v>0</v>
      </c>
      <c r="U118" s="6">
        <f t="shared" si="43"/>
        <v>2.3382873686668941E-6</v>
      </c>
      <c r="V118">
        <f t="shared" si="29"/>
        <v>3.5074310530003412E-7</v>
      </c>
      <c r="W118">
        <f t="shared" si="30"/>
        <v>0</v>
      </c>
      <c r="X118">
        <f t="shared" si="50"/>
        <v>267204.42314146401</v>
      </c>
      <c r="Y118" s="6">
        <f t="shared" si="34"/>
        <v>29591.864173032543</v>
      </c>
      <c r="Z118" s="6">
        <f t="shared" si="35"/>
        <v>97.516175759160078</v>
      </c>
      <c r="AA118" s="6">
        <f t="shared" si="36"/>
        <v>2.5980970762965496E-7</v>
      </c>
      <c r="AB118">
        <f t="shared" si="37"/>
        <v>0</v>
      </c>
      <c r="AD118" s="6">
        <f t="shared" si="51"/>
        <v>115593.08389625369</v>
      </c>
      <c r="AG118">
        <f t="shared" si="38"/>
        <v>81923.45141304539</v>
      </c>
      <c r="AH118">
        <f t="shared" si="39"/>
        <v>3980.2520718024543</v>
      </c>
      <c r="AI118">
        <f t="shared" si="40"/>
        <v>6.2354329831117205E-5</v>
      </c>
      <c r="AL118">
        <f t="shared" si="52"/>
        <v>0.98964601163505184</v>
      </c>
      <c r="AM118">
        <f t="shared" si="44"/>
        <v>0.88917756843272078</v>
      </c>
      <c r="AO118">
        <v>116</v>
      </c>
      <c r="AP118">
        <v>0.99348894389935005</v>
      </c>
      <c r="AQ118">
        <v>0.88781206466290497</v>
      </c>
    </row>
    <row r="119" spans="1:43" x14ac:dyDescent="0.35">
      <c r="N119">
        <f t="shared" si="48"/>
        <v>117</v>
      </c>
      <c r="O119" s="6">
        <f t="shared" si="49"/>
        <v>266313.46121841541</v>
      </c>
      <c r="P119">
        <f t="shared" si="25"/>
        <v>13.315673060920771</v>
      </c>
      <c r="Q119">
        <f t="shared" si="26"/>
        <v>0</v>
      </c>
      <c r="R119" s="6">
        <f t="shared" si="42"/>
        <v>872.37970834144687</v>
      </c>
      <c r="S119">
        <f t="shared" si="27"/>
        <v>5.2342782500486811</v>
      </c>
      <c r="T119">
        <f t="shared" si="28"/>
        <v>0</v>
      </c>
      <c r="U119" s="6">
        <f t="shared" si="43"/>
        <v>1.9875442633668599E-6</v>
      </c>
      <c r="V119">
        <f t="shared" si="29"/>
        <v>2.98131639505029E-7</v>
      </c>
      <c r="W119">
        <f t="shared" si="30"/>
        <v>0</v>
      </c>
      <c r="X119">
        <f t="shared" si="50"/>
        <v>267185.84092874441</v>
      </c>
      <c r="Y119" s="6">
        <f t="shared" si="34"/>
        <v>29590.384579823891</v>
      </c>
      <c r="Z119" s="6">
        <f t="shared" si="35"/>
        <v>96.931078704605113</v>
      </c>
      <c r="AA119" s="6">
        <f t="shared" si="36"/>
        <v>2.2083825148520672E-7</v>
      </c>
      <c r="AB119">
        <f t="shared" si="37"/>
        <v>0</v>
      </c>
      <c r="AD119" s="6">
        <f t="shared" si="51"/>
        <v>115563.04151159688</v>
      </c>
      <c r="AG119">
        <f t="shared" si="38"/>
        <v>81919.355240474732</v>
      </c>
      <c r="AH119">
        <f t="shared" si="39"/>
        <v>3956.3705593716395</v>
      </c>
      <c r="AI119">
        <f t="shared" si="40"/>
        <v>5.3001180356449627E-5</v>
      </c>
      <c r="AL119">
        <f t="shared" si="52"/>
        <v>0.98957718862497934</v>
      </c>
      <c r="AM119">
        <f t="shared" si="44"/>
        <v>0.88894647316612985</v>
      </c>
      <c r="AO119">
        <v>117</v>
      </c>
      <c r="AP119">
        <v>0.99340542599144199</v>
      </c>
      <c r="AQ119">
        <v>0.88762164383287001</v>
      </c>
    </row>
    <row r="120" spans="1:43" x14ac:dyDescent="0.35">
      <c r="B120" s="3" t="s">
        <v>9</v>
      </c>
      <c r="C120">
        <f>C114+C118</f>
        <v>1</v>
      </c>
      <c r="E120">
        <f>E114+E118</f>
        <v>400000</v>
      </c>
      <c r="G120" s="12" t="s">
        <v>29</v>
      </c>
      <c r="H120" s="4">
        <v>29</v>
      </c>
      <c r="N120">
        <f t="shared" si="48"/>
        <v>118</v>
      </c>
      <c r="O120" s="6">
        <f t="shared" si="49"/>
        <v>266300.14554535446</v>
      </c>
      <c r="P120">
        <f t="shared" si="25"/>
        <v>13.315007277267723</v>
      </c>
      <c r="Q120">
        <f t="shared" si="26"/>
        <v>0</v>
      </c>
      <c r="R120" s="6">
        <f t="shared" si="42"/>
        <v>867.14543009139823</v>
      </c>
      <c r="S120">
        <f t="shared" si="27"/>
        <v>5.2028725805483891</v>
      </c>
      <c r="T120">
        <f t="shared" si="28"/>
        <v>0</v>
      </c>
      <c r="U120" s="6">
        <f t="shared" si="43"/>
        <v>1.6894126238618308E-6</v>
      </c>
      <c r="V120">
        <f t="shared" si="29"/>
        <v>2.5341189357927464E-7</v>
      </c>
      <c r="W120">
        <f t="shared" si="30"/>
        <v>0</v>
      </c>
      <c r="X120">
        <f t="shared" si="50"/>
        <v>267167.2909771353</v>
      </c>
      <c r="Y120" s="6">
        <f t="shared" si="34"/>
        <v>29588.905060594901</v>
      </c>
      <c r="Z120" s="6">
        <f t="shared" si="35"/>
        <v>96.349492232377486</v>
      </c>
      <c r="AA120" s="6">
        <f t="shared" si="36"/>
        <v>1.8771251376242573E-7</v>
      </c>
      <c r="AB120">
        <f t="shared" si="37"/>
        <v>0</v>
      </c>
      <c r="AD120" s="6">
        <f t="shared" si="51"/>
        <v>115533.1462067941</v>
      </c>
      <c r="AG120">
        <f t="shared" si="38"/>
        <v>81915.259272712705</v>
      </c>
      <c r="AH120">
        <f t="shared" si="39"/>
        <v>3932.6323360154097</v>
      </c>
      <c r="AI120">
        <f t="shared" si="40"/>
        <v>4.5051003302982182E-5</v>
      </c>
      <c r="AL120">
        <f t="shared" si="52"/>
        <v>0.98950848510050116</v>
      </c>
      <c r="AM120">
        <f t="shared" si="44"/>
        <v>0.88871650928303159</v>
      </c>
      <c r="AO120">
        <v>118</v>
      </c>
      <c r="AP120">
        <v>0.99332524879984696</v>
      </c>
      <c r="AQ120">
        <v>0.88744124515178502</v>
      </c>
    </row>
    <row r="121" spans="1:43" x14ac:dyDescent="0.35">
      <c r="B121" s="3" t="s">
        <v>12</v>
      </c>
      <c r="C121">
        <f>1-C120</f>
        <v>0</v>
      </c>
      <c r="D121">
        <f>C115+C121</f>
        <v>8.253275109170298E-2</v>
      </c>
      <c r="N121">
        <f t="shared" si="48"/>
        <v>119</v>
      </c>
      <c r="O121" s="6">
        <f t="shared" si="49"/>
        <v>266286.83053807722</v>
      </c>
      <c r="P121">
        <f t="shared" si="25"/>
        <v>13.314341526903862</v>
      </c>
      <c r="Q121">
        <f t="shared" si="26"/>
        <v>0</v>
      </c>
      <c r="R121" s="6">
        <f t="shared" si="42"/>
        <v>861.94255751084984</v>
      </c>
      <c r="S121">
        <f t="shared" si="27"/>
        <v>5.1716553450650995</v>
      </c>
      <c r="T121">
        <f t="shared" si="28"/>
        <v>0</v>
      </c>
      <c r="U121" s="6">
        <f t="shared" si="43"/>
        <v>1.4360007302825562E-6</v>
      </c>
      <c r="V121">
        <f t="shared" si="29"/>
        <v>2.1540010954238342E-7</v>
      </c>
      <c r="W121">
        <f t="shared" si="30"/>
        <v>0</v>
      </c>
      <c r="X121">
        <f t="shared" si="50"/>
        <v>267148.77309702407</v>
      </c>
      <c r="Y121" s="6">
        <f t="shared" si="34"/>
        <v>29587.425615341872</v>
      </c>
      <c r="Z121" s="6">
        <f t="shared" si="35"/>
        <v>95.771395278983221</v>
      </c>
      <c r="AA121" s="6">
        <f t="shared" si="36"/>
        <v>1.5955563669806185E-7</v>
      </c>
      <c r="AB121">
        <f t="shared" si="37"/>
        <v>0</v>
      </c>
      <c r="AD121" s="6">
        <f t="shared" si="51"/>
        <v>115503.39710082214</v>
      </c>
      <c r="AG121">
        <f t="shared" si="38"/>
        <v>81911.163509749065</v>
      </c>
      <c r="AH121">
        <f t="shared" si="39"/>
        <v>3909.0365419993173</v>
      </c>
      <c r="AI121">
        <f t="shared" si="40"/>
        <v>3.8293352807534856E-5</v>
      </c>
      <c r="AL121">
        <f t="shared" si="52"/>
        <v>0.98943990035934837</v>
      </c>
      <c r="AM121">
        <f t="shared" si="44"/>
        <v>0.88848767000632412</v>
      </c>
      <c r="AO121">
        <v>119</v>
      </c>
      <c r="AP121">
        <v>0.99327513805510204</v>
      </c>
      <c r="AQ121">
        <v>0.88723078002385203</v>
      </c>
    </row>
    <row r="122" spans="1:43" x14ac:dyDescent="0.35">
      <c r="A122" s="1" t="s">
        <v>11</v>
      </c>
      <c r="C122" t="s">
        <v>43</v>
      </c>
      <c r="D122" t="s">
        <v>43</v>
      </c>
      <c r="E122" t="s">
        <v>58</v>
      </c>
      <c r="N122">
        <f t="shared" si="48"/>
        <v>120</v>
      </c>
      <c r="O122" s="6">
        <f t="shared" si="49"/>
        <v>266273.51619655034</v>
      </c>
      <c r="P122">
        <f t="shared" si="25"/>
        <v>13.313675809827517</v>
      </c>
      <c r="Q122">
        <f t="shared" si="26"/>
        <v>0</v>
      </c>
      <c r="R122" s="6">
        <f t="shared" si="42"/>
        <v>856.77090216578472</v>
      </c>
      <c r="S122">
        <f t="shared" si="27"/>
        <v>5.1406254129947087</v>
      </c>
      <c r="T122">
        <f t="shared" si="28"/>
        <v>0</v>
      </c>
      <c r="U122" s="6">
        <f t="shared" si="43"/>
        <v>1.2206006207401729E-6</v>
      </c>
      <c r="V122">
        <f t="shared" si="29"/>
        <v>1.8309009311102593E-7</v>
      </c>
      <c r="W122">
        <f t="shared" si="30"/>
        <v>0</v>
      </c>
      <c r="X122">
        <f t="shared" si="50"/>
        <v>267130.28709993674</v>
      </c>
      <c r="Y122" s="6">
        <f t="shared" si="34"/>
        <v>29585.946244061106</v>
      </c>
      <c r="Z122" s="6">
        <f t="shared" si="35"/>
        <v>95.196766907309325</v>
      </c>
      <c r="AA122" s="6">
        <f t="shared" si="36"/>
        <v>1.3562229119335257E-7</v>
      </c>
      <c r="AB122">
        <f t="shared" si="37"/>
        <v>0</v>
      </c>
      <c r="AD122" s="6">
        <f t="shared" si="51"/>
        <v>115473.79331797428</v>
      </c>
      <c r="AG122">
        <f t="shared" si="38"/>
        <v>81907.067951573583</v>
      </c>
      <c r="AH122">
        <f t="shared" si="39"/>
        <v>3885.5823227473215</v>
      </c>
      <c r="AI122">
        <f t="shared" si="40"/>
        <v>3.2549349886404629E-5</v>
      </c>
      <c r="AL122">
        <f t="shared" si="52"/>
        <v>0.98937143370346947</v>
      </c>
      <c r="AM122">
        <f t="shared" si="44"/>
        <v>0.88825994859980217</v>
      </c>
      <c r="AO122">
        <v>120</v>
      </c>
      <c r="AP122">
        <v>0.99321500516140604</v>
      </c>
      <c r="AQ122">
        <v>0.88701029274696996</v>
      </c>
    </row>
    <row r="123" spans="1:43" x14ac:dyDescent="0.35">
      <c r="A123">
        <v>400000</v>
      </c>
      <c r="C123">
        <f>C117/C113</f>
        <v>9.170305676855886E-2</v>
      </c>
      <c r="D123" s="9">
        <f>D117/D113</f>
        <v>1</v>
      </c>
      <c r="E123">
        <f>(D116+D117)/(D112+D113)</f>
        <v>1</v>
      </c>
      <c r="N123">
        <f t="shared" si="48"/>
        <v>121</v>
      </c>
      <c r="O123" s="6">
        <f t="shared" si="49"/>
        <v>266260.20252074051</v>
      </c>
      <c r="P123">
        <f t="shared" si="25"/>
        <v>13.313010126037026</v>
      </c>
      <c r="Q123">
        <f t="shared" si="26"/>
        <v>0</v>
      </c>
      <c r="R123" s="6">
        <f t="shared" si="42"/>
        <v>851.63027675279</v>
      </c>
      <c r="S123">
        <f t="shared" si="27"/>
        <v>5.1097816605167399</v>
      </c>
      <c r="T123">
        <f t="shared" si="28"/>
        <v>0</v>
      </c>
      <c r="U123" s="6">
        <f t="shared" si="43"/>
        <v>1.037510527629147E-6</v>
      </c>
      <c r="V123">
        <f t="shared" si="29"/>
        <v>1.5562657914437206E-7</v>
      </c>
      <c r="W123">
        <f t="shared" si="30"/>
        <v>0</v>
      </c>
      <c r="X123">
        <f t="shared" si="50"/>
        <v>267111.83279853081</v>
      </c>
      <c r="Y123" s="6">
        <f t="shared" si="34"/>
        <v>29584.466946748904</v>
      </c>
      <c r="Z123" s="6">
        <f t="shared" si="35"/>
        <v>94.625586305865468</v>
      </c>
      <c r="AA123" s="6">
        <f t="shared" si="36"/>
        <v>1.152789475143497E-7</v>
      </c>
      <c r="AB123">
        <f t="shared" si="37"/>
        <v>0</v>
      </c>
      <c r="AD123" s="6">
        <f t="shared" si="51"/>
        <v>115444.33398782383</v>
      </c>
      <c r="AG123">
        <f t="shared" si="38"/>
        <v>81902.972598175998</v>
      </c>
      <c r="AH123">
        <f t="shared" si="39"/>
        <v>3862.2688288108375</v>
      </c>
      <c r="AI123">
        <f t="shared" si="40"/>
        <v>2.7666947403443934E-5</v>
      </c>
      <c r="AL123">
        <f t="shared" si="52"/>
        <v>0.98930308443900306</v>
      </c>
      <c r="AM123">
        <f t="shared" si="44"/>
        <v>0.88803333836787568</v>
      </c>
      <c r="AO123">
        <v>121</v>
      </c>
      <c r="AP123">
        <v>0.99314485011876297</v>
      </c>
      <c r="AQ123">
        <v>0.88679982761903697</v>
      </c>
    </row>
    <row r="124" spans="1:43" x14ac:dyDescent="0.35">
      <c r="N124">
        <f t="shared" si="48"/>
        <v>122</v>
      </c>
      <c r="O124" s="6">
        <f t="shared" si="49"/>
        <v>266246.88951061445</v>
      </c>
      <c r="P124">
        <f t="shared" si="25"/>
        <v>13.312344475530724</v>
      </c>
      <c r="Q124">
        <f t="shared" si="26"/>
        <v>0</v>
      </c>
      <c r="R124" s="6">
        <f t="shared" si="42"/>
        <v>846.52049509227322</v>
      </c>
      <c r="S124">
        <f t="shared" si="27"/>
        <v>5.0791229705536391</v>
      </c>
      <c r="T124">
        <f t="shared" si="28"/>
        <v>0</v>
      </c>
      <c r="U124" s="6">
        <f t="shared" si="43"/>
        <v>8.8188394848477494E-7</v>
      </c>
      <c r="V124">
        <f t="shared" si="29"/>
        <v>1.3228259227271623E-7</v>
      </c>
      <c r="W124">
        <f t="shared" si="30"/>
        <v>0</v>
      </c>
      <c r="X124">
        <f t="shared" si="50"/>
        <v>267093.41000658862</v>
      </c>
      <c r="Y124" s="6">
        <f t="shared" si="34"/>
        <v>29582.987723401566</v>
      </c>
      <c r="Z124" s="6">
        <f t="shared" si="35"/>
        <v>94.057832788030282</v>
      </c>
      <c r="AA124" s="6">
        <f t="shared" si="36"/>
        <v>9.7987105387197236E-8</v>
      </c>
      <c r="AB124">
        <f t="shared" si="37"/>
        <v>0</v>
      </c>
      <c r="AD124" s="6">
        <f t="shared" si="51"/>
        <v>115415.01824518853</v>
      </c>
      <c r="AG124">
        <f t="shared" si="38"/>
        <v>81898.877449546097</v>
      </c>
      <c r="AH124">
        <f t="shared" si="39"/>
        <v>3839.0952158379723</v>
      </c>
      <c r="AI124">
        <f t="shared" si="40"/>
        <v>2.3516905292927343E-5</v>
      </c>
      <c r="AL124">
        <f t="shared" si="52"/>
        <v>0.98923485187625415</v>
      </c>
      <c r="AM124">
        <f t="shared" si="44"/>
        <v>0.88780783265529639</v>
      </c>
      <c r="AO124">
        <v>122</v>
      </c>
      <c r="AP124">
        <v>0.99307469507611801</v>
      </c>
      <c r="AQ124">
        <v>0.88660940678900302</v>
      </c>
    </row>
    <row r="125" spans="1:43" x14ac:dyDescent="0.35">
      <c r="N125">
        <f t="shared" si="48"/>
        <v>123</v>
      </c>
      <c r="O125" s="6">
        <f t="shared" si="49"/>
        <v>266233.57716613892</v>
      </c>
      <c r="P125">
        <f t="shared" si="25"/>
        <v>13.311678858306946</v>
      </c>
      <c r="Q125">
        <f t="shared" si="26"/>
        <v>0</v>
      </c>
      <c r="R125" s="6">
        <f t="shared" si="42"/>
        <v>841.44137212171961</v>
      </c>
      <c r="S125">
        <f t="shared" si="27"/>
        <v>5.0486482327303177</v>
      </c>
      <c r="T125">
        <f t="shared" si="28"/>
        <v>0</v>
      </c>
      <c r="U125" s="6">
        <f t="shared" si="43"/>
        <v>7.4960135621205876E-7</v>
      </c>
      <c r="V125">
        <f t="shared" si="29"/>
        <v>1.1244020343180881E-7</v>
      </c>
      <c r="W125">
        <f t="shared" si="30"/>
        <v>0</v>
      </c>
      <c r="X125">
        <f t="shared" si="50"/>
        <v>267075.01853901026</v>
      </c>
      <c r="Y125" s="6">
        <f t="shared" si="34"/>
        <v>29581.508574015395</v>
      </c>
      <c r="Z125" s="6">
        <f t="shared" si="35"/>
        <v>93.493485791302106</v>
      </c>
      <c r="AA125" s="6">
        <f t="shared" si="36"/>
        <v>8.3289039579117652E-8</v>
      </c>
      <c r="AB125">
        <f t="shared" si="37"/>
        <v>0</v>
      </c>
      <c r="AD125" s="6">
        <f t="shared" si="51"/>
        <v>115385.84523009592</v>
      </c>
      <c r="AG125">
        <f t="shared" si="38"/>
        <v>81894.782505673618</v>
      </c>
      <c r="AH125">
        <f t="shared" si="39"/>
        <v>3816.0606445429444</v>
      </c>
      <c r="AI125">
        <f t="shared" si="40"/>
        <v>1.9989369498988241E-5</v>
      </c>
      <c r="AL125">
        <f t="shared" si="52"/>
        <v>0.98916673532966759</v>
      </c>
      <c r="AM125">
        <f t="shared" si="44"/>
        <v>0.88758342484689168</v>
      </c>
      <c r="AO125">
        <v>123</v>
      </c>
      <c r="AP125">
        <v>0.99301456218242301</v>
      </c>
      <c r="AQ125">
        <v>0.88636887521422303</v>
      </c>
    </row>
    <row r="126" spans="1:43" x14ac:dyDescent="0.35">
      <c r="A126" s="15" t="s">
        <v>52</v>
      </c>
      <c r="B126" t="s">
        <v>64</v>
      </c>
      <c r="N126">
        <f t="shared" si="48"/>
        <v>124</v>
      </c>
      <c r="O126" s="6">
        <f t="shared" si="49"/>
        <v>266220.26548728062</v>
      </c>
      <c r="P126">
        <f t="shared" si="25"/>
        <v>13.311013274364031</v>
      </c>
      <c r="Q126">
        <f t="shared" si="26"/>
        <v>0</v>
      </c>
      <c r="R126" s="6">
        <f t="shared" si="42"/>
        <v>836.39272388898928</v>
      </c>
      <c r="S126">
        <f t="shared" si="27"/>
        <v>5.0183563433339362</v>
      </c>
      <c r="T126">
        <f t="shared" si="28"/>
        <v>0</v>
      </c>
      <c r="U126" s="6">
        <f t="shared" si="43"/>
        <v>6.3716115278024992E-7</v>
      </c>
      <c r="V126">
        <f t="shared" si="29"/>
        <v>9.5574172917037489E-8</v>
      </c>
      <c r="W126">
        <f t="shared" si="30"/>
        <v>0</v>
      </c>
      <c r="X126">
        <f t="shared" si="50"/>
        <v>267056.65821180673</v>
      </c>
      <c r="Y126" s="6">
        <f t="shared" si="34"/>
        <v>29580.029498586693</v>
      </c>
      <c r="Z126" s="6">
        <f t="shared" si="35"/>
        <v>92.932524876554297</v>
      </c>
      <c r="AA126" s="6">
        <f t="shared" si="36"/>
        <v>7.0795683642250009E-8</v>
      </c>
      <c r="AB126">
        <f t="shared" si="37"/>
        <v>0</v>
      </c>
      <c r="AD126" s="6">
        <f t="shared" si="51"/>
        <v>115356.81408774902</v>
      </c>
      <c r="AG126">
        <f t="shared" si="38"/>
        <v>81890.687766548333</v>
      </c>
      <c r="AH126">
        <f t="shared" si="39"/>
        <v>3793.1642806756868</v>
      </c>
      <c r="AI126">
        <f t="shared" si="40"/>
        <v>1.6990964074140006E-5</v>
      </c>
      <c r="AL126">
        <f t="shared" si="52"/>
        <v>0.98909873411780269</v>
      </c>
      <c r="AM126">
        <f t="shared" si="44"/>
        <v>0.88736010836730017</v>
      </c>
      <c r="AO126">
        <v>124</v>
      </c>
      <c r="AP126">
        <v>0.99295777000504404</v>
      </c>
      <c r="AQ126">
        <v>0.886198498682087</v>
      </c>
    </row>
    <row r="127" spans="1:43" ht="58" x14ac:dyDescent="0.35">
      <c r="A127" s="2" t="s">
        <v>0</v>
      </c>
      <c r="B127" s="2" t="s">
        <v>2</v>
      </c>
      <c r="C127" s="2" t="s">
        <v>8</v>
      </c>
      <c r="D127" s="2" t="s">
        <v>10</v>
      </c>
      <c r="E127" s="2" t="s">
        <v>13</v>
      </c>
      <c r="F127" s="2" t="s">
        <v>27</v>
      </c>
      <c r="G127" s="2" t="s">
        <v>28</v>
      </c>
      <c r="H127" s="2" t="s">
        <v>30</v>
      </c>
      <c r="I127" s="2" t="s">
        <v>32</v>
      </c>
      <c r="N127">
        <f t="shared" si="48"/>
        <v>125</v>
      </c>
      <c r="O127" s="6">
        <f t="shared" si="49"/>
        <v>266206.95447400626</v>
      </c>
      <c r="P127">
        <f t="shared" si="25"/>
        <v>13.310347723700314</v>
      </c>
      <c r="Q127">
        <f t="shared" si="26"/>
        <v>0</v>
      </c>
      <c r="R127" s="6">
        <f t="shared" si="42"/>
        <v>831.37436754565533</v>
      </c>
      <c r="S127">
        <f t="shared" si="27"/>
        <v>4.9882462052739323</v>
      </c>
      <c r="T127">
        <f t="shared" si="28"/>
        <v>0</v>
      </c>
      <c r="U127" s="6">
        <f t="shared" si="43"/>
        <v>5.4158697986321246E-7</v>
      </c>
      <c r="V127">
        <f t="shared" si="29"/>
        <v>8.1238046979481872E-8</v>
      </c>
      <c r="W127">
        <f t="shared" si="30"/>
        <v>0</v>
      </c>
      <c r="X127">
        <f t="shared" si="50"/>
        <v>267038.32884209347</v>
      </c>
      <c r="Y127" s="6">
        <f t="shared" si="34"/>
        <v>29578.550497111763</v>
      </c>
      <c r="Z127" s="6">
        <f t="shared" si="35"/>
        <v>92.374929727294969</v>
      </c>
      <c r="AA127" s="6">
        <f t="shared" si="36"/>
        <v>6.017633109591251E-8</v>
      </c>
      <c r="AB127">
        <f t="shared" si="37"/>
        <v>0</v>
      </c>
      <c r="AD127" s="6">
        <f t="shared" si="51"/>
        <v>115327.92396849321</v>
      </c>
      <c r="AG127">
        <f t="shared" si="38"/>
        <v>81886.593232160012</v>
      </c>
      <c r="AH127">
        <f t="shared" si="39"/>
        <v>3770.4052949916327</v>
      </c>
      <c r="AI127">
        <f t="shared" si="40"/>
        <v>1.4442319463019005E-5</v>
      </c>
      <c r="AL127">
        <f t="shared" si="52"/>
        <v>0.98903084756330917</v>
      </c>
      <c r="AM127">
        <f t="shared" si="44"/>
        <v>0.88713787668071697</v>
      </c>
      <c r="AO127">
        <v>125</v>
      </c>
      <c r="AP127">
        <v>0.99285754851555397</v>
      </c>
      <c r="AQ127">
        <v>0.88593792280940797</v>
      </c>
    </row>
    <row r="128" spans="1:43" x14ac:dyDescent="0.35">
      <c r="B128" t="s">
        <v>3</v>
      </c>
      <c r="C128" s="4">
        <v>0.7</v>
      </c>
      <c r="D128" s="10">
        <f>C128/C131</f>
        <v>0.93333333333333324</v>
      </c>
      <c r="E128">
        <f>$A$15*C128</f>
        <v>280000</v>
      </c>
      <c r="F128" s="4">
        <v>5.0000000000000002E-5</v>
      </c>
      <c r="G128" s="4">
        <v>0.95</v>
      </c>
      <c r="H128" s="4">
        <v>0</v>
      </c>
      <c r="I128" s="4">
        <v>0.95</v>
      </c>
      <c r="N128">
        <f t="shared" si="48"/>
        <v>126</v>
      </c>
      <c r="O128" s="6">
        <f t="shared" si="49"/>
        <v>266193.64412628254</v>
      </c>
      <c r="P128">
        <f t="shared" si="25"/>
        <v>13.309682206314127</v>
      </c>
      <c r="Q128">
        <f t="shared" si="26"/>
        <v>0</v>
      </c>
      <c r="R128" s="6">
        <f t="shared" si="42"/>
        <v>826.38612134038135</v>
      </c>
      <c r="S128">
        <f t="shared" si="27"/>
        <v>4.9583167280422886</v>
      </c>
      <c r="T128">
        <f t="shared" si="28"/>
        <v>0</v>
      </c>
      <c r="U128" s="6">
        <f t="shared" si="43"/>
        <v>4.603489328837306E-7</v>
      </c>
      <c r="V128">
        <f t="shared" si="29"/>
        <v>6.9052339932559585E-8</v>
      </c>
      <c r="W128">
        <f t="shared" si="30"/>
        <v>0</v>
      </c>
      <c r="X128">
        <f t="shared" si="50"/>
        <v>267020.03024808329</v>
      </c>
      <c r="Y128" s="6">
        <f t="shared" si="34"/>
        <v>29577.071569586908</v>
      </c>
      <c r="Z128" s="6">
        <f t="shared" si="35"/>
        <v>91.820680148931203</v>
      </c>
      <c r="AA128" s="6">
        <f t="shared" si="36"/>
        <v>5.1149881431525637E-8</v>
      </c>
      <c r="AB128">
        <f t="shared" si="37"/>
        <v>0</v>
      </c>
      <c r="AD128" s="6">
        <f t="shared" si="51"/>
        <v>115299.17402778305</v>
      </c>
      <c r="AG128">
        <f t="shared" si="38"/>
        <v>81882.49890249841</v>
      </c>
      <c r="AH128">
        <f t="shared" si="39"/>
        <v>3747.7828632216829</v>
      </c>
      <c r="AI128">
        <f t="shared" si="40"/>
        <v>1.2275971543566155E-5</v>
      </c>
      <c r="AL128">
        <f t="shared" si="52"/>
        <v>0.98896307499290104</v>
      </c>
      <c r="AM128">
        <f t="shared" si="44"/>
        <v>0.88691672329063886</v>
      </c>
      <c r="AO128">
        <v>126</v>
      </c>
      <c r="AP128">
        <v>0.99278739347290801</v>
      </c>
      <c r="AQ128">
        <v>0.88567734693672895</v>
      </c>
    </row>
    <row r="129" spans="1:43" x14ac:dyDescent="0.35">
      <c r="A129" t="s">
        <v>1</v>
      </c>
      <c r="B129" t="s">
        <v>5</v>
      </c>
      <c r="C129" s="4">
        <v>4.9000000000000002E-2</v>
      </c>
      <c r="D129" s="10">
        <f>C129/C131</f>
        <v>6.533333333333334E-2</v>
      </c>
      <c r="E129">
        <f>$A$15*C129</f>
        <v>19600</v>
      </c>
      <c r="F129" s="4">
        <v>0.01</v>
      </c>
      <c r="G129" s="4">
        <v>0.2</v>
      </c>
      <c r="H129" s="4">
        <v>0</v>
      </c>
      <c r="I129" s="4">
        <v>0.95</v>
      </c>
      <c r="N129">
        <f t="shared" si="48"/>
        <v>127</v>
      </c>
      <c r="O129" s="6">
        <f t="shared" si="49"/>
        <v>266180.33444407623</v>
      </c>
      <c r="P129">
        <f t="shared" si="25"/>
        <v>13.309016722203813</v>
      </c>
      <c r="Q129">
        <f t="shared" si="26"/>
        <v>0</v>
      </c>
      <c r="R129" s="6">
        <f t="shared" si="42"/>
        <v>821.42780461233906</v>
      </c>
      <c r="S129">
        <f t="shared" si="27"/>
        <v>4.9285668276740342</v>
      </c>
      <c r="T129">
        <f t="shared" si="28"/>
        <v>0</v>
      </c>
      <c r="U129" s="6">
        <f t="shared" si="43"/>
        <v>3.9129659295117103E-7</v>
      </c>
      <c r="V129">
        <f t="shared" si="29"/>
        <v>5.8694488942675652E-8</v>
      </c>
      <c r="W129">
        <f t="shared" si="30"/>
        <v>0</v>
      </c>
      <c r="X129">
        <f t="shared" si="50"/>
        <v>267001.76224907982</v>
      </c>
      <c r="Y129" s="6">
        <f t="shared" si="34"/>
        <v>29575.592716008428</v>
      </c>
      <c r="Z129" s="6">
        <f t="shared" si="35"/>
        <v>91.269756068037609</v>
      </c>
      <c r="AA129" s="6">
        <f t="shared" si="36"/>
        <v>4.347739921679679E-8</v>
      </c>
      <c r="AB129">
        <f t="shared" si="37"/>
        <v>0</v>
      </c>
      <c r="AD129" s="6">
        <f t="shared" si="51"/>
        <v>115270.56342615015</v>
      </c>
      <c r="AG129">
        <f t="shared" si="38"/>
        <v>81878.404777553282</v>
      </c>
      <c r="AH129">
        <f t="shared" si="39"/>
        <v>3725.296166042353</v>
      </c>
      <c r="AI129">
        <f t="shared" si="40"/>
        <v>1.0434575812031232E-5</v>
      </c>
      <c r="AL129">
        <f t="shared" si="52"/>
        <v>0.98889541573733264</v>
      </c>
      <c r="AM129">
        <f t="shared" si="44"/>
        <v>0.8866966417396166</v>
      </c>
      <c r="AO129">
        <v>127</v>
      </c>
      <c r="AP129">
        <v>0.99274396416079602</v>
      </c>
      <c r="AQ129">
        <v>0.88558714759618695</v>
      </c>
    </row>
    <row r="130" spans="1:43" x14ac:dyDescent="0.35">
      <c r="B130" t="s">
        <v>4</v>
      </c>
      <c r="C130" s="4">
        <v>1E-3</v>
      </c>
      <c r="D130" s="10">
        <f>C130/C131</f>
        <v>1.3333333333333333E-3</v>
      </c>
      <c r="E130">
        <f>$A$15*C130</f>
        <v>400</v>
      </c>
      <c r="F130" s="4">
        <v>0.2</v>
      </c>
      <c r="G130" s="4">
        <v>0.2</v>
      </c>
      <c r="H130" s="4">
        <v>0</v>
      </c>
      <c r="I130" s="4">
        <v>0.95</v>
      </c>
      <c r="N130">
        <f t="shared" si="48"/>
        <v>128</v>
      </c>
      <c r="O130" s="6">
        <f t="shared" si="49"/>
        <v>266167.02542735403</v>
      </c>
      <c r="P130">
        <f t="shared" ref="P130:P193" si="53">IF(N130&lt;$H$12,O130*($F$3+$H$3),O130*$F$3)</f>
        <v>13.308351271367702</v>
      </c>
      <c r="Q130">
        <f t="shared" ref="Q130:Q193" si="54">IF(N130&lt;$H$12,P130*$I$3,0)</f>
        <v>0</v>
      </c>
      <c r="R130" s="6">
        <f t="shared" si="42"/>
        <v>816.49923778466507</v>
      </c>
      <c r="S130">
        <f t="shared" ref="S130:S193" si="55">IF(N130&lt;$H$12,R130*($F$4+$H$4),R130*$F$4)</f>
        <v>4.8989954267079909</v>
      </c>
      <c r="T130">
        <f t="shared" ref="T130:T193" si="56">IF(N130&lt;$H$12,S130*$I$4,0)</f>
        <v>0</v>
      </c>
      <c r="U130" s="6">
        <f t="shared" si="43"/>
        <v>3.3260210400849538E-7</v>
      </c>
      <c r="V130">
        <f t="shared" ref="V130:V193" si="57">IF(N130&lt;$H$12,U130*($F$5+$H$5),U130*$F$5)</f>
        <v>4.9890315601274308E-8</v>
      </c>
      <c r="W130">
        <f t="shared" ref="W130:W193" si="58">IF(N130&lt;$H$12,V130*$I$5,0)</f>
        <v>0</v>
      </c>
      <c r="X130">
        <f t="shared" si="50"/>
        <v>266983.52466547128</v>
      </c>
      <c r="Y130" s="6">
        <f t="shared" si="34"/>
        <v>29574.113936372629</v>
      </c>
      <c r="Z130" s="6">
        <f t="shared" si="35"/>
        <v>90.722137531629386</v>
      </c>
      <c r="AA130" s="6">
        <f t="shared" si="36"/>
        <v>3.695578933427727E-8</v>
      </c>
      <c r="AB130">
        <f t="shared" si="37"/>
        <v>0</v>
      </c>
      <c r="AD130" s="6">
        <f t="shared" si="51"/>
        <v>115242.0913291711</v>
      </c>
      <c r="AG130">
        <f t="shared" si="38"/>
        <v>81874.310857314398</v>
      </c>
      <c r="AH130">
        <f t="shared" si="39"/>
        <v>3702.9443890460989</v>
      </c>
      <c r="AI130">
        <f t="shared" si="40"/>
        <v>8.8693894402265466E-6</v>
      </c>
      <c r="AL130">
        <f t="shared" si="52"/>
        <v>0.9888278691313751</v>
      </c>
      <c r="AM130">
        <f t="shared" si="44"/>
        <v>0.88647762560900845</v>
      </c>
      <c r="AO130">
        <v>128</v>
      </c>
      <c r="AP130">
        <v>0.99266378696920299</v>
      </c>
      <c r="AQ130">
        <v>0.88545685965984799</v>
      </c>
    </row>
    <row r="131" spans="1:43" x14ac:dyDescent="0.35">
      <c r="B131" s="3" t="s">
        <v>7</v>
      </c>
      <c r="C131" s="9">
        <f>SUM(C128:C130)</f>
        <v>0.75</v>
      </c>
      <c r="D131">
        <f>SUM(D128:D130)</f>
        <v>0.99999999999999989</v>
      </c>
      <c r="E131">
        <f>A140*C131</f>
        <v>300000</v>
      </c>
      <c r="G131" s="11">
        <f>D128*G128+D129*G129+D130*G130</f>
        <v>0.8999999999999998</v>
      </c>
      <c r="N131">
        <f t="shared" si="48"/>
        <v>129</v>
      </c>
      <c r="O131" s="6">
        <f t="shared" si="49"/>
        <v>266153.71707608266</v>
      </c>
      <c r="P131">
        <f t="shared" si="53"/>
        <v>13.307685853804134</v>
      </c>
      <c r="Q131">
        <f t="shared" si="54"/>
        <v>0</v>
      </c>
      <c r="R131" s="6">
        <f t="shared" si="42"/>
        <v>811.60024235795709</v>
      </c>
      <c r="S131">
        <f t="shared" si="55"/>
        <v>4.8696014541477428</v>
      </c>
      <c r="T131">
        <f t="shared" si="56"/>
        <v>0</v>
      </c>
      <c r="U131" s="6">
        <f t="shared" si="43"/>
        <v>2.8271178840722109E-7</v>
      </c>
      <c r="V131">
        <f t="shared" si="57"/>
        <v>4.2406768261083165E-8</v>
      </c>
      <c r="W131">
        <f t="shared" si="58"/>
        <v>0</v>
      </c>
      <c r="X131">
        <f t="shared" si="50"/>
        <v>266965.3173187233</v>
      </c>
      <c r="Y131" s="6">
        <f t="shared" ref="Y131:Y194" si="59">Y130-Y130*$F$3-Q131</f>
        <v>29572.635230675809</v>
      </c>
      <c r="Z131" s="6">
        <f t="shared" ref="Z131:Z194" si="60">Z130-Z130*$F$4</f>
        <v>90.177804706439616</v>
      </c>
      <c r="AA131" s="6">
        <f t="shared" ref="AA131:AA194" si="61">AA130-AA130*$F$5</f>
        <v>3.141242093413568E-8</v>
      </c>
      <c r="AB131">
        <f t="shared" ref="AB131:AB194" si="62">Q131+T131+W131</f>
        <v>0</v>
      </c>
      <c r="AD131" s="6">
        <f t="shared" si="51"/>
        <v>115213.75690743601</v>
      </c>
      <c r="AG131">
        <f t="shared" ref="AG131:AG194" si="63">IF(N130&lt;$H$12,AG130-AG130*($F$7+$H$7),AG130-AG130*$F$7)</f>
        <v>81870.217141771529</v>
      </c>
      <c r="AH131">
        <f t="shared" ref="AH131:AH194" si="64">IF(N130&lt;$H$12,AH130-AH130*($F$8+$H$8),AH130-AH130*$F$8)</f>
        <v>3680.7267227118223</v>
      </c>
      <c r="AI131">
        <f t="shared" ref="AI131:AI194" si="65">IF(N130&lt;$H$12,AI130-AI130*($F$9+$H$9),AI130-AI130*$F$9)</f>
        <v>7.5389810241925644E-6</v>
      </c>
      <c r="AL131">
        <f t="shared" si="52"/>
        <v>0.98876043451379003</v>
      </c>
      <c r="AM131">
        <f t="shared" si="44"/>
        <v>0.8862596685187385</v>
      </c>
      <c r="AO131">
        <v>129</v>
      </c>
      <c r="AP131">
        <v>0.99261033550814004</v>
      </c>
      <c r="AQ131">
        <v>0.88526643882981304</v>
      </c>
    </row>
    <row r="132" spans="1:43" x14ac:dyDescent="0.35">
      <c r="B132" t="s">
        <v>3</v>
      </c>
      <c r="C132" s="4">
        <v>0.23333333333299999</v>
      </c>
      <c r="D132" s="10">
        <f>C132/C135</f>
        <v>0.93333333334568902</v>
      </c>
      <c r="E132">
        <f>$A$15*C132</f>
        <v>93333.333333200004</v>
      </c>
      <c r="F132" s="4">
        <v>5.0000000000000002E-5</v>
      </c>
      <c r="G132" s="5" t="s">
        <v>15</v>
      </c>
      <c r="H132" s="4">
        <v>0</v>
      </c>
      <c r="I132" s="5" t="s">
        <v>15</v>
      </c>
      <c r="N132">
        <f t="shared" si="48"/>
        <v>130</v>
      </c>
      <c r="O132" s="6">
        <f t="shared" si="49"/>
        <v>266140.40939022886</v>
      </c>
      <c r="P132">
        <f t="shared" si="53"/>
        <v>13.307020469511443</v>
      </c>
      <c r="Q132">
        <f t="shared" si="54"/>
        <v>0</v>
      </c>
      <c r="R132" s="6">
        <f t="shared" ref="R132:R195" si="66">R131-(S131-T131)</f>
        <v>806.73064090380933</v>
      </c>
      <c r="S132">
        <f t="shared" si="55"/>
        <v>4.8403838454228563</v>
      </c>
      <c r="T132">
        <f t="shared" si="56"/>
        <v>0</v>
      </c>
      <c r="U132" s="6">
        <f t="shared" ref="U132:U195" si="67">U131-(V131-W131)</f>
        <v>2.4030502014613791E-7</v>
      </c>
      <c r="V132">
        <f t="shared" si="57"/>
        <v>3.6045753021920685E-8</v>
      </c>
      <c r="W132">
        <f t="shared" si="58"/>
        <v>0</v>
      </c>
      <c r="X132">
        <f t="shared" si="50"/>
        <v>266947.14003137295</v>
      </c>
      <c r="Y132" s="6">
        <f t="shared" si="59"/>
        <v>29571.156598914276</v>
      </c>
      <c r="Z132" s="6">
        <f t="shared" si="60"/>
        <v>89.636737878200975</v>
      </c>
      <c r="AA132" s="6">
        <f t="shared" si="61"/>
        <v>2.6700557794015328E-8</v>
      </c>
      <c r="AB132">
        <f t="shared" si="62"/>
        <v>0</v>
      </c>
      <c r="AD132" s="6">
        <f t="shared" si="51"/>
        <v>115185.55933651731</v>
      </c>
      <c r="AG132">
        <f t="shared" si="63"/>
        <v>81866.123630914444</v>
      </c>
      <c r="AH132">
        <f t="shared" si="64"/>
        <v>3658.6423623755513</v>
      </c>
      <c r="AI132">
        <f t="shared" si="65"/>
        <v>6.40813387056368E-6</v>
      </c>
      <c r="AL132">
        <f t="shared" si="52"/>
        <v>0.98869311122730719</v>
      </c>
      <c r="AM132">
        <f t="shared" ref="AM132:AM195" si="68">IF(AD132/$AD$2&lt;AM131,AD132/$AD$2,AM131)</f>
        <v>0.88604276412705629</v>
      </c>
      <c r="AO132">
        <v>130</v>
      </c>
      <c r="AP132">
        <v>0.99254686189812802</v>
      </c>
      <c r="AQ132">
        <v>0.88501588510608498</v>
      </c>
    </row>
    <row r="133" spans="1:43" x14ac:dyDescent="0.35">
      <c r="A133" t="s">
        <v>6</v>
      </c>
      <c r="B133" t="s">
        <v>5</v>
      </c>
      <c r="C133" s="4">
        <v>1.63333333333333E-2</v>
      </c>
      <c r="D133" s="10">
        <f>C133/C135</f>
        <v>6.5333333334291435E-2</v>
      </c>
      <c r="E133">
        <f>$A$15*C133</f>
        <v>6533.3333333333203</v>
      </c>
      <c r="F133" s="4">
        <v>0.01</v>
      </c>
      <c r="G133" s="5" t="s">
        <v>15</v>
      </c>
      <c r="H133" s="4">
        <v>0</v>
      </c>
      <c r="I133" s="5" t="s">
        <v>15</v>
      </c>
      <c r="N133">
        <f t="shared" si="48"/>
        <v>131</v>
      </c>
      <c r="O133" s="6">
        <f t="shared" si="49"/>
        <v>266127.10236975935</v>
      </c>
      <c r="P133">
        <f t="shared" si="53"/>
        <v>13.306355118487968</v>
      </c>
      <c r="Q133">
        <f t="shared" si="54"/>
        <v>0</v>
      </c>
      <c r="R133" s="6">
        <f t="shared" si="66"/>
        <v>801.89025705838651</v>
      </c>
      <c r="S133">
        <f t="shared" si="55"/>
        <v>4.811341542350319</v>
      </c>
      <c r="T133">
        <f t="shared" si="56"/>
        <v>0</v>
      </c>
      <c r="U133" s="6">
        <f t="shared" si="67"/>
        <v>2.0425926712421721E-7</v>
      </c>
      <c r="V133">
        <f t="shared" si="57"/>
        <v>3.0638890068632584E-8</v>
      </c>
      <c r="W133">
        <f t="shared" si="58"/>
        <v>0</v>
      </c>
      <c r="X133">
        <f t="shared" si="50"/>
        <v>266928.99262702197</v>
      </c>
      <c r="Y133" s="6">
        <f t="shared" si="59"/>
        <v>29569.678041084331</v>
      </c>
      <c r="Z133" s="6">
        <f t="shared" si="60"/>
        <v>89.098917450931765</v>
      </c>
      <c r="AA133" s="6">
        <f t="shared" si="61"/>
        <v>2.2695474124913029E-8</v>
      </c>
      <c r="AB133">
        <f t="shared" si="62"/>
        <v>0</v>
      </c>
      <c r="AD133" s="6">
        <f t="shared" si="51"/>
        <v>115157.49779693906</v>
      </c>
      <c r="AG133">
        <f t="shared" si="63"/>
        <v>81862.030324732899</v>
      </c>
      <c r="AH133">
        <f t="shared" si="64"/>
        <v>3636.6905082012981</v>
      </c>
      <c r="AI133">
        <f t="shared" si="65"/>
        <v>5.446913789979128E-6</v>
      </c>
      <c r="AL133">
        <f t="shared" si="52"/>
        <v>0.98862589861859995</v>
      </c>
      <c r="AM133">
        <f t="shared" si="68"/>
        <v>0.88582690613030046</v>
      </c>
      <c r="AO133">
        <v>131</v>
      </c>
      <c r="AP133">
        <v>0.99249006972075005</v>
      </c>
      <c r="AQ133">
        <v>0.88485553072289702</v>
      </c>
    </row>
    <row r="134" spans="1:43" x14ac:dyDescent="0.35">
      <c r="B134" t="s">
        <v>4</v>
      </c>
      <c r="C134" s="4">
        <v>3.3333332999999998E-4</v>
      </c>
      <c r="D134" s="10">
        <f>C134/C135</f>
        <v>1.3333333200195557E-3</v>
      </c>
      <c r="E134">
        <f>$A$15*C134</f>
        <v>133.33333199999998</v>
      </c>
      <c r="F134" s="4">
        <v>0.2</v>
      </c>
      <c r="G134" s="5" t="s">
        <v>15</v>
      </c>
      <c r="H134" s="4">
        <v>0</v>
      </c>
      <c r="I134" s="5" t="s">
        <v>15</v>
      </c>
      <c r="N134">
        <f t="shared" si="48"/>
        <v>132</v>
      </c>
      <c r="O134" s="6">
        <f t="shared" si="49"/>
        <v>266113.79601464089</v>
      </c>
      <c r="P134">
        <f t="shared" si="53"/>
        <v>13.305689800732045</v>
      </c>
      <c r="Q134">
        <f t="shared" si="54"/>
        <v>0</v>
      </c>
      <c r="R134" s="6">
        <f t="shared" si="66"/>
        <v>797.0789155160362</v>
      </c>
      <c r="S134">
        <f t="shared" si="55"/>
        <v>4.7824734930962176</v>
      </c>
      <c r="T134">
        <f t="shared" si="56"/>
        <v>0</v>
      </c>
      <c r="U134" s="6">
        <f t="shared" si="67"/>
        <v>1.7362037705558464E-7</v>
      </c>
      <c r="V134">
        <f t="shared" si="57"/>
        <v>2.6043056558337694E-8</v>
      </c>
      <c r="W134">
        <f t="shared" si="58"/>
        <v>0</v>
      </c>
      <c r="X134">
        <f t="shared" si="50"/>
        <v>266910.87493033055</v>
      </c>
      <c r="Y134" s="6">
        <f t="shared" si="59"/>
        <v>29568.199557182277</v>
      </c>
      <c r="Z134" s="6">
        <f t="shared" si="60"/>
        <v>88.564323946226168</v>
      </c>
      <c r="AA134" s="6">
        <f t="shared" si="61"/>
        <v>1.9291153006176074E-8</v>
      </c>
      <c r="AB134">
        <f t="shared" si="62"/>
        <v>0</v>
      </c>
      <c r="AD134" s="6">
        <f t="shared" si="51"/>
        <v>115129.57147414643</v>
      </c>
      <c r="AG134">
        <f t="shared" si="63"/>
        <v>81857.937223216664</v>
      </c>
      <c r="AH134">
        <f t="shared" si="64"/>
        <v>3614.8703651520905</v>
      </c>
      <c r="AI134">
        <f t="shared" si="65"/>
        <v>4.6298767214822591E-6</v>
      </c>
      <c r="AL134">
        <f t="shared" si="52"/>
        <v>0.98855879603826136</v>
      </c>
      <c r="AM134">
        <f t="shared" si="68"/>
        <v>0.88561208826266491</v>
      </c>
      <c r="AO134">
        <v>132</v>
      </c>
      <c r="AP134">
        <v>0.992423255394423</v>
      </c>
      <c r="AQ134">
        <v>0.88464506559496503</v>
      </c>
    </row>
    <row r="135" spans="1:43" x14ac:dyDescent="0.35">
      <c r="B135" s="3" t="s">
        <v>7</v>
      </c>
      <c r="C135" s="9">
        <f>SUM(C132:C134)</f>
        <v>0.24999999999633329</v>
      </c>
      <c r="D135" s="10">
        <f>SUM(D132:D134)</f>
        <v>1</v>
      </c>
      <c r="E135">
        <f>C135*A140</f>
        <v>99999.999998533312</v>
      </c>
      <c r="J135" s="9">
        <f>1-(POWER((1-H135),(H137-1)))</f>
        <v>0</v>
      </c>
      <c r="N135">
        <f t="shared" si="48"/>
        <v>133</v>
      </c>
      <c r="O135" s="6">
        <f t="shared" si="49"/>
        <v>266100.49032484018</v>
      </c>
      <c r="P135">
        <f t="shared" si="53"/>
        <v>13.30502451624201</v>
      </c>
      <c r="Q135">
        <f t="shared" si="54"/>
        <v>0</v>
      </c>
      <c r="R135" s="6">
        <f t="shared" si="66"/>
        <v>792.29644202294003</v>
      </c>
      <c r="S135">
        <f t="shared" si="55"/>
        <v>4.7537786521376404</v>
      </c>
      <c r="T135">
        <f t="shared" si="56"/>
        <v>0</v>
      </c>
      <c r="U135" s="6">
        <f t="shared" si="67"/>
        <v>1.4757732049724695E-7</v>
      </c>
      <c r="V135">
        <f t="shared" si="57"/>
        <v>2.2136598074587044E-8</v>
      </c>
      <c r="W135">
        <f t="shared" si="58"/>
        <v>0</v>
      </c>
      <c r="X135">
        <f t="shared" si="50"/>
        <v>266892.78676701069</v>
      </c>
      <c r="Y135" s="6">
        <f t="shared" si="59"/>
        <v>29566.721147204418</v>
      </c>
      <c r="Z135" s="6">
        <f t="shared" si="60"/>
        <v>88.032938002548804</v>
      </c>
      <c r="AA135" s="6">
        <f t="shared" si="61"/>
        <v>1.6397480055249662E-8</v>
      </c>
      <c r="AB135">
        <f t="shared" si="62"/>
        <v>0</v>
      </c>
      <c r="AD135" s="6">
        <f t="shared" si="51"/>
        <v>115101.77955847545</v>
      </c>
      <c r="AG135">
        <f t="shared" si="63"/>
        <v>81853.844326355509</v>
      </c>
      <c r="AH135">
        <f t="shared" si="64"/>
        <v>3593.181142961178</v>
      </c>
      <c r="AI135">
        <f t="shared" si="65"/>
        <v>3.9353952132599205E-6</v>
      </c>
      <c r="AL135">
        <f t="shared" si="52"/>
        <v>0.98849180284078031</v>
      </c>
      <c r="AM135">
        <f t="shared" si="68"/>
        <v>0.885398304295965</v>
      </c>
      <c r="AO135">
        <v>133</v>
      </c>
      <c r="AP135">
        <v>0.99234307820282797</v>
      </c>
      <c r="AQ135">
        <v>0.88446466691387904</v>
      </c>
    </row>
    <row r="136" spans="1:43" x14ac:dyDescent="0.35">
      <c r="N136">
        <f t="shared" si="48"/>
        <v>134</v>
      </c>
      <c r="O136" s="6">
        <f t="shared" si="49"/>
        <v>266087.18530032394</v>
      </c>
      <c r="P136">
        <f t="shared" si="53"/>
        <v>13.304359265016197</v>
      </c>
      <c r="Q136">
        <f t="shared" si="54"/>
        <v>0</v>
      </c>
      <c r="R136" s="6">
        <f t="shared" si="66"/>
        <v>787.54266337080242</v>
      </c>
      <c r="S136">
        <f t="shared" si="55"/>
        <v>4.7252559802248149</v>
      </c>
      <c r="T136">
        <f t="shared" si="56"/>
        <v>0</v>
      </c>
      <c r="U136" s="6">
        <f t="shared" si="67"/>
        <v>1.254407224226599E-7</v>
      </c>
      <c r="V136">
        <f t="shared" si="57"/>
        <v>1.8816108363398984E-8</v>
      </c>
      <c r="W136">
        <f t="shared" si="58"/>
        <v>0</v>
      </c>
      <c r="X136">
        <f t="shared" si="50"/>
        <v>266874.72796382016</v>
      </c>
      <c r="Y136" s="6">
        <f t="shared" si="59"/>
        <v>29565.242811147058</v>
      </c>
      <c r="Z136" s="6">
        <f t="shared" si="60"/>
        <v>87.504740374533512</v>
      </c>
      <c r="AA136" s="6">
        <f t="shared" si="61"/>
        <v>1.3937858046962213E-8</v>
      </c>
      <c r="AB136">
        <f t="shared" si="62"/>
        <v>0</v>
      </c>
      <c r="AD136" s="6">
        <f t="shared" si="51"/>
        <v>115074.12124512323</v>
      </c>
      <c r="AG136">
        <f t="shared" si="63"/>
        <v>81849.751634139189</v>
      </c>
      <c r="AH136">
        <f t="shared" si="64"/>
        <v>3571.6220561034111</v>
      </c>
      <c r="AI136">
        <f t="shared" si="65"/>
        <v>3.3450859312709322E-6</v>
      </c>
      <c r="AL136">
        <f t="shared" si="52"/>
        <v>0.98842491838451907</v>
      </c>
      <c r="AM136">
        <f t="shared" si="68"/>
        <v>0.88518554803940941</v>
      </c>
      <c r="AO136">
        <v>134</v>
      </c>
      <c r="AP136">
        <v>0.99225287886228597</v>
      </c>
      <c r="AQ136">
        <v>0.88421411319014998</v>
      </c>
    </row>
    <row r="137" spans="1:43" x14ac:dyDescent="0.35">
      <c r="B137" s="3" t="s">
        <v>9</v>
      </c>
      <c r="C137">
        <f>C131+C135</f>
        <v>0.99999999999633327</v>
      </c>
      <c r="E137">
        <f>E131+E135</f>
        <v>399999.99999853328</v>
      </c>
      <c r="G137" s="12" t="s">
        <v>29</v>
      </c>
      <c r="H137" s="4">
        <v>59</v>
      </c>
      <c r="N137">
        <f t="shared" si="48"/>
        <v>135</v>
      </c>
      <c r="O137" s="6">
        <f t="shared" si="49"/>
        <v>266073.88094105892</v>
      </c>
      <c r="P137">
        <f t="shared" si="53"/>
        <v>13.303694047052947</v>
      </c>
      <c r="Q137">
        <f t="shared" si="54"/>
        <v>0</v>
      </c>
      <c r="R137" s="6">
        <f t="shared" si="66"/>
        <v>782.81740739057761</v>
      </c>
      <c r="S137">
        <f t="shared" si="55"/>
        <v>4.696904444343466</v>
      </c>
      <c r="T137">
        <f t="shared" si="56"/>
        <v>0</v>
      </c>
      <c r="U137" s="6">
        <f t="shared" si="67"/>
        <v>1.0662461405926092E-7</v>
      </c>
      <c r="V137">
        <f t="shared" si="57"/>
        <v>1.5993692108889138E-8</v>
      </c>
      <c r="W137">
        <f t="shared" si="58"/>
        <v>0</v>
      </c>
      <c r="X137">
        <f t="shared" si="50"/>
        <v>266856.69834855612</v>
      </c>
      <c r="Y137" s="6">
        <f t="shared" si="59"/>
        <v>29563.764549006501</v>
      </c>
      <c r="Z137" s="6">
        <f t="shared" si="60"/>
        <v>86.979711932286307</v>
      </c>
      <c r="AA137" s="6">
        <f t="shared" si="61"/>
        <v>1.1847179339917881E-8</v>
      </c>
      <c r="AB137">
        <f t="shared" si="62"/>
        <v>0</v>
      </c>
      <c r="AD137" s="6">
        <f t="shared" si="51"/>
        <v>115046.59573411825</v>
      </c>
      <c r="AG137">
        <f t="shared" si="63"/>
        <v>81845.659146557489</v>
      </c>
      <c r="AH137">
        <f t="shared" si="64"/>
        <v>3550.1923237667907</v>
      </c>
      <c r="AI137">
        <f t="shared" si="65"/>
        <v>2.8433230415802925E-6</v>
      </c>
      <c r="AL137">
        <f t="shared" si="52"/>
        <v>0.98835814203168937</v>
      </c>
      <c r="AM137">
        <f t="shared" si="68"/>
        <v>0.8849738133393712</v>
      </c>
      <c r="AO137">
        <v>135</v>
      </c>
      <c r="AP137">
        <v>0.99220944955017298</v>
      </c>
      <c r="AQ137">
        <v>0.88393349301957203</v>
      </c>
    </row>
    <row r="138" spans="1:43" x14ac:dyDescent="0.35">
      <c r="B138" s="3" t="s">
        <v>12</v>
      </c>
      <c r="C138">
        <f>1-C137</f>
        <v>3.6667335834295045E-12</v>
      </c>
      <c r="D138">
        <f>C132+C138</f>
        <v>0.23333333333666673</v>
      </c>
      <c r="N138">
        <f t="shared" si="48"/>
        <v>136</v>
      </c>
      <c r="O138" s="6">
        <f t="shared" si="49"/>
        <v>266060.57724701188</v>
      </c>
      <c r="P138">
        <f t="shared" si="53"/>
        <v>13.303028862350594</v>
      </c>
      <c r="Q138">
        <f t="shared" si="54"/>
        <v>0</v>
      </c>
      <c r="R138" s="6">
        <f t="shared" si="66"/>
        <v>778.12050294623418</v>
      </c>
      <c r="S138">
        <f t="shared" si="55"/>
        <v>4.6687230176774053</v>
      </c>
      <c r="T138">
        <f t="shared" si="56"/>
        <v>0</v>
      </c>
      <c r="U138" s="6">
        <f t="shared" si="67"/>
        <v>9.0630921950371778E-8</v>
      </c>
      <c r="V138">
        <f t="shared" si="57"/>
        <v>1.3594638292555766E-8</v>
      </c>
      <c r="W138">
        <f t="shared" si="58"/>
        <v>0</v>
      </c>
      <c r="X138">
        <f t="shared" si="50"/>
        <v>266838.69775004877</v>
      </c>
      <c r="Y138" s="6">
        <f t="shared" si="59"/>
        <v>29562.28636077905</v>
      </c>
      <c r="Z138" s="6">
        <f t="shared" si="60"/>
        <v>86.457833660692586</v>
      </c>
      <c r="AA138" s="6">
        <f t="shared" si="61"/>
        <v>1.00701024389302E-8</v>
      </c>
      <c r="AB138">
        <f t="shared" si="62"/>
        <v>0</v>
      </c>
      <c r="AD138" s="6">
        <f t="shared" si="51"/>
        <v>115019.20223029099</v>
      </c>
      <c r="AG138">
        <f t="shared" si="63"/>
        <v>81841.566863600165</v>
      </c>
      <c r="AH138">
        <f t="shared" si="64"/>
        <v>3528.89116982419</v>
      </c>
      <c r="AI138">
        <f t="shared" si="65"/>
        <v>2.4168245853432487E-6</v>
      </c>
      <c r="AL138">
        <f t="shared" si="52"/>
        <v>0.98829147314832877</v>
      </c>
      <c r="AM138">
        <f t="shared" si="68"/>
        <v>0.88476309407916143</v>
      </c>
      <c r="AO138">
        <v>136</v>
      </c>
      <c r="AP138">
        <v>0.992166020238059</v>
      </c>
      <c r="AQ138">
        <v>0.88375309433848703</v>
      </c>
    </row>
    <row r="139" spans="1:43" x14ac:dyDescent="0.35">
      <c r="A139" s="1" t="s">
        <v>11</v>
      </c>
      <c r="C139" t="s">
        <v>43</v>
      </c>
      <c r="D139" t="s">
        <v>43</v>
      </c>
      <c r="E139" t="s">
        <v>58</v>
      </c>
      <c r="N139">
        <f t="shared" si="48"/>
        <v>137</v>
      </c>
      <c r="O139" s="6">
        <f t="shared" si="49"/>
        <v>266047.27421814954</v>
      </c>
      <c r="P139">
        <f t="shared" si="53"/>
        <v>13.302363710907478</v>
      </c>
      <c r="Q139">
        <f t="shared" si="54"/>
        <v>0</v>
      </c>
      <c r="R139" s="6">
        <f t="shared" si="66"/>
        <v>773.45177992855679</v>
      </c>
      <c r="S139">
        <f t="shared" si="55"/>
        <v>4.6407106795713409</v>
      </c>
      <c r="T139">
        <f t="shared" si="56"/>
        <v>0</v>
      </c>
      <c r="U139" s="6">
        <f t="shared" si="67"/>
        <v>7.7036283657816014E-8</v>
      </c>
      <c r="V139">
        <f t="shared" si="57"/>
        <v>1.1555442548672401E-8</v>
      </c>
      <c r="W139">
        <f t="shared" si="58"/>
        <v>0</v>
      </c>
      <c r="X139">
        <f t="shared" si="50"/>
        <v>266820.72599815513</v>
      </c>
      <c r="Y139" s="6">
        <f t="shared" si="59"/>
        <v>29560.808246461009</v>
      </c>
      <c r="Z139" s="6">
        <f t="shared" si="60"/>
        <v>85.939086658728428</v>
      </c>
      <c r="AA139" s="6">
        <f t="shared" si="61"/>
        <v>8.5595870730906691E-9</v>
      </c>
      <c r="AB139">
        <f t="shared" si="62"/>
        <v>0</v>
      </c>
      <c r="AD139" s="6">
        <f t="shared" si="51"/>
        <v>114991.93994324483</v>
      </c>
      <c r="AG139">
        <f t="shared" si="63"/>
        <v>81837.474785256985</v>
      </c>
      <c r="AH139">
        <f t="shared" si="64"/>
        <v>3507.7178228052449</v>
      </c>
      <c r="AI139">
        <f t="shared" si="65"/>
        <v>2.0543008975417616E-6</v>
      </c>
      <c r="AL139">
        <f t="shared" si="52"/>
        <v>0.98822491110427824</v>
      </c>
      <c r="AM139">
        <f t="shared" si="68"/>
        <v>0.88455338417880636</v>
      </c>
      <c r="AO139">
        <v>137</v>
      </c>
      <c r="AP139">
        <v>0.992105887344364</v>
      </c>
      <c r="AQ139">
        <v>0.88351256276370804</v>
      </c>
    </row>
    <row r="140" spans="1:43" x14ac:dyDescent="0.35">
      <c r="A140">
        <v>400000</v>
      </c>
      <c r="C140">
        <f>C134/C130</f>
        <v>0.33333332999999998</v>
      </c>
      <c r="D140" s="9">
        <f>D134/D130</f>
        <v>0.99999999001466677</v>
      </c>
      <c r="E140">
        <f>(D133+D134)/(D129+D130)</f>
        <v>0.9999999998146647</v>
      </c>
      <c r="N140">
        <f t="shared" si="48"/>
        <v>138</v>
      </c>
      <c r="O140" s="6">
        <f t="shared" si="49"/>
        <v>266033.97185443866</v>
      </c>
      <c r="P140">
        <f t="shared" si="53"/>
        <v>13.301698592721934</v>
      </c>
      <c r="Q140">
        <f t="shared" si="54"/>
        <v>0</v>
      </c>
      <c r="R140" s="6">
        <f t="shared" si="66"/>
        <v>768.8110692489854</v>
      </c>
      <c r="S140">
        <f t="shared" si="55"/>
        <v>4.6128664154939125</v>
      </c>
      <c r="T140">
        <f t="shared" si="56"/>
        <v>0</v>
      </c>
      <c r="U140" s="6">
        <f t="shared" si="67"/>
        <v>6.5480841109143618E-8</v>
      </c>
      <c r="V140">
        <f t="shared" si="57"/>
        <v>9.822126166371542E-9</v>
      </c>
      <c r="W140">
        <f t="shared" si="58"/>
        <v>0</v>
      </c>
      <c r="X140">
        <f t="shared" si="50"/>
        <v>266802.78292375314</v>
      </c>
      <c r="Y140" s="6">
        <f t="shared" si="59"/>
        <v>29559.330206048686</v>
      </c>
      <c r="Z140" s="6">
        <f t="shared" si="60"/>
        <v>85.423452138776057</v>
      </c>
      <c r="AA140" s="6">
        <f t="shared" si="61"/>
        <v>7.275649012127069E-9</v>
      </c>
      <c r="AB140">
        <f t="shared" si="62"/>
        <v>0</v>
      </c>
      <c r="AD140" s="6">
        <f t="shared" si="51"/>
        <v>114964.80808732702</v>
      </c>
      <c r="AG140">
        <f t="shared" si="63"/>
        <v>81833.382911517721</v>
      </c>
      <c r="AH140">
        <f t="shared" si="64"/>
        <v>3486.6715158684133</v>
      </c>
      <c r="AI140">
        <f t="shared" si="65"/>
        <v>1.7461557629104975E-6</v>
      </c>
      <c r="AL140">
        <f t="shared" si="52"/>
        <v>0.98815845527315982</v>
      </c>
      <c r="AM140">
        <f t="shared" si="68"/>
        <v>0.88434467759482327</v>
      </c>
      <c r="AO140">
        <v>138</v>
      </c>
      <c r="AP140">
        <v>0.99204909516698503</v>
      </c>
      <c r="AQ140">
        <v>0.88333216408262105</v>
      </c>
    </row>
    <row r="141" spans="1:43" x14ac:dyDescent="0.35">
      <c r="N141">
        <f t="shared" si="48"/>
        <v>139</v>
      </c>
      <c r="O141" s="6">
        <f t="shared" si="49"/>
        <v>266020.67015584593</v>
      </c>
      <c r="P141">
        <f t="shared" si="53"/>
        <v>13.301033507792297</v>
      </c>
      <c r="Q141">
        <f t="shared" si="54"/>
        <v>0</v>
      </c>
      <c r="R141" s="6">
        <f t="shared" si="66"/>
        <v>764.19820283349145</v>
      </c>
      <c r="S141">
        <f t="shared" si="55"/>
        <v>4.5851892170009485</v>
      </c>
      <c r="T141">
        <f t="shared" si="56"/>
        <v>0</v>
      </c>
      <c r="U141" s="6">
        <f t="shared" si="67"/>
        <v>5.5658714942772079E-8</v>
      </c>
      <c r="V141">
        <f t="shared" si="57"/>
        <v>8.3488072414158122E-9</v>
      </c>
      <c r="W141">
        <f t="shared" si="58"/>
        <v>0</v>
      </c>
      <c r="X141">
        <f t="shared" si="50"/>
        <v>266784.86835873505</v>
      </c>
      <c r="Y141" s="6">
        <f t="shared" si="59"/>
        <v>29557.852239538384</v>
      </c>
      <c r="Z141" s="6">
        <f t="shared" si="60"/>
        <v>84.910911425943397</v>
      </c>
      <c r="AA141" s="6">
        <f t="shared" si="61"/>
        <v>6.1843016603080092E-9</v>
      </c>
      <c r="AB141">
        <f t="shared" si="62"/>
        <v>0</v>
      </c>
      <c r="AD141" s="6">
        <f t="shared" si="51"/>
        <v>114937.8058816001</v>
      </c>
      <c r="AG141">
        <f t="shared" si="63"/>
        <v>81829.291242372143</v>
      </c>
      <c r="AH141">
        <f t="shared" si="64"/>
        <v>3465.7514867732029</v>
      </c>
      <c r="AI141">
        <f t="shared" si="65"/>
        <v>1.4842323984739229E-6</v>
      </c>
      <c r="AL141">
        <f t="shared" si="52"/>
        <v>0.98809210503235201</v>
      </c>
      <c r="AM141">
        <f t="shared" si="68"/>
        <v>0.88413696832000077</v>
      </c>
      <c r="AO141">
        <v>139</v>
      </c>
      <c r="AP141">
        <v>0.99198896227329003</v>
      </c>
      <c r="AQ141">
        <v>0.88303149961414695</v>
      </c>
    </row>
    <row r="142" spans="1:43" x14ac:dyDescent="0.35">
      <c r="K142" s="5"/>
      <c r="N142">
        <f t="shared" si="48"/>
        <v>140</v>
      </c>
      <c r="O142" s="6">
        <f t="shared" si="49"/>
        <v>266007.36912233813</v>
      </c>
      <c r="P142">
        <f t="shared" si="53"/>
        <v>13.300368456116907</v>
      </c>
      <c r="Q142">
        <f t="shared" si="54"/>
        <v>0</v>
      </c>
      <c r="R142" s="6">
        <f t="shared" si="66"/>
        <v>759.61301361649055</v>
      </c>
      <c r="S142">
        <f t="shared" si="55"/>
        <v>4.5576780816989437</v>
      </c>
      <c r="T142">
        <f t="shared" si="56"/>
        <v>0</v>
      </c>
      <c r="U142" s="6">
        <f t="shared" si="67"/>
        <v>4.7309907701356269E-8</v>
      </c>
      <c r="V142">
        <f t="shared" si="57"/>
        <v>7.0964861552034398E-9</v>
      </c>
      <c r="W142">
        <f t="shared" si="58"/>
        <v>0</v>
      </c>
      <c r="X142">
        <f t="shared" si="50"/>
        <v>266766.98213600193</v>
      </c>
      <c r="Y142" s="6">
        <f t="shared" si="59"/>
        <v>29556.374346926408</v>
      </c>
      <c r="Z142" s="6">
        <f t="shared" si="60"/>
        <v>84.401445957387736</v>
      </c>
      <c r="AA142" s="6">
        <f t="shared" si="61"/>
        <v>5.2566564112618076E-9</v>
      </c>
      <c r="AB142">
        <f t="shared" si="62"/>
        <v>0</v>
      </c>
      <c r="AD142" s="6">
        <f t="shared" si="51"/>
        <v>114910.93254981322</v>
      </c>
      <c r="AG142">
        <f t="shared" si="63"/>
        <v>81825.199777810019</v>
      </c>
      <c r="AH142">
        <f t="shared" si="64"/>
        <v>3444.9569778525638</v>
      </c>
      <c r="AI142">
        <f t="shared" si="65"/>
        <v>1.2615975387028346E-6</v>
      </c>
      <c r="AL142">
        <f t="shared" si="52"/>
        <v>0.98802585976297008</v>
      </c>
      <c r="AM142">
        <f t="shared" si="68"/>
        <v>0.88393025038317863</v>
      </c>
      <c r="AO142">
        <v>140</v>
      </c>
      <c r="AP142">
        <v>0.991908785081698</v>
      </c>
      <c r="AQ142">
        <v>0.88285110093306196</v>
      </c>
    </row>
    <row r="143" spans="1:43" x14ac:dyDescent="0.35">
      <c r="A143" s="15" t="s">
        <v>53</v>
      </c>
      <c r="B143" t="s">
        <v>50</v>
      </c>
      <c r="K143" s="5"/>
      <c r="N143">
        <f t="shared" si="48"/>
        <v>141</v>
      </c>
      <c r="O143" s="6">
        <f t="shared" si="49"/>
        <v>265994.06875388202</v>
      </c>
      <c r="P143">
        <f t="shared" si="53"/>
        <v>13.299703437694102</v>
      </c>
      <c r="Q143">
        <f t="shared" si="54"/>
        <v>0</v>
      </c>
      <c r="R143" s="6">
        <f t="shared" si="66"/>
        <v>755.05533553479165</v>
      </c>
      <c r="S143">
        <f t="shared" si="55"/>
        <v>4.5303320132087501</v>
      </c>
      <c r="T143">
        <f t="shared" si="56"/>
        <v>0</v>
      </c>
      <c r="U143" s="6">
        <f t="shared" si="67"/>
        <v>4.0213421546152831E-8</v>
      </c>
      <c r="V143">
        <f t="shared" si="57"/>
        <v>6.0320132319229247E-9</v>
      </c>
      <c r="W143">
        <f t="shared" si="58"/>
        <v>0</v>
      </c>
      <c r="X143">
        <f t="shared" si="50"/>
        <v>266749.12408945704</v>
      </c>
      <c r="Y143" s="6">
        <f t="shared" si="59"/>
        <v>29554.896528209061</v>
      </c>
      <c r="Z143" s="6">
        <f t="shared" si="60"/>
        <v>83.895037281643411</v>
      </c>
      <c r="AA143" s="6">
        <f t="shared" si="61"/>
        <v>4.4681579495725368E-9</v>
      </c>
      <c r="AB143">
        <f t="shared" si="62"/>
        <v>0</v>
      </c>
      <c r="AD143" s="6">
        <f t="shared" si="51"/>
        <v>114884.18732037413</v>
      </c>
      <c r="AG143">
        <f t="shared" si="63"/>
        <v>81821.108517821136</v>
      </c>
      <c r="AH143">
        <f t="shared" si="64"/>
        <v>3424.2872359854482</v>
      </c>
      <c r="AI143">
        <f t="shared" si="65"/>
        <v>1.0723579078974094E-6</v>
      </c>
      <c r="AL143">
        <f t="shared" si="52"/>
        <v>0.98795971884984091</v>
      </c>
      <c r="AM143">
        <f t="shared" si="68"/>
        <v>0.88372451784903172</v>
      </c>
      <c r="AO143">
        <v>141</v>
      </c>
      <c r="AP143">
        <v>0.99182526717378705</v>
      </c>
      <c r="AQ143">
        <v>0.88273083514567197</v>
      </c>
    </row>
    <row r="144" spans="1:43" ht="58" x14ac:dyDescent="0.35">
      <c r="A144" s="2" t="s">
        <v>0</v>
      </c>
      <c r="B144" s="2" t="s">
        <v>2</v>
      </c>
      <c r="C144" s="2" t="s">
        <v>8</v>
      </c>
      <c r="D144" s="2" t="s">
        <v>10</v>
      </c>
      <c r="E144" s="2" t="s">
        <v>13</v>
      </c>
      <c r="F144" s="2" t="s">
        <v>27</v>
      </c>
      <c r="G144" s="2" t="s">
        <v>28</v>
      </c>
      <c r="H144" s="2" t="s">
        <v>30</v>
      </c>
      <c r="I144" s="2" t="s">
        <v>32</v>
      </c>
      <c r="K144" s="5"/>
      <c r="N144">
        <f t="shared" si="48"/>
        <v>142</v>
      </c>
      <c r="O144" s="6">
        <f t="shared" si="49"/>
        <v>265980.7690504443</v>
      </c>
      <c r="P144">
        <f t="shared" si="53"/>
        <v>13.299038452522217</v>
      </c>
      <c r="Q144">
        <f t="shared" si="54"/>
        <v>0</v>
      </c>
      <c r="R144" s="6">
        <f t="shared" si="66"/>
        <v>750.5250035215829</v>
      </c>
      <c r="S144">
        <f t="shared" si="55"/>
        <v>4.5031500211294979</v>
      </c>
      <c r="T144">
        <f t="shared" si="56"/>
        <v>0</v>
      </c>
      <c r="U144" s="6">
        <f t="shared" si="67"/>
        <v>3.4181408314229905E-8</v>
      </c>
      <c r="V144">
        <f t="shared" si="57"/>
        <v>5.1272112471344856E-9</v>
      </c>
      <c r="W144">
        <f t="shared" si="58"/>
        <v>0</v>
      </c>
      <c r="X144">
        <f t="shared" si="50"/>
        <v>266731.29405400006</v>
      </c>
      <c r="Y144" s="6">
        <f t="shared" si="59"/>
        <v>29553.418783382651</v>
      </c>
      <c r="Z144" s="6">
        <f t="shared" si="60"/>
        <v>83.391667057953555</v>
      </c>
      <c r="AA144" s="6">
        <f t="shared" si="61"/>
        <v>3.7979342571366563E-9</v>
      </c>
      <c r="AB144">
        <f t="shared" si="62"/>
        <v>0</v>
      </c>
      <c r="AD144" s="6">
        <f t="shared" si="51"/>
        <v>114857.5694263207</v>
      </c>
      <c r="AG144">
        <f t="shared" si="63"/>
        <v>81817.017462395248</v>
      </c>
      <c r="AH144">
        <f t="shared" si="64"/>
        <v>3403.7415125695356</v>
      </c>
      <c r="AI144">
        <f t="shared" si="65"/>
        <v>9.1150422171279796E-7</v>
      </c>
      <c r="AL144">
        <f t="shared" si="52"/>
        <v>0.98789368168148173</v>
      </c>
      <c r="AM144">
        <f t="shared" si="68"/>
        <v>0.88351976481785155</v>
      </c>
      <c r="AO144">
        <v>142</v>
      </c>
      <c r="AP144">
        <v>0.99175845284746</v>
      </c>
      <c r="AQ144">
        <v>0.88263061365618001</v>
      </c>
    </row>
    <row r="145" spans="1:43" x14ac:dyDescent="0.35">
      <c r="B145" t="s">
        <v>3</v>
      </c>
      <c r="C145" s="4">
        <v>0.9</v>
      </c>
      <c r="D145" s="10">
        <f>C145/C148</f>
        <v>0.98253275109170302</v>
      </c>
      <c r="E145">
        <f>$A$15*C145</f>
        <v>360000</v>
      </c>
      <c r="F145" s="4">
        <v>5.0000000000000002E-5</v>
      </c>
      <c r="G145" s="4">
        <v>0.95</v>
      </c>
      <c r="H145" s="4">
        <v>0</v>
      </c>
      <c r="I145" s="4">
        <v>0.9</v>
      </c>
      <c r="N145">
        <f t="shared" si="48"/>
        <v>143</v>
      </c>
      <c r="O145" s="6">
        <f t="shared" si="49"/>
        <v>265967.4700119918</v>
      </c>
      <c r="P145">
        <f t="shared" si="53"/>
        <v>13.29837350059959</v>
      </c>
      <c r="Q145">
        <f t="shared" si="54"/>
        <v>0</v>
      </c>
      <c r="R145" s="6">
        <f t="shared" si="66"/>
        <v>746.0218535004534</v>
      </c>
      <c r="S145">
        <f t="shared" si="55"/>
        <v>4.4761311210027204</v>
      </c>
      <c r="T145">
        <f t="shared" si="56"/>
        <v>0</v>
      </c>
      <c r="U145" s="6">
        <f t="shared" si="67"/>
        <v>2.9054197067095419E-8</v>
      </c>
      <c r="V145">
        <f t="shared" si="57"/>
        <v>4.3581295600643123E-9</v>
      </c>
      <c r="W145">
        <f t="shared" si="58"/>
        <v>0</v>
      </c>
      <c r="X145">
        <f t="shared" si="50"/>
        <v>266713.4918655213</v>
      </c>
      <c r="Y145" s="6">
        <f t="shared" si="59"/>
        <v>29551.941112443481</v>
      </c>
      <c r="Z145" s="6">
        <f t="shared" si="60"/>
        <v>82.891317055605839</v>
      </c>
      <c r="AA145" s="6">
        <f t="shared" si="61"/>
        <v>3.2282441185661578E-9</v>
      </c>
      <c r="AB145">
        <f t="shared" si="62"/>
        <v>0</v>
      </c>
      <c r="AD145" s="6">
        <f t="shared" si="51"/>
        <v>114831.07810529332</v>
      </c>
      <c r="AG145">
        <f t="shared" si="63"/>
        <v>81812.926611522125</v>
      </c>
      <c r="AH145">
        <f t="shared" si="64"/>
        <v>3383.3190634941184</v>
      </c>
      <c r="AI145">
        <f t="shared" si="65"/>
        <v>7.7477858845587823E-7</v>
      </c>
      <c r="AL145">
        <f t="shared" si="52"/>
        <v>0.98782774765007886</v>
      </c>
      <c r="AM145">
        <f t="shared" si="68"/>
        <v>0.88331598542533318</v>
      </c>
      <c r="AO145">
        <v>143</v>
      </c>
      <c r="AP145">
        <v>0.99170166067008103</v>
      </c>
      <c r="AQ145">
        <v>0.88240010423034898</v>
      </c>
    </row>
    <row r="146" spans="1:43" x14ac:dyDescent="0.35">
      <c r="A146" t="s">
        <v>1</v>
      </c>
      <c r="B146" t="s">
        <v>5</v>
      </c>
      <c r="C146" s="4">
        <v>1.4999999999999999E-2</v>
      </c>
      <c r="D146" s="10">
        <f>C146/C148</f>
        <v>1.6375545851528384E-2</v>
      </c>
      <c r="E146">
        <f>$A$15*C146</f>
        <v>6000</v>
      </c>
      <c r="F146" s="4">
        <v>0.01</v>
      </c>
      <c r="G146" s="4">
        <v>0.5</v>
      </c>
      <c r="H146" s="4">
        <v>0</v>
      </c>
      <c r="I146" s="4">
        <v>0.9</v>
      </c>
      <c r="N146">
        <f t="shared" si="48"/>
        <v>144</v>
      </c>
      <c r="O146" s="6">
        <f t="shared" si="49"/>
        <v>265954.17163849121</v>
      </c>
      <c r="P146">
        <f t="shared" si="53"/>
        <v>13.297708581924562</v>
      </c>
      <c r="Q146">
        <f t="shared" si="54"/>
        <v>0</v>
      </c>
      <c r="R146" s="6">
        <f t="shared" si="66"/>
        <v>741.54572237945069</v>
      </c>
      <c r="S146">
        <f t="shared" si="55"/>
        <v>4.449274334276704</v>
      </c>
      <c r="T146">
        <f t="shared" si="56"/>
        <v>0</v>
      </c>
      <c r="U146" s="6">
        <f t="shared" si="67"/>
        <v>2.4696067507031106E-8</v>
      </c>
      <c r="V146">
        <f t="shared" si="57"/>
        <v>3.7044101260546657E-9</v>
      </c>
      <c r="W146">
        <f t="shared" si="58"/>
        <v>0</v>
      </c>
      <c r="X146">
        <f t="shared" si="50"/>
        <v>266695.71736089536</v>
      </c>
      <c r="Y146" s="6">
        <f t="shared" si="59"/>
        <v>29550.463515387859</v>
      </c>
      <c r="Z146" s="6">
        <f t="shared" si="60"/>
        <v>82.393969153272209</v>
      </c>
      <c r="AA146" s="6">
        <f t="shared" si="61"/>
        <v>2.7440075007812344E-9</v>
      </c>
      <c r="AB146">
        <f t="shared" si="62"/>
        <v>0</v>
      </c>
      <c r="AD146" s="6">
        <f t="shared" si="51"/>
        <v>114804.71259950714</v>
      </c>
      <c r="AG146">
        <f t="shared" si="63"/>
        <v>81808.835965191553</v>
      </c>
      <c r="AH146">
        <f t="shared" si="64"/>
        <v>3363.0191491131536</v>
      </c>
      <c r="AI146">
        <f t="shared" si="65"/>
        <v>6.5856180018749652E-7</v>
      </c>
      <c r="AL146">
        <f t="shared" si="52"/>
        <v>0.98776191615146425</v>
      </c>
      <c r="AM146">
        <f t="shared" si="68"/>
        <v>0.88311317384236265</v>
      </c>
      <c r="AO146">
        <v>144</v>
      </c>
      <c r="AP146">
        <v>0.99161814276217097</v>
      </c>
      <c r="AQ146">
        <v>0.88216959480451795</v>
      </c>
    </row>
    <row r="147" spans="1:43" x14ac:dyDescent="0.35">
      <c r="B147" t="s">
        <v>4</v>
      </c>
      <c r="C147" s="4">
        <v>1E-3</v>
      </c>
      <c r="D147" s="10">
        <f>C147/C148</f>
        <v>1.0917030567685589E-3</v>
      </c>
      <c r="E147">
        <f>$A$15*C147</f>
        <v>400</v>
      </c>
      <c r="F147" s="4">
        <v>0.2</v>
      </c>
      <c r="G147" s="4">
        <v>0.3</v>
      </c>
      <c r="H147" s="4">
        <v>0</v>
      </c>
      <c r="I147" s="4">
        <v>0.9</v>
      </c>
      <c r="N147">
        <f t="shared" si="48"/>
        <v>145</v>
      </c>
      <c r="O147" s="6">
        <f t="shared" si="49"/>
        <v>265940.87392990931</v>
      </c>
      <c r="P147">
        <f t="shared" si="53"/>
        <v>13.297043696495466</v>
      </c>
      <c r="Q147">
        <f t="shared" si="54"/>
        <v>0</v>
      </c>
      <c r="R147" s="6">
        <f t="shared" si="66"/>
        <v>737.09644804517404</v>
      </c>
      <c r="S147">
        <f t="shared" si="55"/>
        <v>4.4225786882710443</v>
      </c>
      <c r="T147">
        <f t="shared" si="56"/>
        <v>0</v>
      </c>
      <c r="U147" s="6">
        <f t="shared" si="67"/>
        <v>2.0991657380976441E-8</v>
      </c>
      <c r="V147">
        <f t="shared" si="57"/>
        <v>3.1487486071464661E-9</v>
      </c>
      <c r="W147">
        <f t="shared" si="58"/>
        <v>0</v>
      </c>
      <c r="X147">
        <f t="shared" si="50"/>
        <v>266677.97037797549</v>
      </c>
      <c r="Y147" s="6">
        <f t="shared" si="59"/>
        <v>29548.985992212089</v>
      </c>
      <c r="Z147" s="6">
        <f t="shared" si="60"/>
        <v>81.899605338352572</v>
      </c>
      <c r="AA147" s="6">
        <f t="shared" si="61"/>
        <v>2.3324063756640493E-9</v>
      </c>
      <c r="AB147">
        <f t="shared" si="62"/>
        <v>0</v>
      </c>
      <c r="AD147" s="6">
        <f t="shared" si="51"/>
        <v>114778.47215572433</v>
      </c>
      <c r="AG147">
        <f t="shared" si="63"/>
        <v>81804.7455233933</v>
      </c>
      <c r="AH147">
        <f t="shared" si="64"/>
        <v>3342.8410342184748</v>
      </c>
      <c r="AI147">
        <f t="shared" si="65"/>
        <v>5.5977753015937204E-7</v>
      </c>
      <c r="AL147">
        <f t="shared" si="52"/>
        <v>0.98769618658509439</v>
      </c>
      <c r="AM147">
        <f t="shared" si="68"/>
        <v>0.88291132427480257</v>
      </c>
      <c r="AO147">
        <v>145</v>
      </c>
      <c r="AP147">
        <v>0.99156803201742605</v>
      </c>
      <c r="AQ147">
        <v>0.88195912967658396</v>
      </c>
    </row>
    <row r="148" spans="1:43" x14ac:dyDescent="0.35">
      <c r="B148" s="3" t="s">
        <v>7</v>
      </c>
      <c r="C148" s="9">
        <f>SUM(C145:C147)</f>
        <v>0.91600000000000004</v>
      </c>
      <c r="D148">
        <f>SUM(D145:D147)</f>
        <v>0.99999999999999989</v>
      </c>
      <c r="E148">
        <f>A157*C148</f>
        <v>366400</v>
      </c>
      <c r="G148" s="11">
        <f>D145*G145+D146*G146+D147*G147</f>
        <v>0.94192139737991254</v>
      </c>
      <c r="N148">
        <f t="shared" si="48"/>
        <v>146</v>
      </c>
      <c r="O148" s="6">
        <f t="shared" si="49"/>
        <v>265927.5768862128</v>
      </c>
      <c r="P148">
        <f t="shared" si="53"/>
        <v>13.29637884431064</v>
      </c>
      <c r="Q148">
        <f t="shared" si="54"/>
        <v>0</v>
      </c>
      <c r="R148" s="6">
        <f t="shared" si="66"/>
        <v>732.67386935690297</v>
      </c>
      <c r="S148">
        <f t="shared" si="55"/>
        <v>4.3960432161414182</v>
      </c>
      <c r="T148">
        <f t="shared" si="56"/>
        <v>0</v>
      </c>
      <c r="U148" s="6">
        <f t="shared" si="67"/>
        <v>1.7842908773829975E-8</v>
      </c>
      <c r="V148">
        <f t="shared" si="57"/>
        <v>2.6764363160744962E-9</v>
      </c>
      <c r="W148">
        <f t="shared" si="58"/>
        <v>0</v>
      </c>
      <c r="X148">
        <f t="shared" si="50"/>
        <v>266660.25075558759</v>
      </c>
      <c r="Y148" s="6">
        <f t="shared" si="59"/>
        <v>29547.508542912477</v>
      </c>
      <c r="Z148" s="6">
        <f t="shared" si="60"/>
        <v>81.408207706322457</v>
      </c>
      <c r="AA148" s="6">
        <f t="shared" si="61"/>
        <v>1.982545419314442E-9</v>
      </c>
      <c r="AB148">
        <f t="shared" si="62"/>
        <v>0</v>
      </c>
      <c r="AD148" s="6">
        <f t="shared" si="51"/>
        <v>114752.35602522689</v>
      </c>
      <c r="AG148">
        <f t="shared" si="63"/>
        <v>81800.655286117137</v>
      </c>
      <c r="AH148">
        <f t="shared" si="64"/>
        <v>3322.7839880131637</v>
      </c>
      <c r="AI148">
        <f t="shared" si="65"/>
        <v>4.7581090063546625E-7</v>
      </c>
      <c r="AL148">
        <f t="shared" si="52"/>
        <v>0.98763055835402813</v>
      </c>
      <c r="AM148">
        <f t="shared" si="68"/>
        <v>0.88271043096328383</v>
      </c>
      <c r="AO148">
        <v>146</v>
      </c>
      <c r="AP148">
        <v>0.99151123984004697</v>
      </c>
      <c r="AQ148">
        <v>0.88170857595285601</v>
      </c>
    </row>
    <row r="149" spans="1:43" x14ac:dyDescent="0.35">
      <c r="B149" t="s">
        <v>3</v>
      </c>
      <c r="C149" s="4">
        <v>8.253275109170298E-2</v>
      </c>
      <c r="D149" s="10">
        <f>C149/C152</f>
        <v>0.98253275109170302</v>
      </c>
      <c r="E149">
        <f>$A$15*C149</f>
        <v>33013.10043668119</v>
      </c>
      <c r="F149" s="4">
        <v>5.0000000000000002E-5</v>
      </c>
      <c r="G149" s="5" t="s">
        <v>15</v>
      </c>
      <c r="H149" s="4">
        <v>3.5000000000000001E-3</v>
      </c>
      <c r="I149" s="5" t="s">
        <v>15</v>
      </c>
      <c r="N149">
        <f t="shared" si="48"/>
        <v>147</v>
      </c>
      <c r="O149" s="6">
        <f t="shared" si="49"/>
        <v>265914.2805073685</v>
      </c>
      <c r="P149">
        <f t="shared" si="53"/>
        <v>13.295714025368426</v>
      </c>
      <c r="Q149">
        <f t="shared" si="54"/>
        <v>0</v>
      </c>
      <c r="R149" s="6">
        <f t="shared" si="66"/>
        <v>728.27782614076159</v>
      </c>
      <c r="S149">
        <f t="shared" si="55"/>
        <v>4.3696669568445694</v>
      </c>
      <c r="T149">
        <f t="shared" si="56"/>
        <v>0</v>
      </c>
      <c r="U149" s="6">
        <f t="shared" si="67"/>
        <v>1.5166472457755478E-8</v>
      </c>
      <c r="V149">
        <f t="shared" si="57"/>
        <v>2.2749708686633216E-9</v>
      </c>
      <c r="W149">
        <f t="shared" si="58"/>
        <v>0</v>
      </c>
      <c r="X149">
        <f t="shared" si="50"/>
        <v>266642.55833352444</v>
      </c>
      <c r="Y149" s="6">
        <f t="shared" si="59"/>
        <v>29546.031167485333</v>
      </c>
      <c r="Z149" s="6">
        <f t="shared" si="60"/>
        <v>80.919758460084523</v>
      </c>
      <c r="AA149" s="6">
        <f t="shared" si="61"/>
        <v>1.6851636064172758E-9</v>
      </c>
      <c r="AB149">
        <f t="shared" si="62"/>
        <v>0</v>
      </c>
      <c r="AD149" s="6">
        <f t="shared" si="51"/>
        <v>114726.36346378947</v>
      </c>
      <c r="AG149">
        <f t="shared" si="63"/>
        <v>81796.565253352834</v>
      </c>
      <c r="AH149">
        <f t="shared" si="64"/>
        <v>3302.8472840850845</v>
      </c>
      <c r="AI149">
        <f t="shared" si="65"/>
        <v>4.0443926554014631E-7</v>
      </c>
      <c r="AL149">
        <f t="shared" si="52"/>
        <v>0.98756503086490532</v>
      </c>
      <c r="AM149">
        <f t="shared" si="68"/>
        <v>0.88251048818299593</v>
      </c>
      <c r="AO149">
        <v>147</v>
      </c>
      <c r="AP149">
        <v>0.99145110694635097</v>
      </c>
      <c r="AQ149">
        <v>0.88147806652702498</v>
      </c>
    </row>
    <row r="150" spans="1:43" x14ac:dyDescent="0.35">
      <c r="A150" t="s">
        <v>6</v>
      </c>
      <c r="B150" t="s">
        <v>5</v>
      </c>
      <c r="C150" s="4">
        <v>1.3755458515283829E-3</v>
      </c>
      <c r="D150" s="10">
        <f>C150/C152</f>
        <v>1.6375545851528384E-2</v>
      </c>
      <c r="E150">
        <f>$A$15*C150</f>
        <v>550.21834061135314</v>
      </c>
      <c r="F150" s="4">
        <v>0.01</v>
      </c>
      <c r="G150" s="5" t="s">
        <v>15</v>
      </c>
      <c r="H150" s="4">
        <v>1E-3</v>
      </c>
      <c r="I150" s="5" t="s">
        <v>15</v>
      </c>
      <c r="N150">
        <f t="shared" si="48"/>
        <v>148</v>
      </c>
      <c r="O150" s="6">
        <f t="shared" si="49"/>
        <v>265900.98479334312</v>
      </c>
      <c r="P150">
        <f t="shared" si="53"/>
        <v>13.295049239667156</v>
      </c>
      <c r="Q150">
        <f t="shared" si="54"/>
        <v>0</v>
      </c>
      <c r="R150" s="6">
        <f t="shared" si="66"/>
        <v>723.90815918391706</v>
      </c>
      <c r="S150">
        <f t="shared" si="55"/>
        <v>4.3434489551035025</v>
      </c>
      <c r="T150">
        <f t="shared" si="56"/>
        <v>0</v>
      </c>
      <c r="U150" s="6">
        <f t="shared" si="67"/>
        <v>1.2891501589092155E-8</v>
      </c>
      <c r="V150">
        <f t="shared" si="57"/>
        <v>1.9337252383638231E-9</v>
      </c>
      <c r="W150">
        <f t="shared" si="58"/>
        <v>0</v>
      </c>
      <c r="X150">
        <f t="shared" si="50"/>
        <v>266624.8929525399</v>
      </c>
      <c r="Y150" s="6">
        <f t="shared" si="59"/>
        <v>29544.553865926959</v>
      </c>
      <c r="Z150" s="6">
        <f t="shared" si="60"/>
        <v>80.43423990932402</v>
      </c>
      <c r="AA150" s="6">
        <f t="shared" si="61"/>
        <v>1.4323890654546844E-9</v>
      </c>
      <c r="AB150">
        <f t="shared" si="62"/>
        <v>0</v>
      </c>
      <c r="AD150" s="6">
        <f t="shared" si="51"/>
        <v>114700.49373165223</v>
      </c>
      <c r="AG150">
        <f t="shared" si="63"/>
        <v>81792.475425090161</v>
      </c>
      <c r="AH150">
        <f t="shared" si="64"/>
        <v>3283.0302003805741</v>
      </c>
      <c r="AI150">
        <f t="shared" si="65"/>
        <v>3.4377337570912436E-7</v>
      </c>
      <c r="AL150">
        <f t="shared" si="52"/>
        <v>0.98749960352792554</v>
      </c>
      <c r="AM150">
        <f t="shared" si="68"/>
        <v>0.88231149024347866</v>
      </c>
      <c r="AO150">
        <v>148</v>
      </c>
      <c r="AP150">
        <v>0.991394314768972</v>
      </c>
      <c r="AQ150">
        <v>0.88133775644173595</v>
      </c>
    </row>
    <row r="151" spans="1:43" x14ac:dyDescent="0.35">
      <c r="B151" t="s">
        <v>4</v>
      </c>
      <c r="C151" s="4">
        <v>9.1703056768558861E-5</v>
      </c>
      <c r="D151" s="10">
        <f>C151/C152</f>
        <v>1.0917030567685589E-3</v>
      </c>
      <c r="E151">
        <f>$A$15*C151</f>
        <v>36.681222707423544</v>
      </c>
      <c r="F151" s="4">
        <v>0.2</v>
      </c>
      <c r="G151" s="5" t="s">
        <v>15</v>
      </c>
      <c r="H151" s="4">
        <v>0.15</v>
      </c>
      <c r="I151" s="5" t="s">
        <v>15</v>
      </c>
      <c r="K151" s="5"/>
      <c r="N151">
        <f t="shared" si="48"/>
        <v>149</v>
      </c>
      <c r="O151" s="6">
        <f t="shared" si="49"/>
        <v>265887.68974410347</v>
      </c>
      <c r="P151">
        <f t="shared" si="53"/>
        <v>13.294384487205175</v>
      </c>
      <c r="Q151">
        <f t="shared" si="54"/>
        <v>0</v>
      </c>
      <c r="R151" s="6">
        <f t="shared" si="66"/>
        <v>719.56471022881351</v>
      </c>
      <c r="S151">
        <f t="shared" si="55"/>
        <v>4.3173882613728809</v>
      </c>
      <c r="T151">
        <f t="shared" si="56"/>
        <v>0</v>
      </c>
      <c r="U151" s="6">
        <f t="shared" si="67"/>
        <v>1.0957776350728331E-8</v>
      </c>
      <c r="V151">
        <f t="shared" si="57"/>
        <v>1.6436664526092497E-9</v>
      </c>
      <c r="W151">
        <f t="shared" si="58"/>
        <v>0</v>
      </c>
      <c r="X151">
        <f t="shared" si="50"/>
        <v>266607.25445434323</v>
      </c>
      <c r="Y151" s="6">
        <f t="shared" si="59"/>
        <v>29543.076638233662</v>
      </c>
      <c r="Z151" s="6">
        <f t="shared" si="60"/>
        <v>79.951634469868083</v>
      </c>
      <c r="AA151" s="6">
        <f t="shared" si="61"/>
        <v>1.2175307056364817E-9</v>
      </c>
      <c r="AB151">
        <f t="shared" si="62"/>
        <v>0</v>
      </c>
      <c r="AD151" s="6">
        <f t="shared" si="51"/>
        <v>114674.74609349413</v>
      </c>
      <c r="AG151">
        <f t="shared" si="63"/>
        <v>81788.385801318902</v>
      </c>
      <c r="AH151">
        <f t="shared" si="64"/>
        <v>3263.3320191782905</v>
      </c>
      <c r="AI151">
        <f t="shared" si="65"/>
        <v>2.9220736935275569E-7</v>
      </c>
      <c r="AL151">
        <f t="shared" si="52"/>
        <v>0.98743427575682674</v>
      </c>
      <c r="AM151">
        <f t="shared" si="68"/>
        <v>0.88211343148841637</v>
      </c>
      <c r="AO151">
        <v>149</v>
      </c>
      <c r="AP151">
        <v>0.99134086330791105</v>
      </c>
      <c r="AQ151">
        <v>0.881177402058549</v>
      </c>
    </row>
    <row r="152" spans="1:43" x14ac:dyDescent="0.35">
      <c r="B152" s="3" t="s">
        <v>7</v>
      </c>
      <c r="C152" s="9">
        <f>SUM(C149:C151)</f>
        <v>8.3999999999999922E-2</v>
      </c>
      <c r="D152" s="10">
        <f>SUM(D149:D151)</f>
        <v>0.99999999999999989</v>
      </c>
      <c r="E152">
        <f>C152*A157</f>
        <v>33599.999999999971</v>
      </c>
      <c r="K152" s="5"/>
      <c r="N152">
        <f t="shared" si="48"/>
        <v>150</v>
      </c>
      <c r="O152" s="6">
        <f t="shared" si="49"/>
        <v>265874.39535961626</v>
      </c>
      <c r="P152">
        <f t="shared" si="53"/>
        <v>13.293719767980814</v>
      </c>
      <c r="Q152">
        <f t="shared" si="54"/>
        <v>0</v>
      </c>
      <c r="R152" s="6">
        <f t="shared" si="66"/>
        <v>715.2473219674406</v>
      </c>
      <c r="S152">
        <f t="shared" si="55"/>
        <v>4.2914839318046436</v>
      </c>
      <c r="T152">
        <f t="shared" si="56"/>
        <v>0</v>
      </c>
      <c r="U152" s="6">
        <f t="shared" si="67"/>
        <v>9.3141098981190808E-9</v>
      </c>
      <c r="V152">
        <f t="shared" si="57"/>
        <v>1.3971164847178621E-9</v>
      </c>
      <c r="W152">
        <f t="shared" si="58"/>
        <v>0</v>
      </c>
      <c r="X152">
        <f t="shared" si="50"/>
        <v>266589.64268159302</v>
      </c>
      <c r="Y152" s="6">
        <f t="shared" si="59"/>
        <v>29541.599484401751</v>
      </c>
      <c r="Z152" s="6">
        <f t="shared" si="60"/>
        <v>79.471924663048867</v>
      </c>
      <c r="AA152" s="6">
        <f t="shared" si="61"/>
        <v>1.0349010997910095E-9</v>
      </c>
      <c r="AB152">
        <f t="shared" si="62"/>
        <v>0</v>
      </c>
      <c r="AD152" s="6">
        <f t="shared" si="51"/>
        <v>114649.11981840627</v>
      </c>
      <c r="AG152">
        <f t="shared" si="63"/>
        <v>81784.296382028842</v>
      </c>
      <c r="AH152">
        <f t="shared" si="64"/>
        <v>3243.7520270632208</v>
      </c>
      <c r="AI152">
        <f t="shared" si="65"/>
        <v>2.4837626394984231E-7</v>
      </c>
      <c r="AL152">
        <f t="shared" si="52"/>
        <v>0.98736904696886307</v>
      </c>
      <c r="AM152">
        <f t="shared" si="68"/>
        <v>0.88191630629543283</v>
      </c>
      <c r="AO152">
        <v>150</v>
      </c>
      <c r="AP152">
        <v>0.99128407113053096</v>
      </c>
      <c r="AQ152">
        <v>0.88093687048376901</v>
      </c>
    </row>
    <row r="153" spans="1:43" x14ac:dyDescent="0.35">
      <c r="K153" s="5"/>
      <c r="N153">
        <f t="shared" si="48"/>
        <v>151</v>
      </c>
      <c r="O153" s="6">
        <f t="shared" si="49"/>
        <v>265861.10163984826</v>
      </c>
      <c r="P153">
        <f t="shared" si="53"/>
        <v>13.293055081992414</v>
      </c>
      <c r="Q153">
        <f t="shared" si="54"/>
        <v>0</v>
      </c>
      <c r="R153" s="6">
        <f t="shared" si="66"/>
        <v>710.95583803563591</v>
      </c>
      <c r="S153">
        <f t="shared" si="55"/>
        <v>4.2657350282138156</v>
      </c>
      <c r="T153">
        <f t="shared" si="56"/>
        <v>0</v>
      </c>
      <c r="U153" s="6">
        <f t="shared" si="67"/>
        <v>7.9169934134012179E-9</v>
      </c>
      <c r="V153">
        <f t="shared" si="57"/>
        <v>1.1875490120101827E-9</v>
      </c>
      <c r="W153">
        <f t="shared" si="58"/>
        <v>0</v>
      </c>
      <c r="X153">
        <f t="shared" si="50"/>
        <v>266572.05747789179</v>
      </c>
      <c r="Y153" s="6">
        <f t="shared" si="59"/>
        <v>29540.12240442753</v>
      </c>
      <c r="Z153" s="6">
        <f t="shared" si="60"/>
        <v>78.995093115070574</v>
      </c>
      <c r="AA153" s="6">
        <f t="shared" si="61"/>
        <v>8.7966593482235801E-10</v>
      </c>
      <c r="AB153">
        <f t="shared" si="62"/>
        <v>0</v>
      </c>
      <c r="AD153" s="6">
        <f t="shared" si="51"/>
        <v>114623.61417986518</v>
      </c>
      <c r="AG153">
        <f t="shared" si="63"/>
        <v>81780.207167209737</v>
      </c>
      <c r="AH153">
        <f t="shared" si="64"/>
        <v>3224.2895149008414</v>
      </c>
      <c r="AI153">
        <f t="shared" si="65"/>
        <v>2.1111982435736598E-7</v>
      </c>
      <c r="AL153">
        <f t="shared" si="52"/>
        <v>0.98730391658478445</v>
      </c>
      <c r="AM153">
        <f t="shared" si="68"/>
        <v>0.88172010907588605</v>
      </c>
      <c r="AO153">
        <v>151</v>
      </c>
      <c r="AP153">
        <v>0.99122727895315399</v>
      </c>
      <c r="AQ153">
        <v>0.88075647180268402</v>
      </c>
    </row>
    <row r="154" spans="1:43" x14ac:dyDescent="0.35">
      <c r="B154" s="3" t="s">
        <v>9</v>
      </c>
      <c r="C154">
        <f>C148+C152</f>
        <v>1</v>
      </c>
      <c r="E154">
        <f>E148+E152</f>
        <v>400000</v>
      </c>
      <c r="G154" s="12" t="s">
        <v>29</v>
      </c>
      <c r="H154" s="4">
        <v>29</v>
      </c>
      <c r="N154">
        <f t="shared" si="48"/>
        <v>152</v>
      </c>
      <c r="O154" s="6">
        <f t="shared" si="49"/>
        <v>265847.80858476629</v>
      </c>
      <c r="P154">
        <f t="shared" si="53"/>
        <v>13.292390429238315</v>
      </c>
      <c r="Q154">
        <f t="shared" si="54"/>
        <v>0</v>
      </c>
      <c r="R154" s="6">
        <f t="shared" si="66"/>
        <v>706.69010300742207</v>
      </c>
      <c r="S154">
        <f t="shared" si="55"/>
        <v>4.2401406180445322</v>
      </c>
      <c r="T154">
        <f t="shared" si="56"/>
        <v>0</v>
      </c>
      <c r="U154" s="6">
        <f t="shared" si="67"/>
        <v>6.7294444013910353E-9</v>
      </c>
      <c r="V154">
        <f t="shared" si="57"/>
        <v>1.0094166602086553E-9</v>
      </c>
      <c r="W154">
        <f t="shared" si="58"/>
        <v>0</v>
      </c>
      <c r="X154">
        <f t="shared" si="50"/>
        <v>266554.49868778046</v>
      </c>
      <c r="Y154" s="6">
        <f t="shared" si="59"/>
        <v>29538.645398307308</v>
      </c>
      <c r="Z154" s="6">
        <f t="shared" si="60"/>
        <v>78.521122556380149</v>
      </c>
      <c r="AA154" s="6">
        <f t="shared" si="61"/>
        <v>7.4771604459900428E-10</v>
      </c>
      <c r="AB154">
        <f t="shared" si="62"/>
        <v>0</v>
      </c>
      <c r="AD154" s="6">
        <f t="shared" si="51"/>
        <v>114598.2284557067</v>
      </c>
      <c r="AG154">
        <f t="shared" si="63"/>
        <v>81776.118156851371</v>
      </c>
      <c r="AH154">
        <f t="shared" si="64"/>
        <v>3204.9437778114361</v>
      </c>
      <c r="AI154">
        <f t="shared" si="65"/>
        <v>1.7945185070376108E-7</v>
      </c>
      <c r="AL154">
        <f t="shared" si="52"/>
        <v>0.98723888402881654</v>
      </c>
      <c r="AM154">
        <f t="shared" si="68"/>
        <v>0.88152483427466699</v>
      </c>
      <c r="AO154">
        <v>152</v>
      </c>
      <c r="AP154">
        <v>0.99116046462682605</v>
      </c>
      <c r="AQ154">
        <v>0.88057607312159902</v>
      </c>
    </row>
    <row r="155" spans="1:43" x14ac:dyDescent="0.35">
      <c r="B155" s="3" t="s">
        <v>12</v>
      </c>
      <c r="C155">
        <f>1-C154</f>
        <v>0</v>
      </c>
      <c r="D155">
        <f>C149+C155</f>
        <v>8.253275109170298E-2</v>
      </c>
      <c r="N155">
        <f t="shared" si="48"/>
        <v>153</v>
      </c>
      <c r="O155" s="6">
        <f t="shared" si="49"/>
        <v>265834.51619433705</v>
      </c>
      <c r="P155">
        <f t="shared" si="53"/>
        <v>13.291725809716853</v>
      </c>
      <c r="Q155">
        <f t="shared" si="54"/>
        <v>0</v>
      </c>
      <c r="R155" s="6">
        <f t="shared" si="66"/>
        <v>702.44996238937756</v>
      </c>
      <c r="S155">
        <f t="shared" si="55"/>
        <v>4.2146997743362657</v>
      </c>
      <c r="T155">
        <f t="shared" si="56"/>
        <v>0</v>
      </c>
      <c r="U155" s="6">
        <f t="shared" si="67"/>
        <v>5.7200277411823802E-9</v>
      </c>
      <c r="V155">
        <f t="shared" si="57"/>
        <v>8.5800416117735704E-10</v>
      </c>
      <c r="W155">
        <f t="shared" si="58"/>
        <v>0</v>
      </c>
      <c r="X155">
        <f t="shared" si="50"/>
        <v>266536.96615673212</v>
      </c>
      <c r="Y155" s="6">
        <f t="shared" si="59"/>
        <v>29537.168466037394</v>
      </c>
      <c r="Z155" s="6">
        <f t="shared" si="60"/>
        <v>78.049995821041861</v>
      </c>
      <c r="AA155" s="6">
        <f t="shared" si="61"/>
        <v>6.3555863790915363E-10</v>
      </c>
      <c r="AB155">
        <f t="shared" si="62"/>
        <v>0</v>
      </c>
      <c r="AD155" s="6">
        <f t="shared" si="51"/>
        <v>114572.9619280997</v>
      </c>
      <c r="AG155">
        <f t="shared" si="63"/>
        <v>81772.029350943529</v>
      </c>
      <c r="AH155">
        <f t="shared" si="64"/>
        <v>3185.7141151445676</v>
      </c>
      <c r="AI155">
        <f t="shared" si="65"/>
        <v>1.5253407309819691E-7</v>
      </c>
      <c r="AL155">
        <f t="shared" si="52"/>
        <v>0.98717394872863751</v>
      </c>
      <c r="AM155">
        <f t="shared" si="68"/>
        <v>0.88133047636999773</v>
      </c>
      <c r="AO155">
        <v>153</v>
      </c>
      <c r="AP155">
        <v>0.99111035388208002</v>
      </c>
      <c r="AQ155">
        <v>0.88040569658946199</v>
      </c>
    </row>
    <row r="156" spans="1:43" x14ac:dyDescent="0.35">
      <c r="A156" s="1" t="s">
        <v>11</v>
      </c>
      <c r="C156" t="s">
        <v>43</v>
      </c>
      <c r="D156" t="s">
        <v>43</v>
      </c>
      <c r="E156" t="s">
        <v>58</v>
      </c>
      <c r="N156">
        <f t="shared" si="48"/>
        <v>154</v>
      </c>
      <c r="O156" s="6">
        <f t="shared" si="49"/>
        <v>265821.2244685273</v>
      </c>
      <c r="P156">
        <f t="shared" si="53"/>
        <v>13.291061223426366</v>
      </c>
      <c r="Q156">
        <f t="shared" si="54"/>
        <v>0</v>
      </c>
      <c r="R156" s="6">
        <f t="shared" si="66"/>
        <v>698.23526261504128</v>
      </c>
      <c r="S156">
        <f t="shared" si="55"/>
        <v>4.1894115756902481</v>
      </c>
      <c r="T156">
        <f t="shared" si="56"/>
        <v>0</v>
      </c>
      <c r="U156" s="6">
        <f t="shared" si="67"/>
        <v>4.862023580005023E-9</v>
      </c>
      <c r="V156">
        <f t="shared" si="57"/>
        <v>7.2930353700075343E-10</v>
      </c>
      <c r="W156">
        <f t="shared" si="58"/>
        <v>0</v>
      </c>
      <c r="X156">
        <f t="shared" si="50"/>
        <v>266519.45973114722</v>
      </c>
      <c r="Y156" s="6">
        <f t="shared" si="59"/>
        <v>29535.691607614091</v>
      </c>
      <c r="Z156" s="6">
        <f t="shared" si="60"/>
        <v>77.581695846115608</v>
      </c>
      <c r="AA156" s="6">
        <f t="shared" si="61"/>
        <v>5.4022484222278059E-10</v>
      </c>
      <c r="AB156">
        <f t="shared" si="62"/>
        <v>0</v>
      </c>
      <c r="AD156" s="6">
        <f t="shared" si="51"/>
        <v>114547.8138835201</v>
      </c>
      <c r="AG156">
        <f t="shared" si="63"/>
        <v>81767.94074947598</v>
      </c>
      <c r="AH156">
        <f t="shared" si="64"/>
        <v>3166.5998304537002</v>
      </c>
      <c r="AI156">
        <f t="shared" si="65"/>
        <v>1.2965396213346738E-7</v>
      </c>
      <c r="AL156">
        <f t="shared" si="52"/>
        <v>0.98710911011536007</v>
      </c>
      <c r="AM156">
        <f t="shared" si="68"/>
        <v>0.8811370298732315</v>
      </c>
      <c r="AO156">
        <v>154</v>
      </c>
      <c r="AP156">
        <v>0.99102015454153602</v>
      </c>
      <c r="AQ156">
        <v>0.88017518716363097</v>
      </c>
    </row>
    <row r="157" spans="1:43" x14ac:dyDescent="0.35">
      <c r="A157">
        <v>400000</v>
      </c>
      <c r="C157">
        <f>C151/C147</f>
        <v>9.170305676855886E-2</v>
      </c>
      <c r="D157" s="9">
        <f>D151/D147</f>
        <v>1</v>
      </c>
      <c r="E157">
        <f>(D150+D151)/(D146+D147)</f>
        <v>1</v>
      </c>
      <c r="N157">
        <f t="shared" si="48"/>
        <v>155</v>
      </c>
      <c r="O157" s="6">
        <f t="shared" si="49"/>
        <v>265807.93340730388</v>
      </c>
      <c r="P157">
        <f t="shared" si="53"/>
        <v>13.290396670365194</v>
      </c>
      <c r="Q157">
        <f t="shared" si="54"/>
        <v>0</v>
      </c>
      <c r="R157" s="6">
        <f t="shared" si="66"/>
        <v>694.04585103935108</v>
      </c>
      <c r="S157">
        <f t="shared" si="55"/>
        <v>4.164275106236107</v>
      </c>
      <c r="T157">
        <f t="shared" si="56"/>
        <v>0</v>
      </c>
      <c r="U157" s="6">
        <f t="shared" si="67"/>
        <v>4.1327200430042695E-9</v>
      </c>
      <c r="V157">
        <f t="shared" si="57"/>
        <v>6.1990800645064038E-10</v>
      </c>
      <c r="W157">
        <f t="shared" si="58"/>
        <v>0</v>
      </c>
      <c r="X157">
        <f t="shared" si="50"/>
        <v>266501.97925834736</v>
      </c>
      <c r="Y157" s="6">
        <f t="shared" si="59"/>
        <v>29534.214823033712</v>
      </c>
      <c r="Z157" s="6">
        <f t="shared" si="60"/>
        <v>77.116205671038912</v>
      </c>
      <c r="AA157" s="6">
        <f t="shared" si="61"/>
        <v>4.591911158893635E-10</v>
      </c>
      <c r="AB157">
        <f t="shared" si="62"/>
        <v>0</v>
      </c>
      <c r="AD157" s="6">
        <f t="shared" si="51"/>
        <v>114522.7836127249</v>
      </c>
      <c r="AG157">
        <f t="shared" si="63"/>
        <v>81763.852352438509</v>
      </c>
      <c r="AH157">
        <f t="shared" si="64"/>
        <v>3147.6002314709781</v>
      </c>
      <c r="AI157">
        <f t="shared" si="65"/>
        <v>1.1020586781344727E-7</v>
      </c>
      <c r="AL157">
        <f t="shared" si="52"/>
        <v>0.98704436762350878</v>
      </c>
      <c r="AM157">
        <f t="shared" si="68"/>
        <v>0.8809444893286531</v>
      </c>
      <c r="AO157">
        <v>155</v>
      </c>
      <c r="AP157">
        <v>0.99093663663362797</v>
      </c>
      <c r="AQ157">
        <v>0.88000481063149505</v>
      </c>
    </row>
    <row r="158" spans="1:43" x14ac:dyDescent="0.35">
      <c r="N158">
        <f t="shared" si="48"/>
        <v>156</v>
      </c>
      <c r="O158" s="6">
        <f t="shared" si="49"/>
        <v>265794.64301063353</v>
      </c>
      <c r="P158">
        <f t="shared" si="53"/>
        <v>13.289732150531677</v>
      </c>
      <c r="Q158">
        <f t="shared" si="54"/>
        <v>0</v>
      </c>
      <c r="R158" s="6">
        <f t="shared" si="66"/>
        <v>689.88157593311496</v>
      </c>
      <c r="S158">
        <f t="shared" si="55"/>
        <v>4.1392894555986901</v>
      </c>
      <c r="T158">
        <f t="shared" si="56"/>
        <v>0</v>
      </c>
      <c r="U158" s="6">
        <f t="shared" si="67"/>
        <v>3.5128120365536293E-9</v>
      </c>
      <c r="V158">
        <f t="shared" si="57"/>
        <v>5.2692180548304437E-10</v>
      </c>
      <c r="W158">
        <f t="shared" si="58"/>
        <v>0</v>
      </c>
      <c r="X158">
        <f t="shared" si="50"/>
        <v>266484.52458657016</v>
      </c>
      <c r="Y158" s="6">
        <f t="shared" si="59"/>
        <v>29532.738112292562</v>
      </c>
      <c r="Z158" s="6">
        <f t="shared" si="60"/>
        <v>76.653508437012675</v>
      </c>
      <c r="AA158" s="6">
        <f t="shared" si="61"/>
        <v>3.9031244850595897E-10</v>
      </c>
      <c r="AB158">
        <f t="shared" si="62"/>
        <v>0</v>
      </c>
      <c r="AD158" s="6">
        <f t="shared" si="51"/>
        <v>114497.87041072667</v>
      </c>
      <c r="AG158">
        <f t="shared" si="63"/>
        <v>81759.764159820887</v>
      </c>
      <c r="AH158">
        <f t="shared" si="64"/>
        <v>3128.7146300821523</v>
      </c>
      <c r="AI158">
        <f t="shared" si="65"/>
        <v>9.3674987641430181E-8</v>
      </c>
      <c r="AL158">
        <f t="shared" si="52"/>
        <v>0.98697972069100059</v>
      </c>
      <c r="AM158">
        <f t="shared" si="68"/>
        <v>0.88075284931328202</v>
      </c>
      <c r="AO158">
        <v>156</v>
      </c>
      <c r="AP158">
        <v>0.990819711562553</v>
      </c>
      <c r="AQ158">
        <v>0.87980436765251102</v>
      </c>
    </row>
    <row r="159" spans="1:43" x14ac:dyDescent="0.35">
      <c r="N159">
        <f t="shared" si="48"/>
        <v>157</v>
      </c>
      <c r="O159" s="6">
        <f t="shared" si="49"/>
        <v>265781.35327848297</v>
      </c>
      <c r="P159">
        <f t="shared" si="53"/>
        <v>13.289067663924149</v>
      </c>
      <c r="Q159">
        <f t="shared" si="54"/>
        <v>0</v>
      </c>
      <c r="R159" s="6">
        <f t="shared" si="66"/>
        <v>685.74228647751625</v>
      </c>
      <c r="S159">
        <f t="shared" si="55"/>
        <v>4.1144537188650974</v>
      </c>
      <c r="T159">
        <f t="shared" si="56"/>
        <v>0</v>
      </c>
      <c r="U159" s="6">
        <f t="shared" si="67"/>
        <v>2.985890231070585E-9</v>
      </c>
      <c r="V159">
        <f t="shared" si="57"/>
        <v>4.4788353466058772E-10</v>
      </c>
      <c r="W159">
        <f t="shared" si="58"/>
        <v>0</v>
      </c>
      <c r="X159">
        <f t="shared" si="50"/>
        <v>266467.09556496347</v>
      </c>
      <c r="Y159" s="6">
        <f t="shared" si="59"/>
        <v>29531.261475386946</v>
      </c>
      <c r="Z159" s="6">
        <f t="shared" si="60"/>
        <v>76.193587386390604</v>
      </c>
      <c r="AA159" s="6">
        <f t="shared" si="61"/>
        <v>3.3176558123006512E-10</v>
      </c>
      <c r="AB159">
        <f t="shared" si="62"/>
        <v>0</v>
      </c>
      <c r="AD159" s="6">
        <f t="shared" si="51"/>
        <v>114473.07357676784</v>
      </c>
      <c r="AG159">
        <f t="shared" si="63"/>
        <v>81755.676171612897</v>
      </c>
      <c r="AH159">
        <f t="shared" si="64"/>
        <v>3109.9423423016592</v>
      </c>
      <c r="AI159">
        <f t="shared" si="65"/>
        <v>7.9623739495215647E-8</v>
      </c>
      <c r="AL159">
        <f t="shared" si="52"/>
        <v>0.986915168759124</v>
      </c>
      <c r="AM159">
        <f t="shared" si="68"/>
        <v>0.88056210443667571</v>
      </c>
      <c r="AO159">
        <v>157</v>
      </c>
      <c r="AP159">
        <v>0.99074621580359301</v>
      </c>
      <c r="AQ159">
        <v>0.87963399112037599</v>
      </c>
    </row>
    <row r="160" spans="1:43" x14ac:dyDescent="0.35">
      <c r="A160" s="15" t="s">
        <v>54</v>
      </c>
      <c r="B160" t="s">
        <v>51</v>
      </c>
      <c r="N160">
        <f t="shared" si="48"/>
        <v>158</v>
      </c>
      <c r="O160" s="6">
        <f t="shared" si="49"/>
        <v>265768.06421081902</v>
      </c>
      <c r="P160">
        <f t="shared" si="53"/>
        <v>13.288403210540952</v>
      </c>
      <c r="Q160">
        <f t="shared" si="54"/>
        <v>0</v>
      </c>
      <c r="R160" s="6">
        <f t="shared" si="66"/>
        <v>681.62783275865115</v>
      </c>
      <c r="S160">
        <f t="shared" si="55"/>
        <v>4.0897669965519068</v>
      </c>
      <c r="T160">
        <f t="shared" si="56"/>
        <v>0</v>
      </c>
      <c r="U160" s="6">
        <f t="shared" si="67"/>
        <v>2.5380066964099975E-9</v>
      </c>
      <c r="V160">
        <f t="shared" si="57"/>
        <v>3.807010044614996E-10</v>
      </c>
      <c r="W160">
        <f t="shared" si="58"/>
        <v>0</v>
      </c>
      <c r="X160">
        <f t="shared" si="50"/>
        <v>266449.69204358023</v>
      </c>
      <c r="Y160" s="6">
        <f t="shared" si="59"/>
        <v>29529.784912313175</v>
      </c>
      <c r="Z160" s="6">
        <f t="shared" si="60"/>
        <v>75.736425862072267</v>
      </c>
      <c r="AA160" s="6">
        <f t="shared" si="61"/>
        <v>2.8200074404555534E-10</v>
      </c>
      <c r="AB160">
        <f t="shared" si="62"/>
        <v>0</v>
      </c>
      <c r="AD160" s="6">
        <f t="shared" si="51"/>
        <v>114448.39241429538</v>
      </c>
      <c r="AG160">
        <f t="shared" si="63"/>
        <v>81751.58838780431</v>
      </c>
      <c r="AH160">
        <f t="shared" si="64"/>
        <v>3091.2826882478494</v>
      </c>
      <c r="AI160">
        <f t="shared" si="65"/>
        <v>6.7680178570933299E-8</v>
      </c>
      <c r="AL160">
        <f t="shared" si="52"/>
        <v>0.98685071127251933</v>
      </c>
      <c r="AM160">
        <f t="shared" si="68"/>
        <v>0.88037224934073366</v>
      </c>
      <c r="AO160">
        <v>158</v>
      </c>
      <c r="AP160">
        <v>0.99068942362621304</v>
      </c>
      <c r="AQ160">
        <v>0.87949368103508796</v>
      </c>
    </row>
    <row r="161" spans="1:43" ht="58" x14ac:dyDescent="0.35">
      <c r="A161" s="2" t="s">
        <v>0</v>
      </c>
      <c r="B161" s="2" t="s">
        <v>2</v>
      </c>
      <c r="C161" s="2" t="s">
        <v>8</v>
      </c>
      <c r="D161" s="2" t="s">
        <v>10</v>
      </c>
      <c r="E161" s="2" t="s">
        <v>13</v>
      </c>
      <c r="F161" s="2" t="s">
        <v>27</v>
      </c>
      <c r="G161" s="2" t="s">
        <v>28</v>
      </c>
      <c r="H161" s="2" t="s">
        <v>30</v>
      </c>
      <c r="I161" s="2" t="s">
        <v>32</v>
      </c>
      <c r="N161">
        <f t="shared" si="48"/>
        <v>159</v>
      </c>
      <c r="O161" s="6">
        <f t="shared" si="49"/>
        <v>265754.7758076085</v>
      </c>
      <c r="P161">
        <f t="shared" si="53"/>
        <v>13.287738790380425</v>
      </c>
      <c r="Q161">
        <f t="shared" si="54"/>
        <v>0</v>
      </c>
      <c r="R161" s="6">
        <f t="shared" si="66"/>
        <v>677.53806576209922</v>
      </c>
      <c r="S161">
        <f t="shared" si="55"/>
        <v>4.0652283945725953</v>
      </c>
      <c r="T161">
        <f t="shared" si="56"/>
        <v>0</v>
      </c>
      <c r="U161" s="6">
        <f t="shared" si="67"/>
        <v>2.1573056919484979E-9</v>
      </c>
      <c r="V161">
        <f t="shared" si="57"/>
        <v>3.2359585379227468E-10</v>
      </c>
      <c r="W161">
        <f t="shared" si="58"/>
        <v>0</v>
      </c>
      <c r="X161">
        <f t="shared" si="50"/>
        <v>266432.31387337274</v>
      </c>
      <c r="Y161" s="6">
        <f t="shared" si="59"/>
        <v>29528.308423067559</v>
      </c>
      <c r="Z161" s="6">
        <f t="shared" si="60"/>
        <v>75.282007306899828</v>
      </c>
      <c r="AA161" s="6">
        <f t="shared" si="61"/>
        <v>2.3970063243872203E-10</v>
      </c>
      <c r="AB161">
        <f t="shared" si="62"/>
        <v>0</v>
      </c>
      <c r="AD161" s="6">
        <f t="shared" si="51"/>
        <v>114423.82623093552</v>
      </c>
      <c r="AG161">
        <f t="shared" si="63"/>
        <v>81747.500808384924</v>
      </c>
      <c r="AH161">
        <f t="shared" si="64"/>
        <v>3072.7349921183622</v>
      </c>
      <c r="AI161">
        <f t="shared" si="65"/>
        <v>5.7528151785293301E-8</v>
      </c>
      <c r="AL161">
        <f t="shared" si="52"/>
        <v>0.98678634767915829</v>
      </c>
      <c r="AM161">
        <f t="shared" si="68"/>
        <v>0.88018327869950397</v>
      </c>
      <c r="AO161">
        <v>159</v>
      </c>
      <c r="AP161">
        <v>0.99064933503041697</v>
      </c>
      <c r="AQ161">
        <v>0.87929323805610304</v>
      </c>
    </row>
    <row r="162" spans="1:43" x14ac:dyDescent="0.35">
      <c r="B162" t="s">
        <v>3</v>
      </c>
      <c r="C162" s="4">
        <v>0.9</v>
      </c>
      <c r="D162" s="10">
        <f>C162/C165</f>
        <v>0.98253275109170302</v>
      </c>
      <c r="E162">
        <f>$A$15*C162</f>
        <v>360000</v>
      </c>
      <c r="F162" s="4">
        <v>5.0000000000000002E-5</v>
      </c>
      <c r="G162" s="4">
        <v>0.9</v>
      </c>
      <c r="H162" s="4">
        <v>0</v>
      </c>
      <c r="I162" s="4">
        <v>0</v>
      </c>
      <c r="N162">
        <f t="shared" si="48"/>
        <v>160</v>
      </c>
      <c r="O162" s="6">
        <f t="shared" si="49"/>
        <v>265741.48806881811</v>
      </c>
      <c r="P162">
        <f t="shared" si="53"/>
        <v>13.287074403440906</v>
      </c>
      <c r="Q162">
        <f t="shared" si="54"/>
        <v>0</v>
      </c>
      <c r="R162" s="6">
        <f t="shared" si="66"/>
        <v>673.47283736752661</v>
      </c>
      <c r="S162">
        <f t="shared" si="55"/>
        <v>4.0408370242051594</v>
      </c>
      <c r="T162">
        <f t="shared" si="56"/>
        <v>0</v>
      </c>
      <c r="U162" s="6">
        <f t="shared" si="67"/>
        <v>1.8337098381562231E-9</v>
      </c>
      <c r="V162">
        <f t="shared" si="57"/>
        <v>2.7505647572343344E-10</v>
      </c>
      <c r="W162">
        <f t="shared" si="58"/>
        <v>0</v>
      </c>
      <c r="X162">
        <f t="shared" si="50"/>
        <v>266414.96090618748</v>
      </c>
      <c r="Y162" s="6">
        <f t="shared" si="59"/>
        <v>29526.832007646408</v>
      </c>
      <c r="Z162" s="6">
        <f t="shared" si="60"/>
        <v>74.830315263058424</v>
      </c>
      <c r="AA162" s="6">
        <f t="shared" si="61"/>
        <v>2.0374553757291372E-10</v>
      </c>
      <c r="AB162">
        <f t="shared" si="62"/>
        <v>0</v>
      </c>
      <c r="AD162" s="6">
        <f t="shared" si="51"/>
        <v>114399.37433846873</v>
      </c>
      <c r="AG162">
        <f t="shared" si="63"/>
        <v>81743.413433344511</v>
      </c>
      <c r="AH162">
        <f t="shared" si="64"/>
        <v>3054.2985821656521</v>
      </c>
      <c r="AI162">
        <f t="shared" si="65"/>
        <v>4.8898929017499304E-8</v>
      </c>
      <c r="AL162">
        <f t="shared" si="52"/>
        <v>0.98672207743032403</v>
      </c>
      <c r="AM162">
        <f t="shared" si="68"/>
        <v>0.87999518721899017</v>
      </c>
      <c r="AO162">
        <v>160</v>
      </c>
      <c r="AP162">
        <v>0.99058586142040606</v>
      </c>
      <c r="AQ162">
        <v>0.87907275077922198</v>
      </c>
    </row>
    <row r="163" spans="1:43" x14ac:dyDescent="0.35">
      <c r="A163" t="s">
        <v>1</v>
      </c>
      <c r="B163" t="s">
        <v>5</v>
      </c>
      <c r="C163" s="4">
        <v>1.4999999999999999E-2</v>
      </c>
      <c r="D163" s="10">
        <f>C163/C165</f>
        <v>1.6375545851528384E-2</v>
      </c>
      <c r="E163">
        <f>$A$15*C163</f>
        <v>6000</v>
      </c>
      <c r="F163" s="4">
        <v>0.01</v>
      </c>
      <c r="G163" s="4">
        <v>0.9</v>
      </c>
      <c r="H163" s="4">
        <v>0</v>
      </c>
      <c r="I163" s="4">
        <v>0</v>
      </c>
      <c r="N163">
        <f t="shared" si="48"/>
        <v>161</v>
      </c>
      <c r="O163" s="6">
        <f t="shared" si="49"/>
        <v>265728.20099441468</v>
      </c>
      <c r="P163">
        <f t="shared" si="53"/>
        <v>13.286410049720734</v>
      </c>
      <c r="Q163">
        <f t="shared" si="54"/>
        <v>0</v>
      </c>
      <c r="R163" s="6">
        <f t="shared" si="66"/>
        <v>669.43200034332142</v>
      </c>
      <c r="S163">
        <f t="shared" si="55"/>
        <v>4.0165920020599284</v>
      </c>
      <c r="T163">
        <f t="shared" si="56"/>
        <v>0</v>
      </c>
      <c r="U163" s="6">
        <f t="shared" si="67"/>
        <v>1.5586533624327897E-9</v>
      </c>
      <c r="V163">
        <f t="shared" si="57"/>
        <v>2.3379800436491845E-10</v>
      </c>
      <c r="W163">
        <f t="shared" si="58"/>
        <v>0</v>
      </c>
      <c r="X163">
        <f t="shared" si="50"/>
        <v>266397.6329947596</v>
      </c>
      <c r="Y163" s="6">
        <f t="shared" si="59"/>
        <v>29525.355666046027</v>
      </c>
      <c r="Z163" s="6">
        <f t="shared" si="60"/>
        <v>74.381333371480068</v>
      </c>
      <c r="AA163" s="6">
        <f t="shared" si="61"/>
        <v>1.7318370693697666E-10</v>
      </c>
      <c r="AB163">
        <f t="shared" si="62"/>
        <v>0</v>
      </c>
      <c r="AD163" s="6">
        <f t="shared" si="51"/>
        <v>114375.03605280475</v>
      </c>
      <c r="AG163">
        <f t="shared" si="63"/>
        <v>81739.326262672839</v>
      </c>
      <c r="AH163">
        <f t="shared" si="64"/>
        <v>3035.972790672658</v>
      </c>
      <c r="AI163">
        <f t="shared" si="65"/>
        <v>4.1564089664874409E-8</v>
      </c>
      <c r="AL163">
        <f t="shared" si="52"/>
        <v>0.98665789998059106</v>
      </c>
      <c r="AM163">
        <f t="shared" si="68"/>
        <v>0.87980796963695962</v>
      </c>
      <c r="AO163">
        <v>161</v>
      </c>
      <c r="AP163">
        <v>0.99052238781039403</v>
      </c>
      <c r="AQ163">
        <v>0.87880215275759399</v>
      </c>
    </row>
    <row r="164" spans="1:43" x14ac:dyDescent="0.35">
      <c r="B164" t="s">
        <v>4</v>
      </c>
      <c r="C164" s="4">
        <v>1E-3</v>
      </c>
      <c r="D164" s="10">
        <f>C164/C165</f>
        <v>1.0917030567685589E-3</v>
      </c>
      <c r="E164">
        <f>$A$15*C164</f>
        <v>400</v>
      </c>
      <c r="F164" s="4">
        <v>0.2</v>
      </c>
      <c r="G164" s="4">
        <v>0.9</v>
      </c>
      <c r="H164" s="4">
        <v>0</v>
      </c>
      <c r="I164" s="4">
        <v>0</v>
      </c>
      <c r="N164">
        <f t="shared" si="48"/>
        <v>162</v>
      </c>
      <c r="O164" s="6">
        <f t="shared" si="49"/>
        <v>265714.91458436497</v>
      </c>
      <c r="P164">
        <f t="shared" si="53"/>
        <v>13.285745729218249</v>
      </c>
      <c r="Q164">
        <f t="shared" si="54"/>
        <v>0</v>
      </c>
      <c r="R164" s="6">
        <f t="shared" si="66"/>
        <v>665.41540834126147</v>
      </c>
      <c r="S164">
        <f t="shared" si="55"/>
        <v>3.9924924500475689</v>
      </c>
      <c r="T164">
        <f t="shared" si="56"/>
        <v>0</v>
      </c>
      <c r="U164" s="6">
        <f t="shared" si="67"/>
        <v>1.3248553580678712E-9</v>
      </c>
      <c r="V164">
        <f t="shared" si="57"/>
        <v>1.9872830371018068E-10</v>
      </c>
      <c r="W164">
        <f t="shared" si="58"/>
        <v>0</v>
      </c>
      <c r="X164">
        <f t="shared" si="50"/>
        <v>266380.32999270759</v>
      </c>
      <c r="Y164" s="6">
        <f t="shared" si="59"/>
        <v>29523.879398262725</v>
      </c>
      <c r="Z164" s="6">
        <f t="shared" si="60"/>
        <v>73.935045371251192</v>
      </c>
      <c r="AA164" s="6">
        <f t="shared" si="61"/>
        <v>1.4720615089643017E-10</v>
      </c>
      <c r="AB164">
        <f t="shared" si="62"/>
        <v>0</v>
      </c>
      <c r="AD164" s="6">
        <f t="shared" si="51"/>
        <v>114350.81069395778</v>
      </c>
      <c r="AG164">
        <f t="shared" si="63"/>
        <v>81735.239296359709</v>
      </c>
      <c r="AH164">
        <f t="shared" si="64"/>
        <v>3017.7569539286219</v>
      </c>
      <c r="AI164">
        <f t="shared" si="65"/>
        <v>3.532947621514325E-8</v>
      </c>
      <c r="AL164">
        <f t="shared" si="52"/>
        <v>0.98659381478780583</v>
      </c>
      <c r="AM164">
        <f t="shared" si="68"/>
        <v>0.87962162072275218</v>
      </c>
      <c r="AO164">
        <v>162</v>
      </c>
      <c r="AP164">
        <v>0.99047895849828205</v>
      </c>
      <c r="AQ164">
        <v>0.87860170977861096</v>
      </c>
    </row>
    <row r="165" spans="1:43" x14ac:dyDescent="0.35">
      <c r="B165" s="3" t="s">
        <v>7</v>
      </c>
      <c r="C165" s="9">
        <f>SUM(C162:C164)</f>
        <v>0.91600000000000004</v>
      </c>
      <c r="D165">
        <f>SUM(D162:D164)</f>
        <v>0.99999999999999989</v>
      </c>
      <c r="E165">
        <f>A174*C165</f>
        <v>366400</v>
      </c>
      <c r="G165" s="11">
        <f>D162*G162+D163*G163+D164*G164</f>
        <v>0.9</v>
      </c>
      <c r="N165">
        <f t="shared" ref="N165:N228" si="69">N164+1</f>
        <v>163</v>
      </c>
      <c r="O165" s="6">
        <f t="shared" si="49"/>
        <v>265701.62883863575</v>
      </c>
      <c r="P165">
        <f t="shared" si="53"/>
        <v>13.285081441931789</v>
      </c>
      <c r="Q165">
        <f t="shared" si="54"/>
        <v>0</v>
      </c>
      <c r="R165" s="6">
        <f t="shared" si="66"/>
        <v>661.42291589121385</v>
      </c>
      <c r="S165">
        <f t="shared" si="55"/>
        <v>3.9685374953472832</v>
      </c>
      <c r="T165">
        <f t="shared" si="56"/>
        <v>0</v>
      </c>
      <c r="U165" s="6">
        <f t="shared" si="67"/>
        <v>1.1261270543576905E-9</v>
      </c>
      <c r="V165">
        <f t="shared" si="57"/>
        <v>1.6891905815365356E-10</v>
      </c>
      <c r="W165">
        <f t="shared" si="58"/>
        <v>0</v>
      </c>
      <c r="X165">
        <f t="shared" si="50"/>
        <v>266363.05175452807</v>
      </c>
      <c r="Y165" s="6">
        <f t="shared" si="59"/>
        <v>29522.403204292812</v>
      </c>
      <c r="Z165" s="6">
        <f t="shared" si="60"/>
        <v>73.49143509902369</v>
      </c>
      <c r="AA165" s="6">
        <f t="shared" si="61"/>
        <v>1.2512522826196564E-10</v>
      </c>
      <c r="AB165">
        <f t="shared" si="62"/>
        <v>0</v>
      </c>
      <c r="AD165" s="6">
        <f t="shared" si="51"/>
        <v>114326.69758602194</v>
      </c>
      <c r="AG165">
        <f t="shared" si="63"/>
        <v>81731.152534394889</v>
      </c>
      <c r="AH165">
        <f t="shared" si="64"/>
        <v>2999.6504122050501</v>
      </c>
      <c r="AI165">
        <f t="shared" si="65"/>
        <v>3.0030054782871759E-8</v>
      </c>
      <c r="AL165">
        <f t="shared" si="52"/>
        <v>0.98652982131306699</v>
      </c>
      <c r="AM165">
        <f t="shared" si="68"/>
        <v>0.87943613527709186</v>
      </c>
      <c r="AO165">
        <v>163</v>
      </c>
      <c r="AP165">
        <v>0.99037539629247295</v>
      </c>
      <c r="AQ165">
        <v>0.87845137754437197</v>
      </c>
    </row>
    <row r="166" spans="1:43" x14ac:dyDescent="0.35">
      <c r="B166" t="s">
        <v>3</v>
      </c>
      <c r="C166" s="4">
        <v>8.253275109170298E-2</v>
      </c>
      <c r="D166" s="10">
        <f>C166/C169</f>
        <v>0.98253275109170302</v>
      </c>
      <c r="E166">
        <f>$A$15*C166</f>
        <v>33013.10043668119</v>
      </c>
      <c r="F166" s="4">
        <v>5.0000000000000002E-5</v>
      </c>
      <c r="G166" s="5" t="s">
        <v>15</v>
      </c>
      <c r="H166" s="4">
        <v>3.5000000000000001E-3</v>
      </c>
      <c r="I166" s="5" t="s">
        <v>15</v>
      </c>
      <c r="N166">
        <f t="shared" si="69"/>
        <v>164</v>
      </c>
      <c r="O166" s="6">
        <f t="shared" si="49"/>
        <v>265688.34375719383</v>
      </c>
      <c r="P166">
        <f t="shared" si="53"/>
        <v>13.284417187859692</v>
      </c>
      <c r="Q166">
        <f t="shared" si="54"/>
        <v>0</v>
      </c>
      <c r="R166" s="6">
        <f t="shared" si="66"/>
        <v>657.45437839586657</v>
      </c>
      <c r="S166">
        <f t="shared" si="55"/>
        <v>3.9447262703751993</v>
      </c>
      <c r="T166">
        <f t="shared" si="56"/>
        <v>0</v>
      </c>
      <c r="U166" s="6">
        <f t="shared" si="67"/>
        <v>9.5720799620403697E-10</v>
      </c>
      <c r="V166">
        <f t="shared" si="57"/>
        <v>1.4358119943060555E-10</v>
      </c>
      <c r="W166">
        <f t="shared" si="58"/>
        <v>0</v>
      </c>
      <c r="X166">
        <f t="shared" si="50"/>
        <v>266345.79813559062</v>
      </c>
      <c r="Y166" s="6">
        <f t="shared" si="59"/>
        <v>29520.927084132596</v>
      </c>
      <c r="Z166" s="6">
        <f t="shared" si="60"/>
        <v>73.050486488429542</v>
      </c>
      <c r="AA166" s="6">
        <f t="shared" si="61"/>
        <v>1.0635644402267079E-10</v>
      </c>
      <c r="AB166">
        <f t="shared" si="62"/>
        <v>0</v>
      </c>
      <c r="AD166" s="6">
        <f t="shared" si="51"/>
        <v>114302.69605714665</v>
      </c>
      <c r="AG166">
        <f t="shared" si="63"/>
        <v>81727.065976768165</v>
      </c>
      <c r="AH166">
        <f t="shared" si="64"/>
        <v>2981.6525097318199</v>
      </c>
      <c r="AI166">
        <f t="shared" si="65"/>
        <v>2.5525546565440994E-8</v>
      </c>
      <c r="AL166">
        <f t="shared" si="52"/>
        <v>0.98646591902070602</v>
      </c>
      <c r="AM166">
        <f t="shared" si="68"/>
        <v>0.87925150813189734</v>
      </c>
      <c r="AO166">
        <v>164</v>
      </c>
      <c r="AP166">
        <v>0.99031192268246204</v>
      </c>
      <c r="AQ166">
        <v>0.87828100101223705</v>
      </c>
    </row>
    <row r="167" spans="1:43" x14ac:dyDescent="0.35">
      <c r="A167" t="s">
        <v>6</v>
      </c>
      <c r="B167" t="s">
        <v>5</v>
      </c>
      <c r="C167" s="4">
        <v>1.3755458515283829E-3</v>
      </c>
      <c r="D167" s="10">
        <f>C167/C169</f>
        <v>1.6375545851528384E-2</v>
      </c>
      <c r="E167">
        <f>$A$15*C167</f>
        <v>550.21834061135314</v>
      </c>
      <c r="F167" s="4">
        <v>0.01</v>
      </c>
      <c r="G167" s="5" t="s">
        <v>15</v>
      </c>
      <c r="H167" s="4">
        <v>1E-3</v>
      </c>
      <c r="I167" s="5" t="s">
        <v>15</v>
      </c>
      <c r="N167">
        <f t="shared" si="69"/>
        <v>165</v>
      </c>
      <c r="O167" s="6">
        <f t="shared" si="49"/>
        <v>265675.05934000597</v>
      </c>
      <c r="P167">
        <f t="shared" si="53"/>
        <v>13.2837529670003</v>
      </c>
      <c r="Q167">
        <f t="shared" si="54"/>
        <v>0</v>
      </c>
      <c r="R167" s="6">
        <f t="shared" si="66"/>
        <v>653.50965212549136</v>
      </c>
      <c r="S167">
        <f t="shared" si="55"/>
        <v>3.9210579127529481</v>
      </c>
      <c r="T167">
        <f t="shared" si="56"/>
        <v>0</v>
      </c>
      <c r="U167" s="6">
        <f t="shared" si="67"/>
        <v>8.136267967734314E-10</v>
      </c>
      <c r="V167">
        <f t="shared" si="57"/>
        <v>1.220440195160147E-10</v>
      </c>
      <c r="W167">
        <f t="shared" si="58"/>
        <v>0</v>
      </c>
      <c r="X167">
        <f t="shared" si="50"/>
        <v>266328.56899213226</v>
      </c>
      <c r="Y167" s="6">
        <f t="shared" si="59"/>
        <v>29519.451037778388</v>
      </c>
      <c r="Z167" s="6">
        <f t="shared" si="60"/>
        <v>72.612183569498967</v>
      </c>
      <c r="AA167" s="6">
        <f t="shared" si="61"/>
        <v>9.040297741927018E-11</v>
      </c>
      <c r="AB167">
        <f t="shared" si="62"/>
        <v>0</v>
      </c>
      <c r="AD167" s="6">
        <f t="shared" si="51"/>
        <v>114278.80543951243</v>
      </c>
      <c r="AG167">
        <f t="shared" si="63"/>
        <v>81722.97962346932</v>
      </c>
      <c r="AH167">
        <f t="shared" si="64"/>
        <v>2963.7625946734288</v>
      </c>
      <c r="AI167">
        <f t="shared" si="65"/>
        <v>2.1696714580624847E-8</v>
      </c>
      <c r="AL167">
        <f t="shared" si="52"/>
        <v>0.98640210737826761</v>
      </c>
      <c r="AM167">
        <f t="shared" si="68"/>
        <v>0.87906773415009565</v>
      </c>
      <c r="AO167">
        <v>165</v>
      </c>
      <c r="AP167">
        <v>0.99025513050508196</v>
      </c>
      <c r="AQ167">
        <v>0.87810060233115095</v>
      </c>
    </row>
    <row r="168" spans="1:43" x14ac:dyDescent="0.35">
      <c r="B168" t="s">
        <v>4</v>
      </c>
      <c r="C168" s="4">
        <v>9.1703056768558861E-5</v>
      </c>
      <c r="D168" s="10">
        <f>C168/C169</f>
        <v>1.0917030567685589E-3</v>
      </c>
      <c r="E168">
        <f>$A$15*C168</f>
        <v>36.681222707423544</v>
      </c>
      <c r="F168" s="4">
        <v>0.2</v>
      </c>
      <c r="G168" s="5" t="s">
        <v>15</v>
      </c>
      <c r="H168" s="4">
        <v>0.15</v>
      </c>
      <c r="I168" s="5" t="s">
        <v>15</v>
      </c>
      <c r="N168">
        <f t="shared" si="69"/>
        <v>166</v>
      </c>
      <c r="O168" s="6">
        <f t="shared" si="49"/>
        <v>265661.77558703895</v>
      </c>
      <c r="P168">
        <f t="shared" si="53"/>
        <v>13.283088779351948</v>
      </c>
      <c r="Q168">
        <f t="shared" si="54"/>
        <v>0</v>
      </c>
      <c r="R168" s="6">
        <f t="shared" si="66"/>
        <v>649.58859421273837</v>
      </c>
      <c r="S168">
        <f t="shared" si="55"/>
        <v>3.8975315652764304</v>
      </c>
      <c r="T168">
        <f t="shared" si="56"/>
        <v>0</v>
      </c>
      <c r="U168" s="6">
        <f t="shared" si="67"/>
        <v>6.9158277725741669E-10</v>
      </c>
      <c r="V168">
        <f t="shared" si="57"/>
        <v>1.037374165886125E-10</v>
      </c>
      <c r="W168">
        <f t="shared" si="58"/>
        <v>0</v>
      </c>
      <c r="X168">
        <f t="shared" si="50"/>
        <v>266311.36418125237</v>
      </c>
      <c r="Y168" s="6">
        <f t="shared" si="59"/>
        <v>29517.975065226499</v>
      </c>
      <c r="Z168" s="6">
        <f t="shared" si="60"/>
        <v>72.176510468081972</v>
      </c>
      <c r="AA168" s="6">
        <f t="shared" si="61"/>
        <v>7.6842530806379647E-11</v>
      </c>
      <c r="AB168">
        <f t="shared" si="62"/>
        <v>0</v>
      </c>
      <c r="AD168" s="6">
        <f t="shared" si="51"/>
        <v>114255.02506930663</v>
      </c>
      <c r="AG168">
        <f t="shared" si="63"/>
        <v>81718.893474488141</v>
      </c>
      <c r="AH168">
        <f t="shared" si="64"/>
        <v>2945.9800191053882</v>
      </c>
      <c r="AI168">
        <f t="shared" si="65"/>
        <v>1.8442207393531121E-8</v>
      </c>
      <c r="AL168">
        <f t="shared" si="52"/>
        <v>0.98633838585649025</v>
      </c>
      <c r="AM168">
        <f t="shared" si="68"/>
        <v>0.87888480822543569</v>
      </c>
      <c r="AO168">
        <v>166</v>
      </c>
      <c r="AP168">
        <v>0.99018831617875502</v>
      </c>
      <c r="AQ168">
        <v>0.87796029224586303</v>
      </c>
    </row>
    <row r="169" spans="1:43" x14ac:dyDescent="0.35">
      <c r="B169" s="3" t="s">
        <v>7</v>
      </c>
      <c r="C169" s="9">
        <f>SUM(C166:C168)</f>
        <v>8.3999999999999922E-2</v>
      </c>
      <c r="D169" s="10">
        <f>SUM(D166:D168)</f>
        <v>0.99999999999999989</v>
      </c>
      <c r="E169">
        <f>C169*A174</f>
        <v>33599.999999999971</v>
      </c>
      <c r="N169">
        <f t="shared" si="69"/>
        <v>167</v>
      </c>
      <c r="O169" s="6">
        <f t="shared" si="49"/>
        <v>265648.49249825958</v>
      </c>
      <c r="P169">
        <f t="shared" si="53"/>
        <v>13.282424624912981</v>
      </c>
      <c r="Q169">
        <f t="shared" si="54"/>
        <v>0</v>
      </c>
      <c r="R169" s="6">
        <f t="shared" si="66"/>
        <v>645.69106264746199</v>
      </c>
      <c r="S169">
        <f t="shared" si="55"/>
        <v>3.8741463758847718</v>
      </c>
      <c r="T169">
        <f t="shared" si="56"/>
        <v>0</v>
      </c>
      <c r="U169" s="6">
        <f t="shared" si="67"/>
        <v>5.8784536066880417E-10</v>
      </c>
      <c r="V169">
        <f t="shared" si="57"/>
        <v>8.8176804100320623E-11</v>
      </c>
      <c r="W169">
        <f t="shared" si="58"/>
        <v>0</v>
      </c>
      <c r="X169">
        <f t="shared" si="50"/>
        <v>266294.18356090761</v>
      </c>
      <c r="Y169" s="6">
        <f t="shared" si="59"/>
        <v>29516.499166473237</v>
      </c>
      <c r="Z169" s="6">
        <f t="shared" si="60"/>
        <v>71.743451405273476</v>
      </c>
      <c r="AA169" s="6">
        <f t="shared" si="61"/>
        <v>6.5316151185422701E-11</v>
      </c>
      <c r="AB169">
        <f t="shared" si="62"/>
        <v>0</v>
      </c>
      <c r="AD169" s="6">
        <f t="shared" si="51"/>
        <v>114231.35428669942</v>
      </c>
      <c r="AG169">
        <f t="shared" si="63"/>
        <v>81714.80752981441</v>
      </c>
      <c r="AH169">
        <f t="shared" si="64"/>
        <v>2928.3041389907557</v>
      </c>
      <c r="AI169">
        <f t="shared" si="65"/>
        <v>1.5675876284501454E-8</v>
      </c>
      <c r="AL169">
        <f t="shared" si="52"/>
        <v>0.98627475392928743</v>
      </c>
      <c r="AM169">
        <f t="shared" si="68"/>
        <v>0.87870272528230331</v>
      </c>
      <c r="AO169">
        <v>167</v>
      </c>
      <c r="AP169">
        <v>0.99013152400137605</v>
      </c>
      <c r="AQ169">
        <v>0.87776987141582796</v>
      </c>
    </row>
    <row r="170" spans="1:43" x14ac:dyDescent="0.35">
      <c r="N170">
        <f t="shared" si="69"/>
        <v>168</v>
      </c>
      <c r="O170" s="6">
        <f t="shared" si="49"/>
        <v>265635.21007363469</v>
      </c>
      <c r="P170">
        <f t="shared" si="53"/>
        <v>13.281760503681735</v>
      </c>
      <c r="Q170">
        <f t="shared" si="54"/>
        <v>0</v>
      </c>
      <c r="R170" s="6">
        <f t="shared" si="66"/>
        <v>641.81691627157727</v>
      </c>
      <c r="S170">
        <f t="shared" si="55"/>
        <v>3.8509014976294638</v>
      </c>
      <c r="T170">
        <f t="shared" si="56"/>
        <v>0</v>
      </c>
      <c r="U170" s="6">
        <f t="shared" si="67"/>
        <v>4.9966855656848351E-10</v>
      </c>
      <c r="V170">
        <f t="shared" si="57"/>
        <v>7.4950283485272523E-11</v>
      </c>
      <c r="W170">
        <f t="shared" si="58"/>
        <v>0</v>
      </c>
      <c r="X170">
        <f t="shared" si="50"/>
        <v>266277.02698990679</v>
      </c>
      <c r="Y170" s="6">
        <f t="shared" si="59"/>
        <v>29515.023341514912</v>
      </c>
      <c r="Z170" s="6">
        <f t="shared" si="60"/>
        <v>71.312990696841837</v>
      </c>
      <c r="AA170" s="6">
        <f t="shared" si="61"/>
        <v>5.5518728507609298E-11</v>
      </c>
      <c r="AB170">
        <f t="shared" si="62"/>
        <v>0</v>
      </c>
      <c r="AD170" s="6">
        <f t="shared" si="51"/>
        <v>114207.79243581987</v>
      </c>
      <c r="AG170">
        <f t="shared" si="63"/>
        <v>81710.721789437914</v>
      </c>
      <c r="AH170">
        <f t="shared" si="64"/>
        <v>2910.7343141568113</v>
      </c>
      <c r="AI170">
        <f t="shared" si="65"/>
        <v>1.3324494841826235E-8</v>
      </c>
      <c r="AL170">
        <f t="shared" si="52"/>
        <v>0.98621121107372889</v>
      </c>
      <c r="AM170">
        <f t="shared" si="68"/>
        <v>0.87852148027553745</v>
      </c>
      <c r="AO170">
        <v>168</v>
      </c>
      <c r="AP170">
        <v>0.99006136895873298</v>
      </c>
      <c r="AQ170">
        <v>0.87758947273474397</v>
      </c>
    </row>
    <row r="171" spans="1:43" x14ac:dyDescent="0.35">
      <c r="B171" s="3" t="s">
        <v>9</v>
      </c>
      <c r="C171">
        <f>C165+C169</f>
        <v>1</v>
      </c>
      <c r="E171">
        <f>E165+E169</f>
        <v>400000</v>
      </c>
      <c r="G171" s="12" t="s">
        <v>29</v>
      </c>
      <c r="H171" s="4">
        <v>29</v>
      </c>
      <c r="N171">
        <f t="shared" si="69"/>
        <v>169</v>
      </c>
      <c r="O171" s="6">
        <f t="shared" si="49"/>
        <v>265621.92831313104</v>
      </c>
      <c r="P171">
        <f t="shared" si="53"/>
        <v>13.281096415656553</v>
      </c>
      <c r="Q171">
        <f t="shared" si="54"/>
        <v>0</v>
      </c>
      <c r="R171" s="6">
        <f t="shared" si="66"/>
        <v>637.96601477394779</v>
      </c>
      <c r="S171">
        <f t="shared" si="55"/>
        <v>3.8277960886436868</v>
      </c>
      <c r="T171">
        <f t="shared" si="56"/>
        <v>0</v>
      </c>
      <c r="U171" s="6">
        <f t="shared" si="67"/>
        <v>4.24718273083211E-10</v>
      </c>
      <c r="V171">
        <f t="shared" si="57"/>
        <v>6.3707740962481647E-11</v>
      </c>
      <c r="W171">
        <f t="shared" si="58"/>
        <v>0</v>
      </c>
      <c r="X171">
        <f t="shared" si="50"/>
        <v>266259.89432790538</v>
      </c>
      <c r="Y171" s="6">
        <f t="shared" si="59"/>
        <v>29513.547590347836</v>
      </c>
      <c r="Z171" s="6">
        <f t="shared" si="60"/>
        <v>70.885112752660788</v>
      </c>
      <c r="AA171" s="6">
        <f t="shared" si="61"/>
        <v>4.7190919231467904E-11</v>
      </c>
      <c r="AB171">
        <f t="shared" si="62"/>
        <v>0</v>
      </c>
      <c r="AD171" s="6">
        <f t="shared" si="51"/>
        <v>114184.33886473218</v>
      </c>
      <c r="AG171">
        <f t="shared" si="63"/>
        <v>81706.636253348435</v>
      </c>
      <c r="AH171">
        <f t="shared" si="64"/>
        <v>2893.2699082718705</v>
      </c>
      <c r="AI171">
        <f t="shared" si="65"/>
        <v>1.13258206155523E-8</v>
      </c>
      <c r="AL171">
        <f t="shared" si="52"/>
        <v>0.98614775677001987</v>
      </c>
      <c r="AM171">
        <f t="shared" si="68"/>
        <v>0.8783410681902476</v>
      </c>
      <c r="AO171">
        <v>169</v>
      </c>
      <c r="AP171">
        <v>0.98998119176713895</v>
      </c>
      <c r="AQ171">
        <v>0.87739905190470902</v>
      </c>
    </row>
    <row r="172" spans="1:43" x14ac:dyDescent="0.35">
      <c r="B172" s="3" t="s">
        <v>12</v>
      </c>
      <c r="C172">
        <f>1-C171</f>
        <v>0</v>
      </c>
      <c r="D172">
        <f>C166+C172</f>
        <v>8.253275109170298E-2</v>
      </c>
      <c r="N172">
        <f t="shared" si="69"/>
        <v>170</v>
      </c>
      <c r="O172" s="6">
        <f t="shared" si="49"/>
        <v>265608.64721671538</v>
      </c>
      <c r="P172">
        <f t="shared" si="53"/>
        <v>13.28043236083577</v>
      </c>
      <c r="Q172">
        <f t="shared" si="54"/>
        <v>0</v>
      </c>
      <c r="R172" s="6">
        <f t="shared" si="66"/>
        <v>634.13821868530408</v>
      </c>
      <c r="S172">
        <f t="shared" si="55"/>
        <v>3.8048293121118246</v>
      </c>
      <c r="T172">
        <f t="shared" si="56"/>
        <v>0</v>
      </c>
      <c r="U172" s="6">
        <f t="shared" si="67"/>
        <v>3.6101053212072934E-10</v>
      </c>
      <c r="V172">
        <f t="shared" si="57"/>
        <v>5.4151579818109397E-11</v>
      </c>
      <c r="W172">
        <f t="shared" si="58"/>
        <v>0</v>
      </c>
      <c r="X172">
        <f t="shared" si="50"/>
        <v>266242.78543540102</v>
      </c>
      <c r="Y172" s="6">
        <f t="shared" si="59"/>
        <v>29512.07191296832</v>
      </c>
      <c r="Z172" s="6">
        <f t="shared" si="60"/>
        <v>70.459802076144825</v>
      </c>
      <c r="AA172" s="6">
        <f t="shared" si="61"/>
        <v>4.0112281346747718E-11</v>
      </c>
      <c r="AB172">
        <f t="shared" si="62"/>
        <v>0</v>
      </c>
      <c r="AD172" s="6">
        <f t="shared" si="51"/>
        <v>114160.99292541215</v>
      </c>
      <c r="AG172">
        <f t="shared" si="63"/>
        <v>81702.550921535774</v>
      </c>
      <c r="AH172">
        <f t="shared" si="64"/>
        <v>2875.9102888222392</v>
      </c>
      <c r="AI172">
        <f t="shared" si="65"/>
        <v>9.626947523219455E-9</v>
      </c>
      <c r="AL172">
        <f t="shared" si="52"/>
        <v>0.98608439050148522</v>
      </c>
      <c r="AM172">
        <f t="shared" si="68"/>
        <v>0.87816148404163197</v>
      </c>
      <c r="AO172">
        <v>170</v>
      </c>
      <c r="AP172">
        <v>0.98993776245502596</v>
      </c>
      <c r="AQ172">
        <v>0.87717856462782695</v>
      </c>
    </row>
    <row r="173" spans="1:43" x14ac:dyDescent="0.35">
      <c r="A173" s="1" t="s">
        <v>11</v>
      </c>
      <c r="C173" t="s">
        <v>43</v>
      </c>
      <c r="D173" t="s">
        <v>43</v>
      </c>
      <c r="E173" t="s">
        <v>58</v>
      </c>
      <c r="N173">
        <f t="shared" si="69"/>
        <v>171</v>
      </c>
      <c r="O173" s="6">
        <f t="shared" si="49"/>
        <v>265595.36678435456</v>
      </c>
      <c r="P173">
        <f t="shared" si="53"/>
        <v>13.279768339217728</v>
      </c>
      <c r="Q173">
        <f t="shared" si="54"/>
        <v>0</v>
      </c>
      <c r="R173" s="6">
        <f t="shared" si="66"/>
        <v>630.33338937319229</v>
      </c>
      <c r="S173">
        <f t="shared" si="55"/>
        <v>3.7820003362391539</v>
      </c>
      <c r="T173">
        <f t="shared" si="56"/>
        <v>0</v>
      </c>
      <c r="U173" s="6">
        <f t="shared" si="67"/>
        <v>3.0685895230261992E-10</v>
      </c>
      <c r="V173">
        <f t="shared" si="57"/>
        <v>4.6028842845392989E-11</v>
      </c>
      <c r="W173">
        <f t="shared" si="58"/>
        <v>0</v>
      </c>
      <c r="X173">
        <f t="shared" si="50"/>
        <v>266225.70017372805</v>
      </c>
      <c r="Y173" s="6">
        <f t="shared" si="59"/>
        <v>29510.596309372671</v>
      </c>
      <c r="Z173" s="6">
        <f t="shared" si="60"/>
        <v>70.037043263687963</v>
      </c>
      <c r="AA173" s="6">
        <f t="shared" si="61"/>
        <v>3.409543914473556E-11</v>
      </c>
      <c r="AB173">
        <f t="shared" si="62"/>
        <v>0</v>
      </c>
      <c r="AD173" s="6">
        <f t="shared" si="51"/>
        <v>114137.75397372358</v>
      </c>
      <c r="AG173">
        <f t="shared" si="63"/>
        <v>81698.465793989701</v>
      </c>
      <c r="AH173">
        <f t="shared" si="64"/>
        <v>2858.6548270893059</v>
      </c>
      <c r="AI173">
        <f t="shared" si="65"/>
        <v>8.1829053947365364E-9</v>
      </c>
      <c r="AL173">
        <f t="shared" si="52"/>
        <v>0.98602111175454832</v>
      </c>
      <c r="AM173">
        <f t="shared" si="68"/>
        <v>0.87798272287479673</v>
      </c>
      <c r="AO173">
        <v>171</v>
      </c>
      <c r="AP173">
        <v>0.98988097027764799</v>
      </c>
      <c r="AQ173">
        <v>0.87693803305304696</v>
      </c>
    </row>
    <row r="174" spans="1:43" x14ac:dyDescent="0.35">
      <c r="A174">
        <v>400000</v>
      </c>
      <c r="C174">
        <f>C168/C164</f>
        <v>9.170305676855886E-2</v>
      </c>
      <c r="D174" s="9">
        <f>D168/D164</f>
        <v>1</v>
      </c>
      <c r="E174">
        <f>(D167+D168)/(D163+D164)</f>
        <v>1</v>
      </c>
      <c r="N174">
        <f t="shared" si="69"/>
        <v>172</v>
      </c>
      <c r="O174" s="6">
        <f t="shared" si="49"/>
        <v>265582.08701601531</v>
      </c>
      <c r="P174">
        <f t="shared" si="53"/>
        <v>13.279104350800766</v>
      </c>
      <c r="Q174">
        <f t="shared" si="54"/>
        <v>0</v>
      </c>
      <c r="R174" s="6">
        <f t="shared" si="66"/>
        <v>626.55138903695308</v>
      </c>
      <c r="S174">
        <f t="shared" si="55"/>
        <v>3.7593083342217186</v>
      </c>
      <c r="T174">
        <f t="shared" si="56"/>
        <v>0</v>
      </c>
      <c r="U174" s="6">
        <f t="shared" si="67"/>
        <v>2.6083010945722692E-10</v>
      </c>
      <c r="V174">
        <f t="shared" si="57"/>
        <v>3.912451641858404E-11</v>
      </c>
      <c r="W174">
        <f t="shared" si="58"/>
        <v>0</v>
      </c>
      <c r="X174">
        <f t="shared" si="50"/>
        <v>266208.63840505248</v>
      </c>
      <c r="Y174" s="6">
        <f t="shared" si="59"/>
        <v>29509.120779557205</v>
      </c>
      <c r="Z174" s="6">
        <f t="shared" si="60"/>
        <v>69.61682100410583</v>
      </c>
      <c r="AA174" s="6">
        <f t="shared" si="61"/>
        <v>2.8981123273025225E-11</v>
      </c>
      <c r="AB174">
        <f t="shared" si="62"/>
        <v>0</v>
      </c>
      <c r="AD174" s="6">
        <f t="shared" si="51"/>
        <v>114114.62136939507</v>
      </c>
      <c r="AG174">
        <f t="shared" si="63"/>
        <v>81694.380870699999</v>
      </c>
      <c r="AH174">
        <f t="shared" si="64"/>
        <v>2841.5028981267701</v>
      </c>
      <c r="AI174">
        <f t="shared" si="65"/>
        <v>6.9554695855260557E-9</v>
      </c>
      <c r="AL174">
        <f t="shared" si="52"/>
        <v>0.98595792001871285</v>
      </c>
      <c r="AM174">
        <f t="shared" si="68"/>
        <v>0.87780477976457749</v>
      </c>
      <c r="AO174">
        <v>172</v>
      </c>
      <c r="AP174">
        <v>0.98982751881658504</v>
      </c>
      <c r="AQ174">
        <v>0.87676765652091004</v>
      </c>
    </row>
    <row r="175" spans="1:43" x14ac:dyDescent="0.35">
      <c r="N175">
        <f t="shared" si="69"/>
        <v>173</v>
      </c>
      <c r="O175" s="6">
        <f t="shared" si="49"/>
        <v>265568.80791166454</v>
      </c>
      <c r="P175">
        <f t="shared" si="53"/>
        <v>13.278440395583228</v>
      </c>
      <c r="Q175">
        <f t="shared" si="54"/>
        <v>0</v>
      </c>
      <c r="R175" s="6">
        <f t="shared" si="66"/>
        <v>622.79208070273137</v>
      </c>
      <c r="S175">
        <f t="shared" si="55"/>
        <v>3.7367524842163884</v>
      </c>
      <c r="T175">
        <f t="shared" si="56"/>
        <v>0</v>
      </c>
      <c r="U175" s="6">
        <f t="shared" si="67"/>
        <v>2.2170559303864289E-10</v>
      </c>
      <c r="V175">
        <f t="shared" si="57"/>
        <v>3.325583895579643E-11</v>
      </c>
      <c r="W175">
        <f t="shared" si="58"/>
        <v>0</v>
      </c>
      <c r="X175">
        <f t="shared" si="50"/>
        <v>266191.5999923675</v>
      </c>
      <c r="Y175" s="6">
        <f t="shared" si="59"/>
        <v>29507.645323518227</v>
      </c>
      <c r="Z175" s="6">
        <f t="shared" si="60"/>
        <v>69.199120078081194</v>
      </c>
      <c r="AA175" s="6">
        <f t="shared" si="61"/>
        <v>2.463395478207144E-11</v>
      </c>
      <c r="AB175">
        <f t="shared" si="62"/>
        <v>0</v>
      </c>
      <c r="AD175" s="6">
        <f t="shared" si="51"/>
        <v>114091.59447599672</v>
      </c>
      <c r="AG175">
        <f t="shared" si="63"/>
        <v>81690.296151656468</v>
      </c>
      <c r="AH175">
        <f t="shared" si="64"/>
        <v>2824.4538807380095</v>
      </c>
      <c r="AI175">
        <f t="shared" si="65"/>
        <v>5.9121491476971472E-9</v>
      </c>
      <c r="AL175">
        <f t="shared" si="52"/>
        <v>0.98589481478654628</v>
      </c>
      <c r="AM175">
        <f t="shared" si="68"/>
        <v>0.87762764981535946</v>
      </c>
      <c r="AO175">
        <v>173</v>
      </c>
      <c r="AP175">
        <v>0.98975068234130803</v>
      </c>
      <c r="AQ175">
        <v>0.87653714709508002</v>
      </c>
    </row>
    <row r="176" spans="1:43" x14ac:dyDescent="0.35">
      <c r="N176">
        <f t="shared" si="69"/>
        <v>174</v>
      </c>
      <c r="O176" s="6">
        <f t="shared" si="49"/>
        <v>265555.52947126894</v>
      </c>
      <c r="P176">
        <f t="shared" si="53"/>
        <v>13.277776473563447</v>
      </c>
      <c r="Q176">
        <f t="shared" si="54"/>
        <v>0</v>
      </c>
      <c r="R176" s="6">
        <f t="shared" si="66"/>
        <v>619.055328218515</v>
      </c>
      <c r="S176">
        <f t="shared" si="55"/>
        <v>3.7143319693110901</v>
      </c>
      <c r="T176">
        <f t="shared" si="56"/>
        <v>0</v>
      </c>
      <c r="U176" s="6">
        <f t="shared" si="67"/>
        <v>1.8844975408284646E-10</v>
      </c>
      <c r="V176">
        <f t="shared" si="57"/>
        <v>2.8267463112426969E-11</v>
      </c>
      <c r="W176">
        <f t="shared" si="58"/>
        <v>0</v>
      </c>
      <c r="X176">
        <f t="shared" si="50"/>
        <v>266174.58479948761</v>
      </c>
      <c r="Y176" s="6">
        <f t="shared" si="59"/>
        <v>29506.16994125205</v>
      </c>
      <c r="Z176" s="6">
        <f t="shared" si="60"/>
        <v>68.783925357612702</v>
      </c>
      <c r="AA176" s="6">
        <f t="shared" si="61"/>
        <v>2.0938861564760726E-11</v>
      </c>
      <c r="AB176">
        <f t="shared" si="62"/>
        <v>0</v>
      </c>
      <c r="AD176" s="6">
        <f t="shared" si="51"/>
        <v>114068.67266091716</v>
      </c>
      <c r="AG176">
        <f t="shared" si="63"/>
        <v>81686.211636848879</v>
      </c>
      <c r="AH176">
        <f t="shared" si="64"/>
        <v>2807.5071574535814</v>
      </c>
      <c r="AI176">
        <f t="shared" si="65"/>
        <v>5.0253267755425749E-9</v>
      </c>
      <c r="AL176">
        <f t="shared" si="52"/>
        <v>0.98583179555365785</v>
      </c>
      <c r="AM176">
        <f t="shared" si="68"/>
        <v>0.87745132816090121</v>
      </c>
      <c r="AO176">
        <v>174</v>
      </c>
      <c r="AP176">
        <v>0.98969723088024597</v>
      </c>
      <c r="AQ176">
        <v>0.87636677056294299</v>
      </c>
    </row>
    <row r="177" spans="1:43" x14ac:dyDescent="0.35">
      <c r="A177" s="15" t="s">
        <v>55</v>
      </c>
      <c r="B177" t="s">
        <v>61</v>
      </c>
      <c r="N177">
        <f t="shared" si="69"/>
        <v>175</v>
      </c>
      <c r="O177" s="6">
        <f t="shared" si="49"/>
        <v>265542.25169479538</v>
      </c>
      <c r="P177">
        <f t="shared" si="53"/>
        <v>13.27711258473977</v>
      </c>
      <c r="Q177">
        <f t="shared" si="54"/>
        <v>0</v>
      </c>
      <c r="R177" s="6">
        <f t="shared" si="66"/>
        <v>615.34099624920395</v>
      </c>
      <c r="S177">
        <f t="shared" si="55"/>
        <v>3.6920459774952237</v>
      </c>
      <c r="T177">
        <f t="shared" si="56"/>
        <v>0</v>
      </c>
      <c r="U177" s="6">
        <f t="shared" si="67"/>
        <v>1.601822909704195E-10</v>
      </c>
      <c r="V177">
        <f t="shared" si="57"/>
        <v>2.4027343645562925E-11</v>
      </c>
      <c r="W177">
        <f t="shared" si="58"/>
        <v>0</v>
      </c>
      <c r="X177">
        <f t="shared" si="50"/>
        <v>266157.59269104479</v>
      </c>
      <c r="Y177" s="6">
        <f t="shared" si="59"/>
        <v>29504.694632754989</v>
      </c>
      <c r="Z177" s="6">
        <f t="shared" si="60"/>
        <v>68.37122180546703</v>
      </c>
      <c r="AA177" s="6">
        <f t="shared" si="61"/>
        <v>1.7798032330046616E-11</v>
      </c>
      <c r="AB177">
        <f t="shared" si="62"/>
        <v>0</v>
      </c>
      <c r="AD177" s="6">
        <f t="shared" si="51"/>
        <v>114045.85529534065</v>
      </c>
      <c r="AG177">
        <f t="shared" si="63"/>
        <v>81682.127326267029</v>
      </c>
      <c r="AH177">
        <f t="shared" si="64"/>
        <v>2790.6621145088598</v>
      </c>
      <c r="AI177">
        <f t="shared" si="65"/>
        <v>4.271527759211189E-9</v>
      </c>
      <c r="AL177">
        <f t="shared" si="52"/>
        <v>0.98576886181868439</v>
      </c>
      <c r="AM177">
        <f t="shared" si="68"/>
        <v>0.87727580996415877</v>
      </c>
      <c r="AO177">
        <v>175</v>
      </c>
      <c r="AP177">
        <v>0.98963709798654997</v>
      </c>
      <c r="AQ177">
        <v>0.87617634973290903</v>
      </c>
    </row>
    <row r="178" spans="1:43" ht="58" x14ac:dyDescent="0.35">
      <c r="A178" s="2" t="s">
        <v>0</v>
      </c>
      <c r="B178" s="2" t="s">
        <v>2</v>
      </c>
      <c r="C178" s="2" t="s">
        <v>8</v>
      </c>
      <c r="D178" s="2" t="s">
        <v>10</v>
      </c>
      <c r="E178" s="2" t="s">
        <v>13</v>
      </c>
      <c r="F178" s="2" t="s">
        <v>27</v>
      </c>
      <c r="G178" s="2" t="s">
        <v>28</v>
      </c>
      <c r="H178" s="2" t="s">
        <v>30</v>
      </c>
      <c r="I178" s="2" t="s">
        <v>32</v>
      </c>
      <c r="N178">
        <f t="shared" si="69"/>
        <v>176</v>
      </c>
      <c r="O178" s="6">
        <f t="shared" si="49"/>
        <v>265528.97458221065</v>
      </c>
      <c r="P178">
        <f t="shared" si="53"/>
        <v>13.276448729110532</v>
      </c>
      <c r="Q178">
        <f t="shared" si="54"/>
        <v>0</v>
      </c>
      <c r="R178" s="6">
        <f t="shared" si="66"/>
        <v>611.64895027170871</v>
      </c>
      <c r="S178">
        <f t="shared" si="55"/>
        <v>3.6698937016302522</v>
      </c>
      <c r="T178">
        <f t="shared" si="56"/>
        <v>0</v>
      </c>
      <c r="U178" s="6">
        <f t="shared" si="67"/>
        <v>1.3615494732485658E-10</v>
      </c>
      <c r="V178">
        <f t="shared" si="57"/>
        <v>2.0423242098728487E-11</v>
      </c>
      <c r="W178">
        <f t="shared" si="58"/>
        <v>0</v>
      </c>
      <c r="X178">
        <f t="shared" si="50"/>
        <v>266140.62353248248</v>
      </c>
      <c r="Y178" s="6">
        <f t="shared" si="59"/>
        <v>29503.21939802335</v>
      </c>
      <c r="Z178" s="6">
        <f t="shared" si="60"/>
        <v>67.960994474634234</v>
      </c>
      <c r="AA178" s="6">
        <f t="shared" si="61"/>
        <v>1.5128327480539624E-11</v>
      </c>
      <c r="AB178">
        <f t="shared" si="62"/>
        <v>0</v>
      </c>
      <c r="AD178" s="6">
        <f t="shared" si="51"/>
        <v>114023.14175422417</v>
      </c>
      <c r="AG178">
        <f t="shared" si="63"/>
        <v>81678.043219900719</v>
      </c>
      <c r="AH178">
        <f t="shared" si="64"/>
        <v>2773.9181418218068</v>
      </c>
      <c r="AI178">
        <f t="shared" si="65"/>
        <v>3.6307985953295107E-9</v>
      </c>
      <c r="AL178">
        <f t="shared" si="52"/>
        <v>0.98570601308326844</v>
      </c>
      <c r="AM178">
        <f t="shared" si="68"/>
        <v>0.87710109041710904</v>
      </c>
      <c r="AO178">
        <v>176</v>
      </c>
      <c r="AP178">
        <v>0.98957362437653895</v>
      </c>
      <c r="AQ178">
        <v>0.87591577386023101</v>
      </c>
    </row>
    <row r="179" spans="1:43" x14ac:dyDescent="0.35">
      <c r="B179" t="s">
        <v>3</v>
      </c>
      <c r="C179" s="4">
        <v>0.745</v>
      </c>
      <c r="D179" s="10">
        <f>C179/C182</f>
        <v>0.99333333333333329</v>
      </c>
      <c r="E179">
        <f>$A$15*C179</f>
        <v>298000</v>
      </c>
      <c r="F179" s="4">
        <v>5.0000000000000002E-5</v>
      </c>
      <c r="G179" s="4">
        <v>0.9</v>
      </c>
      <c r="H179" s="4">
        <v>0</v>
      </c>
      <c r="I179" s="4">
        <v>0</v>
      </c>
      <c r="N179">
        <f t="shared" si="69"/>
        <v>177</v>
      </c>
      <c r="O179" s="6">
        <f t="shared" si="49"/>
        <v>265515.69813348155</v>
      </c>
      <c r="P179">
        <f t="shared" si="53"/>
        <v>13.275784906674078</v>
      </c>
      <c r="Q179">
        <f t="shared" si="54"/>
        <v>0</v>
      </c>
      <c r="R179" s="6">
        <f t="shared" si="66"/>
        <v>607.97905657007846</v>
      </c>
      <c r="S179">
        <f t="shared" si="55"/>
        <v>3.6478743394204707</v>
      </c>
      <c r="T179">
        <f t="shared" si="56"/>
        <v>0</v>
      </c>
      <c r="U179" s="6">
        <f t="shared" si="67"/>
        <v>1.1573170522612809E-10</v>
      </c>
      <c r="V179">
        <f t="shared" si="57"/>
        <v>1.7359755783919211E-11</v>
      </c>
      <c r="W179">
        <f t="shared" si="58"/>
        <v>0</v>
      </c>
      <c r="X179">
        <f t="shared" si="50"/>
        <v>266123.67719005176</v>
      </c>
      <c r="Y179" s="6">
        <f t="shared" si="59"/>
        <v>29501.744237053448</v>
      </c>
      <c r="Z179" s="6">
        <f t="shared" si="60"/>
        <v>67.553228507786429</v>
      </c>
      <c r="AA179" s="6">
        <f t="shared" si="61"/>
        <v>1.285907835845868E-11</v>
      </c>
      <c r="AB179">
        <f t="shared" si="62"/>
        <v>0</v>
      </c>
      <c r="AD179" s="6">
        <f t="shared" si="51"/>
        <v>114000.53141627493</v>
      </c>
      <c r="AG179">
        <f t="shared" si="63"/>
        <v>81673.959317739718</v>
      </c>
      <c r="AH179">
        <f t="shared" si="64"/>
        <v>2757.2746329708762</v>
      </c>
      <c r="AI179">
        <f t="shared" si="65"/>
        <v>3.086178806030084E-9</v>
      </c>
      <c r="AL179">
        <f t="shared" si="52"/>
        <v>0.98564324885204357</v>
      </c>
      <c r="AM179">
        <f t="shared" si="68"/>
        <v>0.87692716474057641</v>
      </c>
      <c r="AO179">
        <v>177</v>
      </c>
      <c r="AP179">
        <v>0.98950681005021202</v>
      </c>
      <c r="AQ179">
        <v>0.87577546377494198</v>
      </c>
    </row>
    <row r="180" spans="1:43" x14ac:dyDescent="0.35">
      <c r="A180" t="s">
        <v>1</v>
      </c>
      <c r="B180" t="s">
        <v>5</v>
      </c>
      <c r="C180" s="4">
        <v>4.8999999999999998E-3</v>
      </c>
      <c r="D180" s="10">
        <f>C180/C182</f>
        <v>6.5333333333333328E-3</v>
      </c>
      <c r="E180">
        <f>$A$15*C180</f>
        <v>1960</v>
      </c>
      <c r="F180" s="4">
        <v>0.01</v>
      </c>
      <c r="G180" s="4">
        <v>0.9</v>
      </c>
      <c r="H180" s="4">
        <v>0</v>
      </c>
      <c r="I180" s="4">
        <v>0</v>
      </c>
      <c r="N180">
        <f t="shared" si="69"/>
        <v>178</v>
      </c>
      <c r="O180" s="6">
        <f t="shared" ref="O180:O243" si="70">O179-(P179-Q179)</f>
        <v>265502.42234857485</v>
      </c>
      <c r="P180">
        <f t="shared" si="53"/>
        <v>13.275121117428743</v>
      </c>
      <c r="Q180">
        <f t="shared" si="54"/>
        <v>0</v>
      </c>
      <c r="R180" s="6">
        <f t="shared" si="66"/>
        <v>604.33118223065799</v>
      </c>
      <c r="S180">
        <f t="shared" si="55"/>
        <v>3.625987093383948</v>
      </c>
      <c r="T180">
        <f t="shared" si="56"/>
        <v>0</v>
      </c>
      <c r="U180" s="6">
        <f t="shared" si="67"/>
        <v>9.8371949442208881E-11</v>
      </c>
      <c r="V180">
        <f t="shared" si="57"/>
        <v>1.4755792416331331E-11</v>
      </c>
      <c r="W180">
        <f t="shared" si="58"/>
        <v>0</v>
      </c>
      <c r="X180">
        <f t="shared" ref="X180:X243" si="71">O180+R180+U180-$J$57</f>
        <v>266106.75353080564</v>
      </c>
      <c r="Y180" s="6">
        <f t="shared" si="59"/>
        <v>29500.269149841595</v>
      </c>
      <c r="Z180" s="6">
        <f t="shared" si="60"/>
        <v>67.147909136739713</v>
      </c>
      <c r="AA180" s="6">
        <f t="shared" si="61"/>
        <v>1.0930216604689879E-11</v>
      </c>
      <c r="AB180">
        <f t="shared" si="62"/>
        <v>0</v>
      </c>
      <c r="AD180" s="6">
        <f t="shared" ref="AD180:AD243" si="72">Y180+Z180+AA180+AG180+AH180+AI180-AB180+$M$59</f>
        <v>113978.02366392784</v>
      </c>
      <c r="AG180">
        <f t="shared" si="63"/>
        <v>81669.875619773826</v>
      </c>
      <c r="AH180">
        <f t="shared" si="64"/>
        <v>2740.7309851730511</v>
      </c>
      <c r="AI180">
        <f t="shared" si="65"/>
        <v>2.6232519851255715E-9</v>
      </c>
      <c r="AL180">
        <f t="shared" ref="AL180:AL243" si="73">X180/$X$2</f>
        <v>0.98558056863261345</v>
      </c>
      <c r="AM180">
        <f t="shared" si="68"/>
        <v>0.87675402818406034</v>
      </c>
      <c r="AO180">
        <v>178</v>
      </c>
      <c r="AP180">
        <v>0.98944333644019899</v>
      </c>
      <c r="AQ180">
        <v>0.87562513154070398</v>
      </c>
    </row>
    <row r="181" spans="1:43" x14ac:dyDescent="0.35">
      <c r="B181" t="s">
        <v>4</v>
      </c>
      <c r="C181" s="4">
        <v>1E-4</v>
      </c>
      <c r="D181" s="10">
        <f>C181/C182</f>
        <v>1.3333333333333334E-4</v>
      </c>
      <c r="E181">
        <f>$A$15*C181</f>
        <v>40</v>
      </c>
      <c r="F181" s="4">
        <v>8.0000000000000002E-3</v>
      </c>
      <c r="G181" s="4">
        <v>0.9</v>
      </c>
      <c r="H181" s="4">
        <v>0</v>
      </c>
      <c r="I181" s="4">
        <v>0</v>
      </c>
      <c r="N181">
        <f t="shared" si="69"/>
        <v>179</v>
      </c>
      <c r="O181" s="6">
        <f t="shared" si="70"/>
        <v>265489.14722745743</v>
      </c>
      <c r="P181">
        <f t="shared" si="53"/>
        <v>13.274457361372873</v>
      </c>
      <c r="Q181">
        <f t="shared" si="54"/>
        <v>0</v>
      </c>
      <c r="R181" s="6">
        <f t="shared" si="66"/>
        <v>600.70519513727402</v>
      </c>
      <c r="S181">
        <f t="shared" si="55"/>
        <v>3.6042311708236441</v>
      </c>
      <c r="T181">
        <f t="shared" si="56"/>
        <v>0</v>
      </c>
      <c r="U181" s="6">
        <f t="shared" si="67"/>
        <v>8.3616157025877547E-11</v>
      </c>
      <c r="V181">
        <f t="shared" si="57"/>
        <v>1.2542423553881632E-11</v>
      </c>
      <c r="W181">
        <f t="shared" si="58"/>
        <v>0</v>
      </c>
      <c r="X181">
        <f t="shared" si="71"/>
        <v>266089.85242259479</v>
      </c>
      <c r="Y181" s="6">
        <f t="shared" si="59"/>
        <v>29498.794136384102</v>
      </c>
      <c r="Z181" s="6">
        <f t="shared" si="60"/>
        <v>66.745021681919269</v>
      </c>
      <c r="AA181" s="6">
        <f t="shared" si="61"/>
        <v>9.2906841139863964E-12</v>
      </c>
      <c r="AB181">
        <f t="shared" si="62"/>
        <v>0</v>
      </c>
      <c r="AD181" s="6">
        <f t="shared" si="72"/>
        <v>113955.61788332311</v>
      </c>
      <c r="AG181">
        <f t="shared" si="63"/>
        <v>81665.792125992841</v>
      </c>
      <c r="AH181">
        <f t="shared" si="64"/>
        <v>2724.2865992620127</v>
      </c>
      <c r="AI181">
        <f t="shared" si="65"/>
        <v>2.2297641873567359E-9</v>
      </c>
      <c r="AL181">
        <f t="shared" si="73"/>
        <v>0.98551797193553625</v>
      </c>
      <c r="AM181">
        <f t="shared" si="68"/>
        <v>0.87658167602556236</v>
      </c>
      <c r="AO181">
        <v>179</v>
      </c>
      <c r="AP181">
        <v>0.98937986283018897</v>
      </c>
      <c r="AQ181">
        <v>0.87548482145541595</v>
      </c>
    </row>
    <row r="182" spans="1:43" x14ac:dyDescent="0.35">
      <c r="B182" s="3" t="s">
        <v>7</v>
      </c>
      <c r="C182" s="9">
        <f>SUM(C179:C181)</f>
        <v>0.75</v>
      </c>
      <c r="D182">
        <f>SUM(D179:D181)</f>
        <v>0.99999999999999989</v>
      </c>
      <c r="E182">
        <f>A191*C182</f>
        <v>300000</v>
      </c>
      <c r="G182" s="11">
        <f>D179*G179+D180*G180+D181*G181</f>
        <v>0.9</v>
      </c>
      <c r="N182">
        <f t="shared" si="69"/>
        <v>180</v>
      </c>
      <c r="O182" s="6">
        <f t="shared" si="70"/>
        <v>265475.87277009606</v>
      </c>
      <c r="P182">
        <f t="shared" si="53"/>
        <v>13.273793638504804</v>
      </c>
      <c r="Q182">
        <f t="shared" si="54"/>
        <v>0</v>
      </c>
      <c r="R182" s="6">
        <f t="shared" si="66"/>
        <v>597.10096396645042</v>
      </c>
      <c r="S182">
        <f t="shared" si="55"/>
        <v>3.5826057837987024</v>
      </c>
      <c r="T182">
        <f t="shared" si="56"/>
        <v>0</v>
      </c>
      <c r="U182" s="6">
        <f t="shared" si="67"/>
        <v>7.107373347199591E-11</v>
      </c>
      <c r="V182">
        <f t="shared" si="57"/>
        <v>1.0661060020799387E-11</v>
      </c>
      <c r="W182">
        <f t="shared" si="58"/>
        <v>0</v>
      </c>
      <c r="X182">
        <f t="shared" si="71"/>
        <v>266072.97373406257</v>
      </c>
      <c r="Y182" s="6">
        <f t="shared" si="59"/>
        <v>29497.319196677283</v>
      </c>
      <c r="Z182" s="6">
        <f t="shared" si="60"/>
        <v>66.344551551827749</v>
      </c>
      <c r="AA182" s="6">
        <f t="shared" si="61"/>
        <v>7.8970814968884375E-12</v>
      </c>
      <c r="AB182">
        <f t="shared" si="62"/>
        <v>0</v>
      </c>
      <c r="AD182" s="6">
        <f t="shared" si="72"/>
        <v>113933.31346428399</v>
      </c>
      <c r="AG182">
        <f t="shared" si="63"/>
        <v>81661.708836386548</v>
      </c>
      <c r="AH182">
        <f t="shared" si="64"/>
        <v>2707.9408796664407</v>
      </c>
      <c r="AI182">
        <f t="shared" si="65"/>
        <v>1.8952995592532254E-9</v>
      </c>
      <c r="AL182">
        <f t="shared" si="73"/>
        <v>0.98545545827430581</v>
      </c>
      <c r="AM182">
        <f t="shared" si="68"/>
        <v>0.87641010357141524</v>
      </c>
      <c r="AO182">
        <v>180</v>
      </c>
      <c r="AP182">
        <v>0.98930636707122799</v>
      </c>
      <c r="AQ182">
        <v>0.875294400625382</v>
      </c>
    </row>
    <row r="183" spans="1:43" x14ac:dyDescent="0.35">
      <c r="B183" t="s">
        <v>3</v>
      </c>
      <c r="C183" s="4">
        <v>0.20899999999999999</v>
      </c>
      <c r="D183" s="10">
        <f>C183/C186</f>
        <v>0.83600000000000008</v>
      </c>
      <c r="E183">
        <f>$A$15*C183</f>
        <v>83600</v>
      </c>
      <c r="F183" s="4">
        <v>5.0000000000000002E-5</v>
      </c>
      <c r="G183" s="5" t="s">
        <v>15</v>
      </c>
      <c r="H183" s="4">
        <v>3.5000000000000001E-3</v>
      </c>
      <c r="I183" s="5" t="s">
        <v>15</v>
      </c>
      <c r="N183">
        <f t="shared" si="69"/>
        <v>181</v>
      </c>
      <c r="O183" s="6">
        <f t="shared" si="70"/>
        <v>265462.59897645755</v>
      </c>
      <c r="P183">
        <f t="shared" si="53"/>
        <v>13.273129948822879</v>
      </c>
      <c r="Q183">
        <f t="shared" si="54"/>
        <v>0</v>
      </c>
      <c r="R183" s="6">
        <f t="shared" si="66"/>
        <v>593.5183581826517</v>
      </c>
      <c r="S183">
        <f t="shared" si="55"/>
        <v>3.5611101490959101</v>
      </c>
      <c r="T183">
        <f t="shared" si="56"/>
        <v>0</v>
      </c>
      <c r="U183" s="6">
        <f t="shared" si="67"/>
        <v>6.0412673451196522E-11</v>
      </c>
      <c r="V183">
        <f t="shared" si="57"/>
        <v>9.0619010176794776E-12</v>
      </c>
      <c r="W183">
        <f t="shared" si="58"/>
        <v>0</v>
      </c>
      <c r="X183">
        <f t="shared" si="71"/>
        <v>266056.11733464024</v>
      </c>
      <c r="Y183" s="6">
        <f t="shared" si="59"/>
        <v>29495.844330717449</v>
      </c>
      <c r="Z183" s="6">
        <f t="shared" si="60"/>
        <v>65.946484242516789</v>
      </c>
      <c r="AA183" s="6">
        <f t="shared" si="61"/>
        <v>6.7125192723551721E-12</v>
      </c>
      <c r="AB183">
        <f t="shared" si="62"/>
        <v>0</v>
      </c>
      <c r="AD183" s="6">
        <f t="shared" si="72"/>
        <v>113911.10980029475</v>
      </c>
      <c r="AG183">
        <f t="shared" si="63"/>
        <v>81657.625750944731</v>
      </c>
      <c r="AH183">
        <f t="shared" si="64"/>
        <v>2691.6932343884419</v>
      </c>
      <c r="AI183">
        <f t="shared" si="65"/>
        <v>1.6110046253652417E-9</v>
      </c>
      <c r="AL183">
        <f t="shared" si="73"/>
        <v>0.98539302716533417</v>
      </c>
      <c r="AM183">
        <f t="shared" si="68"/>
        <v>0.87623930615611345</v>
      </c>
      <c r="AO183">
        <v>181</v>
      </c>
      <c r="AP183">
        <v>0.98924623417753199</v>
      </c>
      <c r="AQ183">
        <v>0.87506389119954997</v>
      </c>
    </row>
    <row r="184" spans="1:43" x14ac:dyDescent="0.35">
      <c r="A184" t="s">
        <v>6</v>
      </c>
      <c r="B184" t="s">
        <v>5</v>
      </c>
      <c r="C184" s="4">
        <v>0.02</v>
      </c>
      <c r="D184" s="10">
        <f>C184/C186</f>
        <v>8.0000000000000016E-2</v>
      </c>
      <c r="E184">
        <f>$A$15*C184</f>
        <v>8000</v>
      </c>
      <c r="F184" s="4">
        <v>1E-3</v>
      </c>
      <c r="G184" s="5" t="s">
        <v>15</v>
      </c>
      <c r="H184" s="4">
        <v>6.2E-4</v>
      </c>
      <c r="I184" s="5" t="s">
        <v>15</v>
      </c>
      <c r="N184">
        <f t="shared" si="69"/>
        <v>182</v>
      </c>
      <c r="O184" s="6">
        <f t="shared" si="70"/>
        <v>265449.32584650873</v>
      </c>
      <c r="P184">
        <f t="shared" si="53"/>
        <v>13.272466292325436</v>
      </c>
      <c r="Q184">
        <f t="shared" si="54"/>
        <v>0</v>
      </c>
      <c r="R184" s="6">
        <f t="shared" si="66"/>
        <v>589.95724803355574</v>
      </c>
      <c r="S184">
        <f t="shared" si="55"/>
        <v>3.5397434882013346</v>
      </c>
      <c r="T184">
        <f t="shared" si="56"/>
        <v>0</v>
      </c>
      <c r="U184" s="6">
        <f t="shared" si="67"/>
        <v>5.1350772433517044E-11</v>
      </c>
      <c r="V184">
        <f t="shared" si="57"/>
        <v>7.702615865027556E-12</v>
      </c>
      <c r="W184">
        <f t="shared" si="58"/>
        <v>0</v>
      </c>
      <c r="X184">
        <f t="shared" si="71"/>
        <v>266039.28309454233</v>
      </c>
      <c r="Y184" s="6">
        <f t="shared" si="59"/>
        <v>29494.369538500912</v>
      </c>
      <c r="Z184" s="6">
        <f t="shared" si="60"/>
        <v>65.550805337061689</v>
      </c>
      <c r="AA184" s="6">
        <f t="shared" si="61"/>
        <v>5.7056413815018964E-12</v>
      </c>
      <c r="AB184">
        <f t="shared" si="62"/>
        <v>0</v>
      </c>
      <c r="AD184" s="6">
        <f t="shared" si="72"/>
        <v>113889.00628847865</v>
      </c>
      <c r="AG184">
        <f t="shared" si="63"/>
        <v>81653.542869657191</v>
      </c>
      <c r="AH184">
        <f t="shared" si="64"/>
        <v>2675.5430749821112</v>
      </c>
      <c r="AI184">
        <f t="shared" si="65"/>
        <v>1.3693539315604555E-9</v>
      </c>
      <c r="AL184">
        <f t="shared" si="73"/>
        <v>0.98533067812793462</v>
      </c>
      <c r="AM184">
        <f t="shared" si="68"/>
        <v>0.87606927914214339</v>
      </c>
      <c r="AO184">
        <v>182</v>
      </c>
      <c r="AP184">
        <v>0.98917941985120506</v>
      </c>
      <c r="AQ184">
        <v>0.87485342607161798</v>
      </c>
    </row>
    <row r="185" spans="1:43" x14ac:dyDescent="0.35">
      <c r="B185" t="s">
        <v>4</v>
      </c>
      <c r="C185" s="4">
        <v>2.1000000000000001E-2</v>
      </c>
      <c r="D185" s="10">
        <f>C185/C186</f>
        <v>8.4000000000000019E-2</v>
      </c>
      <c r="E185">
        <f>$A$15*C185</f>
        <v>8400</v>
      </c>
      <c r="F185" s="4">
        <v>8.0000000000000002E-3</v>
      </c>
      <c r="G185" s="5" t="s">
        <v>15</v>
      </c>
      <c r="H185" s="4">
        <v>8.0000000000000002E-3</v>
      </c>
      <c r="I185" s="5" t="s">
        <v>15</v>
      </c>
      <c r="N185">
        <f t="shared" si="69"/>
        <v>183</v>
      </c>
      <c r="O185" s="6">
        <f t="shared" si="70"/>
        <v>265436.05338021641</v>
      </c>
      <c r="P185">
        <f t="shared" si="53"/>
        <v>13.271802669010821</v>
      </c>
      <c r="Q185">
        <f t="shared" si="54"/>
        <v>0</v>
      </c>
      <c r="R185" s="6">
        <f t="shared" si="66"/>
        <v>586.4175045453544</v>
      </c>
      <c r="S185">
        <f t="shared" si="55"/>
        <v>3.5185050272721266</v>
      </c>
      <c r="T185">
        <f t="shared" si="56"/>
        <v>0</v>
      </c>
      <c r="U185" s="6">
        <f t="shared" si="67"/>
        <v>4.3648156568489486E-11</v>
      </c>
      <c r="V185">
        <f t="shared" si="57"/>
        <v>6.5472234852734225E-12</v>
      </c>
      <c r="W185">
        <f t="shared" si="58"/>
        <v>0</v>
      </c>
      <c r="X185">
        <f t="shared" si="71"/>
        <v>266022.47088476183</v>
      </c>
      <c r="Y185" s="6">
        <f t="shared" si="59"/>
        <v>29492.894820023987</v>
      </c>
      <c r="Z185" s="6">
        <f t="shared" si="60"/>
        <v>65.157500505039323</v>
      </c>
      <c r="AA185" s="6">
        <f t="shared" si="61"/>
        <v>4.8497951742766122E-12</v>
      </c>
      <c r="AB185">
        <f t="shared" si="62"/>
        <v>0</v>
      </c>
      <c r="AD185" s="6">
        <f t="shared" si="72"/>
        <v>113867.00232957613</v>
      </c>
      <c r="AG185">
        <f t="shared" si="63"/>
        <v>81649.46019251371</v>
      </c>
      <c r="AH185">
        <f t="shared" si="64"/>
        <v>2659.4898165322184</v>
      </c>
      <c r="AI185">
        <f t="shared" si="65"/>
        <v>1.1639508418263872E-9</v>
      </c>
      <c r="AL185">
        <f t="shared" si="73"/>
        <v>0.98526841068430304</v>
      </c>
      <c r="AM185">
        <f t="shared" si="68"/>
        <v>0.87590001791981642</v>
      </c>
      <c r="AO185">
        <v>183</v>
      </c>
      <c r="AP185">
        <v>0.98910926480856098</v>
      </c>
      <c r="AQ185">
        <v>0.87469307168843202</v>
      </c>
    </row>
    <row r="186" spans="1:43" ht="29" x14ac:dyDescent="0.35">
      <c r="B186" s="3" t="s">
        <v>7</v>
      </c>
      <c r="C186" s="9">
        <f>SUM(C183:C185)</f>
        <v>0.24999999999999997</v>
      </c>
      <c r="D186" s="10">
        <f>SUM(D183:D185)</f>
        <v>1.0000000000000002</v>
      </c>
      <c r="E186">
        <f>C186*A191</f>
        <v>99999.999999999985</v>
      </c>
      <c r="G186" s="5" t="s">
        <v>63</v>
      </c>
      <c r="H186">
        <f>(H183)*D183+(H184)*D184+(H185)*D185</f>
        <v>3.6476000000000004E-3</v>
      </c>
      <c r="I186" s="16" t="s">
        <v>56</v>
      </c>
      <c r="J186" s="9">
        <f>1-(POWER((1-H186),(H188-1)))</f>
        <v>9.725894185455608E-2</v>
      </c>
      <c r="N186">
        <f t="shared" si="69"/>
        <v>184</v>
      </c>
      <c r="O186" s="6">
        <f t="shared" si="70"/>
        <v>265422.78157754743</v>
      </c>
      <c r="P186">
        <f t="shared" si="53"/>
        <v>13.271139078877372</v>
      </c>
      <c r="Q186">
        <f t="shared" si="54"/>
        <v>0</v>
      </c>
      <c r="R186" s="6">
        <f t="shared" si="66"/>
        <v>582.89899951808229</v>
      </c>
      <c r="S186">
        <f t="shared" si="55"/>
        <v>3.4973939971084937</v>
      </c>
      <c r="T186">
        <f t="shared" si="56"/>
        <v>0</v>
      </c>
      <c r="U186" s="6">
        <f t="shared" si="67"/>
        <v>3.7100933083216065E-11</v>
      </c>
      <c r="V186">
        <f t="shared" si="57"/>
        <v>5.5651399624824097E-12</v>
      </c>
      <c r="W186">
        <f t="shared" si="58"/>
        <v>0</v>
      </c>
      <c r="X186">
        <f t="shared" si="71"/>
        <v>266005.68057706556</v>
      </c>
      <c r="Y186" s="6">
        <f t="shared" si="59"/>
        <v>29491.420175282987</v>
      </c>
      <c r="Z186" s="6">
        <f t="shared" si="60"/>
        <v>64.766555502009084</v>
      </c>
      <c r="AA186" s="6">
        <f t="shared" si="61"/>
        <v>4.1223258981351208E-12</v>
      </c>
      <c r="AB186">
        <f t="shared" si="62"/>
        <v>0</v>
      </c>
      <c r="AD186" s="6">
        <f t="shared" si="72"/>
        <v>113845.09732792311</v>
      </c>
      <c r="AG186">
        <f t="shared" si="63"/>
        <v>81645.377719504089</v>
      </c>
      <c r="AH186">
        <f t="shared" si="64"/>
        <v>2643.5328776330252</v>
      </c>
      <c r="AI186">
        <f t="shared" si="65"/>
        <v>9.8935821555242905E-10</v>
      </c>
      <c r="AL186">
        <f t="shared" si="73"/>
        <v>0.98520622435950211</v>
      </c>
      <c r="AM186">
        <f t="shared" si="68"/>
        <v>0.87573151790710091</v>
      </c>
      <c r="AO186">
        <v>184</v>
      </c>
      <c r="AP186">
        <v>0.98902908761696795</v>
      </c>
      <c r="AQ186">
        <v>0.87447258441154996</v>
      </c>
    </row>
    <row r="187" spans="1:43" x14ac:dyDescent="0.35">
      <c r="G187" s="5" t="s">
        <v>62</v>
      </c>
      <c r="H187">
        <f>(F183+H183)*D183+(F184+H184)*D184+(F185+H185)*D185</f>
        <v>4.4414000000000007E-3</v>
      </c>
      <c r="N187">
        <f t="shared" si="69"/>
        <v>185</v>
      </c>
      <c r="O187" s="6">
        <f t="shared" si="70"/>
        <v>265409.51043846854</v>
      </c>
      <c r="P187">
        <f t="shared" si="53"/>
        <v>13.270475521923428</v>
      </c>
      <c r="Q187">
        <f t="shared" si="54"/>
        <v>0</v>
      </c>
      <c r="R187" s="6">
        <f t="shared" si="66"/>
        <v>579.40160552097382</v>
      </c>
      <c r="S187">
        <f t="shared" si="55"/>
        <v>3.4764096331258432</v>
      </c>
      <c r="T187">
        <f t="shared" si="56"/>
        <v>0</v>
      </c>
      <c r="U187" s="6">
        <f t="shared" si="67"/>
        <v>3.1535793120733657E-11</v>
      </c>
      <c r="V187">
        <f t="shared" si="57"/>
        <v>4.7303689681100483E-12</v>
      </c>
      <c r="W187">
        <f t="shared" si="58"/>
        <v>0</v>
      </c>
      <c r="X187">
        <f t="shared" si="71"/>
        <v>265988.91204398958</v>
      </c>
      <c r="Y187" s="6">
        <f t="shared" si="59"/>
        <v>29489.945604274224</v>
      </c>
      <c r="Z187" s="6">
        <f t="shared" si="60"/>
        <v>64.377956168997031</v>
      </c>
      <c r="AA187" s="6">
        <f t="shared" si="61"/>
        <v>3.5039770134148525E-12</v>
      </c>
      <c r="AB187">
        <f t="shared" si="62"/>
        <v>0</v>
      </c>
      <c r="AD187" s="6">
        <f t="shared" si="72"/>
        <v>113823.29069142941</v>
      </c>
      <c r="AG187">
        <f t="shared" si="63"/>
        <v>81641.295450618112</v>
      </c>
      <c r="AH187">
        <f t="shared" si="64"/>
        <v>2627.6716803672271</v>
      </c>
      <c r="AI187">
        <f t="shared" si="65"/>
        <v>8.4095448321956466E-10</v>
      </c>
      <c r="AL187">
        <f t="shared" si="73"/>
        <v>0.98514411868144292</v>
      </c>
      <c r="AM187">
        <f t="shared" si="68"/>
        <v>0.875563774549457</v>
      </c>
      <c r="AO187">
        <v>185</v>
      </c>
      <c r="AP187">
        <v>0.98897897687222003</v>
      </c>
      <c r="AQ187">
        <v>0.874282163581514</v>
      </c>
    </row>
    <row r="188" spans="1:43" x14ac:dyDescent="0.35">
      <c r="B188" s="3" t="s">
        <v>9</v>
      </c>
      <c r="C188">
        <f>C182+C186</f>
        <v>1</v>
      </c>
      <c r="E188">
        <f>E182+E186</f>
        <v>400000</v>
      </c>
      <c r="G188" s="12" t="s">
        <v>29</v>
      </c>
      <c r="H188" s="4">
        <v>29</v>
      </c>
      <c r="N188">
        <f t="shared" si="69"/>
        <v>186</v>
      </c>
      <c r="O188" s="6">
        <f t="shared" si="70"/>
        <v>265396.23996294662</v>
      </c>
      <c r="P188">
        <f t="shared" si="53"/>
        <v>13.269811998147333</v>
      </c>
      <c r="Q188">
        <f t="shared" si="54"/>
        <v>0</v>
      </c>
      <c r="R188" s="6">
        <f t="shared" si="66"/>
        <v>575.92519588784796</v>
      </c>
      <c r="S188">
        <f t="shared" si="55"/>
        <v>3.4555511753270878</v>
      </c>
      <c r="T188">
        <f t="shared" si="56"/>
        <v>0</v>
      </c>
      <c r="U188" s="6">
        <f t="shared" si="67"/>
        <v>2.6805424152623609E-11</v>
      </c>
      <c r="V188">
        <f t="shared" si="57"/>
        <v>4.0208136228935415E-12</v>
      </c>
      <c r="W188">
        <f t="shared" si="58"/>
        <v>0</v>
      </c>
      <c r="X188">
        <f t="shared" si="71"/>
        <v>265972.16515883448</v>
      </c>
      <c r="Y188" s="6">
        <f t="shared" si="59"/>
        <v>29488.471106994009</v>
      </c>
      <c r="Z188" s="6">
        <f t="shared" si="60"/>
        <v>63.99168843198305</v>
      </c>
      <c r="AA188" s="6">
        <f t="shared" si="61"/>
        <v>2.9783804614026245E-12</v>
      </c>
      <c r="AB188">
        <f t="shared" si="62"/>
        <v>0</v>
      </c>
      <c r="AD188" s="6">
        <f t="shared" si="72"/>
        <v>113801.58183155731</v>
      </c>
      <c r="AG188">
        <f t="shared" si="63"/>
        <v>81637.213385845578</v>
      </c>
      <c r="AH188">
        <f t="shared" si="64"/>
        <v>2611.9056502850235</v>
      </c>
      <c r="AI188">
        <f t="shared" si="65"/>
        <v>7.1481131073662996E-10</v>
      </c>
      <c r="AL188">
        <f t="shared" si="73"/>
        <v>0.98508209318086848</v>
      </c>
      <c r="AM188">
        <f t="shared" si="68"/>
        <v>0.87539678331967163</v>
      </c>
      <c r="AO188">
        <v>186</v>
      </c>
      <c r="AP188">
        <v>0.98887875538272996</v>
      </c>
      <c r="AQ188">
        <v>0.87409174275148105</v>
      </c>
    </row>
    <row r="189" spans="1:43" x14ac:dyDescent="0.35">
      <c r="B189" s="3" t="s">
        <v>12</v>
      </c>
      <c r="C189">
        <f>1-C188</f>
        <v>0</v>
      </c>
      <c r="D189">
        <f>C183+C189</f>
        <v>0.20899999999999999</v>
      </c>
      <c r="N189">
        <f t="shared" si="69"/>
        <v>187</v>
      </c>
      <c r="O189" s="6">
        <f t="shared" si="70"/>
        <v>265382.9701509485</v>
      </c>
      <c r="P189">
        <f t="shared" si="53"/>
        <v>13.269148507547426</v>
      </c>
      <c r="Q189">
        <f t="shared" si="54"/>
        <v>0</v>
      </c>
      <c r="R189" s="6">
        <f t="shared" si="66"/>
        <v>572.4696447125209</v>
      </c>
      <c r="S189">
        <f t="shared" si="55"/>
        <v>3.4348178682751254</v>
      </c>
      <c r="T189">
        <f t="shared" si="56"/>
        <v>0</v>
      </c>
      <c r="U189" s="6">
        <f t="shared" si="67"/>
        <v>2.2784610529730067E-11</v>
      </c>
      <c r="V189">
        <f t="shared" si="57"/>
        <v>3.4176915794595099E-12</v>
      </c>
      <c r="W189">
        <f t="shared" si="58"/>
        <v>0</v>
      </c>
      <c r="X189">
        <f t="shared" si="71"/>
        <v>265955.43979566102</v>
      </c>
      <c r="Y189" s="6">
        <f t="shared" si="59"/>
        <v>29486.996683438661</v>
      </c>
      <c r="Z189" s="6">
        <f t="shared" si="60"/>
        <v>63.607738301391151</v>
      </c>
      <c r="AA189" s="6">
        <f t="shared" si="61"/>
        <v>2.5316233921922309E-12</v>
      </c>
      <c r="AB189">
        <f t="shared" si="62"/>
        <v>0</v>
      </c>
      <c r="AD189" s="6">
        <f t="shared" si="72"/>
        <v>113779.97016330026</v>
      </c>
      <c r="AG189">
        <f t="shared" si="63"/>
        <v>81633.131525176286</v>
      </c>
      <c r="AH189">
        <f t="shared" si="64"/>
        <v>2596.2342163833132</v>
      </c>
      <c r="AI189">
        <f t="shared" si="65"/>
        <v>6.0758961412613549E-10</v>
      </c>
      <c r="AL189">
        <f t="shared" si="73"/>
        <v>0.98502014739133714</v>
      </c>
      <c r="AM189">
        <f t="shared" si="68"/>
        <v>0.87523053971769427</v>
      </c>
      <c r="AO189">
        <v>187</v>
      </c>
      <c r="AP189">
        <v>0.988838666786932</v>
      </c>
      <c r="AQ189">
        <v>0.87390132192144598</v>
      </c>
    </row>
    <row r="190" spans="1:43" x14ac:dyDescent="0.35">
      <c r="A190" s="1" t="s">
        <v>11</v>
      </c>
      <c r="C190" t="s">
        <v>43</v>
      </c>
      <c r="D190" t="s">
        <v>43</v>
      </c>
      <c r="E190" t="s">
        <v>58</v>
      </c>
      <c r="N190">
        <f t="shared" si="69"/>
        <v>188</v>
      </c>
      <c r="O190" s="6">
        <f t="shared" si="70"/>
        <v>265369.70100244094</v>
      </c>
      <c r="P190">
        <f t="shared" si="53"/>
        <v>13.268485050122047</v>
      </c>
      <c r="Q190">
        <f t="shared" si="54"/>
        <v>0</v>
      </c>
      <c r="R190" s="6">
        <f t="shared" si="66"/>
        <v>569.0348268442458</v>
      </c>
      <c r="S190">
        <f t="shared" si="55"/>
        <v>3.4142089610654747</v>
      </c>
      <c r="T190">
        <f t="shared" si="56"/>
        <v>0</v>
      </c>
      <c r="U190" s="6">
        <f t="shared" si="67"/>
        <v>1.9366918950270556E-11</v>
      </c>
      <c r="V190">
        <f t="shared" si="57"/>
        <v>2.9050378425405833E-12</v>
      </c>
      <c r="W190">
        <f t="shared" si="58"/>
        <v>0</v>
      </c>
      <c r="X190">
        <f t="shared" si="71"/>
        <v>265938.73582928517</v>
      </c>
      <c r="Y190" s="6">
        <f t="shared" si="59"/>
        <v>29485.522333604491</v>
      </c>
      <c r="Z190" s="6">
        <f t="shared" si="60"/>
        <v>63.226091871582803</v>
      </c>
      <c r="AA190" s="6">
        <f t="shared" si="61"/>
        <v>2.1518798833633964E-12</v>
      </c>
      <c r="AB190">
        <f t="shared" si="62"/>
        <v>0</v>
      </c>
      <c r="AD190" s="6">
        <f t="shared" si="72"/>
        <v>113758.45510516163</v>
      </c>
      <c r="AG190">
        <f t="shared" si="63"/>
        <v>81629.049868600021</v>
      </c>
      <c r="AH190">
        <f t="shared" si="64"/>
        <v>2580.6568110850135</v>
      </c>
      <c r="AI190">
        <f t="shared" si="65"/>
        <v>5.1645117200721523E-10</v>
      </c>
      <c r="AL190">
        <f t="shared" si="73"/>
        <v>0.98495828084920434</v>
      </c>
      <c r="AM190">
        <f t="shared" si="68"/>
        <v>0.87506503927047408</v>
      </c>
      <c r="AO190">
        <v>188</v>
      </c>
      <c r="AP190">
        <v>0.98878187460955402</v>
      </c>
      <c r="AQ190">
        <v>0.87367081249561596</v>
      </c>
    </row>
    <row r="191" spans="1:43" x14ac:dyDescent="0.35">
      <c r="A191">
        <v>400000</v>
      </c>
      <c r="C191">
        <f>C185/C181</f>
        <v>210</v>
      </c>
      <c r="D191" s="9">
        <f>D185/D181</f>
        <v>630.00000000000011</v>
      </c>
      <c r="E191">
        <f>(D184+D185)/(D180+D181)</f>
        <v>24.600000000000009</v>
      </c>
      <c r="N191">
        <f t="shared" si="69"/>
        <v>189</v>
      </c>
      <c r="O191" s="6">
        <f t="shared" si="70"/>
        <v>265356.43251739081</v>
      </c>
      <c r="P191">
        <f t="shared" si="53"/>
        <v>13.267821625869541</v>
      </c>
      <c r="Q191">
        <f t="shared" si="54"/>
        <v>0</v>
      </c>
      <c r="R191" s="6">
        <f t="shared" si="66"/>
        <v>565.62061788318033</v>
      </c>
      <c r="S191">
        <f t="shared" si="55"/>
        <v>3.393723707299082</v>
      </c>
      <c r="T191">
        <f t="shared" si="56"/>
        <v>0</v>
      </c>
      <c r="U191" s="6">
        <f t="shared" si="67"/>
        <v>1.6461881107729975E-11</v>
      </c>
      <c r="V191">
        <f t="shared" si="57"/>
        <v>2.4692821661594961E-12</v>
      </c>
      <c r="W191">
        <f t="shared" si="58"/>
        <v>0</v>
      </c>
      <c r="X191">
        <f t="shared" si="71"/>
        <v>265922.05313527398</v>
      </c>
      <c r="Y191" s="6">
        <f t="shared" si="59"/>
        <v>29484.048057487809</v>
      </c>
      <c r="Z191" s="6">
        <f t="shared" si="60"/>
        <v>62.846735320353304</v>
      </c>
      <c r="AA191" s="6">
        <f t="shared" si="61"/>
        <v>1.8290979008588869E-12</v>
      </c>
      <c r="AB191">
        <f t="shared" si="62"/>
        <v>0</v>
      </c>
      <c r="AD191" s="6">
        <f t="shared" si="72"/>
        <v>113737.0360791337</v>
      </c>
      <c r="AG191">
        <f t="shared" si="63"/>
        <v>81624.968416106596</v>
      </c>
      <c r="AH191">
        <f t="shared" si="64"/>
        <v>2565.1728702185032</v>
      </c>
      <c r="AI191">
        <f t="shared" si="65"/>
        <v>4.3898349620613296E-10</v>
      </c>
      <c r="AL191">
        <f t="shared" si="73"/>
        <v>0.98489649309360727</v>
      </c>
      <c r="AM191">
        <f t="shared" si="68"/>
        <v>0.87490027753179767</v>
      </c>
      <c r="AO191">
        <v>189</v>
      </c>
      <c r="AP191">
        <v>0.98869167526901203</v>
      </c>
      <c r="AQ191">
        <v>0.87352048026137696</v>
      </c>
    </row>
    <row r="192" spans="1:43" x14ac:dyDescent="0.35">
      <c r="N192">
        <f t="shared" si="69"/>
        <v>190</v>
      </c>
      <c r="O192" s="6">
        <f t="shared" si="70"/>
        <v>265343.16469576495</v>
      </c>
      <c r="P192">
        <f t="shared" si="53"/>
        <v>13.267158234788248</v>
      </c>
      <c r="Q192">
        <f t="shared" si="54"/>
        <v>0</v>
      </c>
      <c r="R192" s="6">
        <f t="shared" si="66"/>
        <v>562.22689417588128</v>
      </c>
      <c r="S192">
        <f t="shared" si="55"/>
        <v>3.3733613650552878</v>
      </c>
      <c r="T192">
        <f t="shared" si="56"/>
        <v>0</v>
      </c>
      <c r="U192" s="6">
        <f t="shared" si="67"/>
        <v>1.3992598941570478E-11</v>
      </c>
      <c r="V192">
        <f t="shared" si="57"/>
        <v>2.0988898412355715E-12</v>
      </c>
      <c r="W192">
        <f t="shared" si="58"/>
        <v>0</v>
      </c>
      <c r="X192">
        <f t="shared" si="71"/>
        <v>265905.39158994082</v>
      </c>
      <c r="Y192" s="6">
        <f t="shared" si="59"/>
        <v>29482.573855084935</v>
      </c>
      <c r="Z192" s="6">
        <f t="shared" si="60"/>
        <v>62.469654908431181</v>
      </c>
      <c r="AA192" s="6">
        <f t="shared" si="61"/>
        <v>1.5547332157300539E-12</v>
      </c>
      <c r="AB192">
        <f t="shared" si="62"/>
        <v>0</v>
      </c>
      <c r="AD192" s="6">
        <f t="shared" si="72"/>
        <v>113715.71251067673</v>
      </c>
      <c r="AG192">
        <f t="shared" si="63"/>
        <v>81620.887167685796</v>
      </c>
      <c r="AH192">
        <f t="shared" si="64"/>
        <v>2549.7818329971924</v>
      </c>
      <c r="AI192">
        <f t="shared" si="65"/>
        <v>3.7313597177521304E-10</v>
      </c>
      <c r="AL192">
        <f t="shared" si="73"/>
        <v>0.9848347836664475</v>
      </c>
      <c r="AM192">
        <f t="shared" si="68"/>
        <v>0.87473625008212874</v>
      </c>
      <c r="AO192">
        <v>190</v>
      </c>
      <c r="AP192">
        <v>0.98859479449583598</v>
      </c>
      <c r="AQ192">
        <v>0.87335010372924105</v>
      </c>
    </row>
    <row r="193" spans="1:43" x14ac:dyDescent="0.35">
      <c r="N193">
        <f t="shared" si="69"/>
        <v>191</v>
      </c>
      <c r="O193" s="6">
        <f t="shared" si="70"/>
        <v>265329.89753753017</v>
      </c>
      <c r="P193">
        <f t="shared" si="53"/>
        <v>13.266494876876509</v>
      </c>
      <c r="Q193">
        <f t="shared" si="54"/>
        <v>0</v>
      </c>
      <c r="R193" s="6">
        <f t="shared" si="66"/>
        <v>558.85353281082598</v>
      </c>
      <c r="S193">
        <f t="shared" si="55"/>
        <v>3.3531211968649561</v>
      </c>
      <c r="T193">
        <f t="shared" si="56"/>
        <v>0</v>
      </c>
      <c r="U193" s="6">
        <f t="shared" si="67"/>
        <v>1.1893709100334907E-11</v>
      </c>
      <c r="V193">
        <f t="shared" si="57"/>
        <v>1.7840563650502361E-12</v>
      </c>
      <c r="W193">
        <f t="shared" si="58"/>
        <v>0</v>
      </c>
      <c r="X193">
        <f t="shared" si="71"/>
        <v>265888.75107034098</v>
      </c>
      <c r="Y193" s="6">
        <f t="shared" si="59"/>
        <v>29481.099726392182</v>
      </c>
      <c r="Z193" s="6">
        <f t="shared" si="60"/>
        <v>62.094836978980595</v>
      </c>
      <c r="AA193" s="6">
        <f t="shared" si="61"/>
        <v>1.3215232333705458E-12</v>
      </c>
      <c r="AB193">
        <f t="shared" si="62"/>
        <v>0</v>
      </c>
      <c r="AD193" s="6">
        <f t="shared" si="72"/>
        <v>113694.4838286981</v>
      </c>
      <c r="AG193">
        <f t="shared" si="63"/>
        <v>81616.806123327406</v>
      </c>
      <c r="AH193">
        <f t="shared" si="64"/>
        <v>2534.4831419992092</v>
      </c>
      <c r="AI193">
        <f t="shared" si="65"/>
        <v>3.171655760089311E-10</v>
      </c>
      <c r="AL193">
        <f t="shared" si="73"/>
        <v>0.98477315211237404</v>
      </c>
      <c r="AM193">
        <f t="shared" si="68"/>
        <v>0.87457295252844691</v>
      </c>
      <c r="AO193">
        <v>191</v>
      </c>
      <c r="AP193">
        <v>0.98851461730424295</v>
      </c>
      <c r="AQ193">
        <v>0.87320979364395201</v>
      </c>
    </row>
    <row r="194" spans="1:43" x14ac:dyDescent="0.35">
      <c r="N194">
        <f t="shared" si="69"/>
        <v>192</v>
      </c>
      <c r="O194" s="6">
        <f t="shared" si="70"/>
        <v>265316.63104265329</v>
      </c>
      <c r="P194">
        <f t="shared" ref="P194:P257" si="74">IF(N194&lt;$H$12,O194*($F$3+$H$3),O194*$F$3)</f>
        <v>13.265831552132665</v>
      </c>
      <c r="Q194">
        <f t="shared" ref="Q194:Q257" si="75">IF(N194&lt;$H$12,P194*$I$3,0)</f>
        <v>0</v>
      </c>
      <c r="R194" s="6">
        <f t="shared" si="66"/>
        <v>555.50041161396098</v>
      </c>
      <c r="S194">
        <f t="shared" ref="S194:S257" si="76">IF(N194&lt;$H$12,R194*($F$4+$H$4),R194*$F$4)</f>
        <v>3.3330024696837661</v>
      </c>
      <c r="T194">
        <f t="shared" ref="T194:T257" si="77">IF(N194&lt;$H$12,S194*$I$4,0)</f>
        <v>0</v>
      </c>
      <c r="U194" s="6">
        <f t="shared" si="67"/>
        <v>1.0109652735284671E-11</v>
      </c>
      <c r="V194">
        <f t="shared" ref="V194:V257" si="78">IF(N194&lt;$H$12,U194*($F$5+$H$5),U194*$F$5)</f>
        <v>1.5164479102927007E-12</v>
      </c>
      <c r="W194">
        <f t="shared" ref="W194:W257" si="79">IF(N194&lt;$H$12,V194*$I$5,0)</f>
        <v>0</v>
      </c>
      <c r="X194">
        <f t="shared" si="71"/>
        <v>265872.13145426725</v>
      </c>
      <c r="Y194" s="6">
        <f t="shared" si="59"/>
        <v>29479.625671405862</v>
      </c>
      <c r="Z194" s="6">
        <f t="shared" si="60"/>
        <v>61.722267957106709</v>
      </c>
      <c r="AA194" s="6">
        <f t="shared" si="61"/>
        <v>1.1232947483649639E-12</v>
      </c>
      <c r="AB194">
        <f t="shared" si="62"/>
        <v>0</v>
      </c>
      <c r="AD194" s="6">
        <f t="shared" si="72"/>
        <v>113673.34946553169</v>
      </c>
      <c r="AG194">
        <f t="shared" si="63"/>
        <v>81612.725283021238</v>
      </c>
      <c r="AH194">
        <f t="shared" si="64"/>
        <v>2519.2762431472138</v>
      </c>
      <c r="AI194">
        <f t="shared" si="65"/>
        <v>2.6959073960759145E-10</v>
      </c>
      <c r="AL194">
        <f t="shared" si="73"/>
        <v>0.98471159797876762</v>
      </c>
      <c r="AM194">
        <f t="shared" si="68"/>
        <v>0.87441038050408992</v>
      </c>
      <c r="AO194">
        <v>192</v>
      </c>
      <c r="AP194">
        <v>0.98845448441054795</v>
      </c>
      <c r="AQ194">
        <v>0.87304943926076595</v>
      </c>
    </row>
    <row r="195" spans="1:43" x14ac:dyDescent="0.35">
      <c r="A195" s="15" t="s">
        <v>65</v>
      </c>
      <c r="B195" t="s">
        <v>66</v>
      </c>
      <c r="N195">
        <f t="shared" si="69"/>
        <v>193</v>
      </c>
      <c r="O195" s="6">
        <f t="shared" si="70"/>
        <v>265303.36521110113</v>
      </c>
      <c r="P195">
        <f t="shared" si="74"/>
        <v>13.265168260555058</v>
      </c>
      <c r="Q195">
        <f t="shared" si="75"/>
        <v>0</v>
      </c>
      <c r="R195" s="6">
        <f t="shared" si="66"/>
        <v>552.16740914427726</v>
      </c>
      <c r="S195">
        <f t="shared" si="76"/>
        <v>3.3130044548656636</v>
      </c>
      <c r="T195">
        <f t="shared" si="77"/>
        <v>0</v>
      </c>
      <c r="U195" s="6">
        <f t="shared" si="67"/>
        <v>8.5932048249919711E-12</v>
      </c>
      <c r="V195">
        <f t="shared" si="78"/>
        <v>1.2889807237487957E-12</v>
      </c>
      <c r="W195">
        <f t="shared" si="79"/>
        <v>0</v>
      </c>
      <c r="X195">
        <f t="shared" si="71"/>
        <v>265855.53262024542</v>
      </c>
      <c r="Y195" s="6">
        <f t="shared" ref="Y195:Y258" si="80">Y194-Y194*$F$3-Q195</f>
        <v>29478.151690122293</v>
      </c>
      <c r="Z195" s="6">
        <f t="shared" ref="Z195:Z258" si="81">Z194-Z194*$F$4</f>
        <v>61.351934349364072</v>
      </c>
      <c r="AA195" s="6">
        <f t="shared" ref="AA195:AA258" si="82">AA194-AA194*$F$5</f>
        <v>9.5480053611021928E-13</v>
      </c>
      <c r="AB195">
        <f t="shared" ref="AB195:AB258" si="83">Q195+T195+W195</f>
        <v>0</v>
      </c>
      <c r="AD195" s="6">
        <f t="shared" si="72"/>
        <v>113652.30885691731</v>
      </c>
      <c r="AG195">
        <f t="shared" ref="AG195:AG258" si="84">IF(N194&lt;$H$12,AG194-AG194*($F$7+$H$7),AG194-AG194*$F$7)</f>
        <v>81608.644646757093</v>
      </c>
      <c r="AH195">
        <f t="shared" ref="AH195:AH258" si="85">IF(N194&lt;$H$12,AH194-AH194*($F$8+$H$8),AH194-AH194*$F$8)</f>
        <v>2504.1605856883307</v>
      </c>
      <c r="AI195">
        <f t="shared" ref="AI195:AI258" si="86">IF(N194&lt;$H$12,AI194-AI194*($F$9+$H$9),AI194-AI194*$F$9)</f>
        <v>2.2915212866645272E-10</v>
      </c>
      <c r="AL195">
        <f t="shared" si="73"/>
        <v>0.98465012081572378</v>
      </c>
      <c r="AM195">
        <f t="shared" si="68"/>
        <v>0.87424852966859468</v>
      </c>
      <c r="AO195">
        <v>193</v>
      </c>
      <c r="AP195">
        <v>0.98837764793527005</v>
      </c>
      <c r="AQ195">
        <v>0.87275879694124003</v>
      </c>
    </row>
    <row r="196" spans="1:43" ht="58" x14ac:dyDescent="0.35">
      <c r="A196" s="2" t="s">
        <v>0</v>
      </c>
      <c r="B196" s="2" t="s">
        <v>2</v>
      </c>
      <c r="C196" s="2" t="s">
        <v>8</v>
      </c>
      <c r="D196" s="2" t="s">
        <v>10</v>
      </c>
      <c r="E196" s="2" t="s">
        <v>13</v>
      </c>
      <c r="F196" s="2" t="s">
        <v>27</v>
      </c>
      <c r="G196" s="2" t="s">
        <v>28</v>
      </c>
      <c r="H196" s="2" t="s">
        <v>30</v>
      </c>
      <c r="I196" s="2" t="s">
        <v>32</v>
      </c>
      <c r="N196">
        <f t="shared" si="69"/>
        <v>194</v>
      </c>
      <c r="O196" s="6">
        <f t="shared" si="70"/>
        <v>265290.10004284058</v>
      </c>
      <c r="P196">
        <f t="shared" si="74"/>
        <v>13.26450500214203</v>
      </c>
      <c r="Q196">
        <f t="shared" si="75"/>
        <v>0</v>
      </c>
      <c r="R196" s="6">
        <f t="shared" ref="R196:R259" si="87">R195-(S195-T195)</f>
        <v>548.85440468941158</v>
      </c>
      <c r="S196">
        <f t="shared" si="76"/>
        <v>3.2931264281364694</v>
      </c>
      <c r="T196">
        <f t="shared" si="77"/>
        <v>0</v>
      </c>
      <c r="U196" s="6">
        <f t="shared" ref="U196:U259" si="88">U195-(V195-W195)</f>
        <v>7.3042241012431754E-12</v>
      </c>
      <c r="V196">
        <f t="shared" si="78"/>
        <v>1.0956336151864764E-12</v>
      </c>
      <c r="W196">
        <f t="shared" si="79"/>
        <v>0</v>
      </c>
      <c r="X196">
        <f t="shared" si="71"/>
        <v>265838.95444752998</v>
      </c>
      <c r="Y196" s="6">
        <f t="shared" si="80"/>
        <v>29476.677782537787</v>
      </c>
      <c r="Z196" s="6">
        <f t="shared" si="81"/>
        <v>60.983822743267886</v>
      </c>
      <c r="AA196" s="6">
        <f t="shared" si="82"/>
        <v>8.1158045569368643E-13</v>
      </c>
      <c r="AB196">
        <f t="shared" si="83"/>
        <v>0</v>
      </c>
      <c r="AD196" s="6">
        <f t="shared" si="72"/>
        <v>113631.3614419802</v>
      </c>
      <c r="AG196">
        <f t="shared" si="84"/>
        <v>81604.564214524755</v>
      </c>
      <c r="AH196">
        <f t="shared" si="85"/>
        <v>2489.1356221742008</v>
      </c>
      <c r="AI196">
        <f t="shared" si="86"/>
        <v>1.9477930936648481E-10</v>
      </c>
      <c r="AL196">
        <f t="shared" si="73"/>
        <v>0.98458872017603694</v>
      </c>
      <c r="AM196">
        <f t="shared" ref="AM196:AM259" si="89">IF(AD196/$AD$2&lt;AM195,AD196/$AD$2,AM195)</f>
        <v>0.87408739570754002</v>
      </c>
      <c r="AO196">
        <v>194</v>
      </c>
      <c r="AP196">
        <v>0.98831751504157594</v>
      </c>
      <c r="AQ196">
        <v>0.872618486855951</v>
      </c>
    </row>
    <row r="197" spans="1:43" x14ac:dyDescent="0.35">
      <c r="B197" t="s">
        <v>3</v>
      </c>
      <c r="C197" s="4">
        <v>0.70299999999999996</v>
      </c>
      <c r="D197" s="19">
        <f>C197/C200</f>
        <v>0.93733333333333324</v>
      </c>
      <c r="E197">
        <f>$A$15*C197</f>
        <v>281200</v>
      </c>
      <c r="F197" s="4">
        <v>3.0000000000000001E-5</v>
      </c>
      <c r="G197" s="4">
        <v>0.9</v>
      </c>
      <c r="H197" s="4">
        <v>0</v>
      </c>
      <c r="I197" s="4">
        <v>0</v>
      </c>
      <c r="N197">
        <f t="shared" si="69"/>
        <v>195</v>
      </c>
      <c r="O197" s="6">
        <f t="shared" si="70"/>
        <v>265276.83553783846</v>
      </c>
      <c r="P197">
        <f t="shared" si="74"/>
        <v>13.263841776891924</v>
      </c>
      <c r="Q197">
        <f t="shared" si="75"/>
        <v>0</v>
      </c>
      <c r="R197" s="6">
        <f t="shared" si="87"/>
        <v>545.56127826127511</v>
      </c>
      <c r="S197">
        <f t="shared" si="76"/>
        <v>3.2733676695676506</v>
      </c>
      <c r="T197">
        <f t="shared" si="77"/>
        <v>0</v>
      </c>
      <c r="U197" s="6">
        <f t="shared" si="88"/>
        <v>6.2085904860566989E-12</v>
      </c>
      <c r="V197">
        <f t="shared" si="78"/>
        <v>9.3128857290850487E-13</v>
      </c>
      <c r="W197">
        <f t="shared" si="79"/>
        <v>0</v>
      </c>
      <c r="X197">
        <f t="shared" si="71"/>
        <v>265822.39681609976</v>
      </c>
      <c r="Y197" s="6">
        <f t="shared" si="80"/>
        <v>29475.203948648661</v>
      </c>
      <c r="Z197" s="6">
        <f t="shared" si="81"/>
        <v>60.617919806808281</v>
      </c>
      <c r="AA197" s="6">
        <f t="shared" si="82"/>
        <v>6.8984338733963344E-13</v>
      </c>
      <c r="AB197">
        <f t="shared" si="83"/>
        <v>0</v>
      </c>
      <c r="AD197" s="6">
        <f t="shared" si="72"/>
        <v>113610.50666321081</v>
      </c>
      <c r="AG197">
        <f t="shared" si="84"/>
        <v>81600.483986314022</v>
      </c>
      <c r="AH197">
        <f t="shared" si="85"/>
        <v>2474.2008084411555</v>
      </c>
      <c r="AI197">
        <f t="shared" si="86"/>
        <v>1.6556241296151207E-10</v>
      </c>
      <c r="AL197">
        <f t="shared" si="73"/>
        <v>0.98452739561518432</v>
      </c>
      <c r="AM197">
        <f t="shared" si="89"/>
        <v>0.87392697433239086</v>
      </c>
      <c r="AO197">
        <v>195</v>
      </c>
      <c r="AP197">
        <v>0.98824401928261396</v>
      </c>
      <c r="AQ197">
        <v>0.87244811032381497</v>
      </c>
    </row>
    <row r="198" spans="1:43" x14ac:dyDescent="0.35">
      <c r="A198" t="s">
        <v>1</v>
      </c>
      <c r="B198" t="s">
        <v>5</v>
      </c>
      <c r="C198" s="4">
        <v>4.5999999999999999E-2</v>
      </c>
      <c r="D198" s="19">
        <f>C198/C200</f>
        <v>6.133333333333333E-2</v>
      </c>
      <c r="E198">
        <f>$A$15*C198</f>
        <v>18400</v>
      </c>
      <c r="F198" s="4">
        <v>1E-3</v>
      </c>
      <c r="G198" s="4">
        <v>0.9</v>
      </c>
      <c r="H198" s="4">
        <v>0</v>
      </c>
      <c r="I198" s="4">
        <v>0</v>
      </c>
      <c r="N198">
        <f t="shared" si="69"/>
        <v>196</v>
      </c>
      <c r="O198" s="6">
        <f t="shared" si="70"/>
        <v>265263.57169606158</v>
      </c>
      <c r="P198">
        <f t="shared" si="74"/>
        <v>13.263178584803081</v>
      </c>
      <c r="Q198">
        <f t="shared" si="75"/>
        <v>0</v>
      </c>
      <c r="R198" s="6">
        <f t="shared" si="87"/>
        <v>542.28791059170749</v>
      </c>
      <c r="S198">
        <f t="shared" si="76"/>
        <v>3.2537274635502449</v>
      </c>
      <c r="T198">
        <f t="shared" si="77"/>
        <v>0</v>
      </c>
      <c r="U198" s="6">
        <f t="shared" si="88"/>
        <v>5.2773019131481942E-12</v>
      </c>
      <c r="V198">
        <f t="shared" si="78"/>
        <v>7.9159528697222907E-13</v>
      </c>
      <c r="W198">
        <f t="shared" si="79"/>
        <v>0</v>
      </c>
      <c r="X198">
        <f t="shared" si="71"/>
        <v>265805.85960665328</v>
      </c>
      <c r="Y198" s="6">
        <f t="shared" si="80"/>
        <v>29473.730188451227</v>
      </c>
      <c r="Z198" s="6">
        <f t="shared" si="81"/>
        <v>60.254212287967434</v>
      </c>
      <c r="AA198" s="6">
        <f t="shared" si="82"/>
        <v>5.863668792386884E-13</v>
      </c>
      <c r="AB198">
        <f t="shared" si="83"/>
        <v>0</v>
      </c>
      <c r="AD198" s="6">
        <f t="shared" si="72"/>
        <v>113589.74396644456</v>
      </c>
      <c r="AG198">
        <f t="shared" si="84"/>
        <v>81596.403962114709</v>
      </c>
      <c r="AH198">
        <f t="shared" si="85"/>
        <v>2459.3556035905085</v>
      </c>
      <c r="AI198">
        <f t="shared" si="86"/>
        <v>1.4072805101728526E-10</v>
      </c>
      <c r="AL198">
        <f t="shared" si="73"/>
        <v>0.98446614669130839</v>
      </c>
      <c r="AM198">
        <f t="shared" si="89"/>
        <v>0.87376726128034277</v>
      </c>
      <c r="AO198">
        <v>196</v>
      </c>
      <c r="AP198">
        <v>0.98817052352365498</v>
      </c>
      <c r="AQ198">
        <v>0.87224766734483195</v>
      </c>
    </row>
    <row r="199" spans="1:43" x14ac:dyDescent="0.35">
      <c r="B199" t="s">
        <v>4</v>
      </c>
      <c r="C199" s="4">
        <v>1E-3</v>
      </c>
      <c r="D199" s="19">
        <f>C199/C200</f>
        <v>1.3333333333333333E-3</v>
      </c>
      <c r="E199">
        <f>$A$15*C199</f>
        <v>400</v>
      </c>
      <c r="F199" s="4">
        <v>8.0000000000000002E-3</v>
      </c>
      <c r="G199" s="4">
        <v>0.9</v>
      </c>
      <c r="H199" s="4">
        <v>0</v>
      </c>
      <c r="I199" s="4">
        <v>0</v>
      </c>
      <c r="N199">
        <f t="shared" si="69"/>
        <v>197</v>
      </c>
      <c r="O199" s="6">
        <f t="shared" si="70"/>
        <v>265250.30851747678</v>
      </c>
      <c r="P199">
        <f t="shared" si="74"/>
        <v>13.26251542587384</v>
      </c>
      <c r="Q199">
        <f t="shared" si="75"/>
        <v>0</v>
      </c>
      <c r="R199" s="6">
        <f t="shared" si="87"/>
        <v>539.03418312815722</v>
      </c>
      <c r="S199">
        <f t="shared" si="76"/>
        <v>3.2342050987689435</v>
      </c>
      <c r="T199">
        <f t="shared" si="77"/>
        <v>0</v>
      </c>
      <c r="U199" s="6">
        <f t="shared" si="88"/>
        <v>4.4857066261759652E-12</v>
      </c>
      <c r="V199">
        <f t="shared" si="78"/>
        <v>6.7285599392639478E-13</v>
      </c>
      <c r="W199">
        <f t="shared" si="79"/>
        <v>0</v>
      </c>
      <c r="X199">
        <f t="shared" si="71"/>
        <v>265789.34270060493</v>
      </c>
      <c r="Y199" s="6">
        <f t="shared" si="80"/>
        <v>29472.256501941803</v>
      </c>
      <c r="Z199" s="6">
        <f t="shared" si="81"/>
        <v>59.892687014239627</v>
      </c>
      <c r="AA199" s="6">
        <f t="shared" si="82"/>
        <v>4.9841184735288517E-13</v>
      </c>
      <c r="AB199">
        <f t="shared" si="83"/>
        <v>0</v>
      </c>
      <c r="AD199" s="6">
        <f t="shared" si="72"/>
        <v>113569.07280084172</v>
      </c>
      <c r="AG199">
        <f t="shared" si="84"/>
        <v>81592.324141916601</v>
      </c>
      <c r="AH199">
        <f t="shared" si="85"/>
        <v>2444.5994699689654</v>
      </c>
      <c r="AI199">
        <f t="shared" si="86"/>
        <v>1.1961884336469249E-10</v>
      </c>
      <c r="AL199">
        <f t="shared" si="73"/>
        <v>0.98440497296520346</v>
      </c>
      <c r="AM199">
        <f t="shared" si="89"/>
        <v>0.87360825231416706</v>
      </c>
      <c r="AO199">
        <v>197</v>
      </c>
      <c r="AP199">
        <v>0.988113731346276</v>
      </c>
      <c r="AQ199">
        <v>0.87205724651479799</v>
      </c>
    </row>
    <row r="200" spans="1:43" x14ac:dyDescent="0.35">
      <c r="B200" s="3" t="s">
        <v>7</v>
      </c>
      <c r="C200" s="9">
        <f>SUM(C197:C199)</f>
        <v>0.75</v>
      </c>
      <c r="D200" s="19">
        <f>SUM(D197:D199)</f>
        <v>0.99999999999999989</v>
      </c>
      <c r="E200">
        <f>A209*C200</f>
        <v>300000</v>
      </c>
      <c r="G200" s="11">
        <f>D197*G197+D198*G198+D199*G199</f>
        <v>0.89999999999999991</v>
      </c>
      <c r="N200">
        <f t="shared" si="69"/>
        <v>198</v>
      </c>
      <c r="O200" s="6">
        <f t="shared" si="70"/>
        <v>265237.04600205092</v>
      </c>
      <c r="P200">
        <f t="shared" si="74"/>
        <v>13.261852300102547</v>
      </c>
      <c r="Q200">
        <f t="shared" si="75"/>
        <v>0</v>
      </c>
      <c r="R200" s="6">
        <f t="shared" si="87"/>
        <v>535.79997802938828</v>
      </c>
      <c r="S200">
        <f t="shared" si="76"/>
        <v>3.2147998681763297</v>
      </c>
      <c r="T200">
        <f t="shared" si="77"/>
        <v>0</v>
      </c>
      <c r="U200" s="6">
        <f t="shared" si="88"/>
        <v>3.8128506322495702E-12</v>
      </c>
      <c r="V200">
        <f t="shared" si="78"/>
        <v>5.7192759483743554E-13</v>
      </c>
      <c r="W200">
        <f t="shared" si="79"/>
        <v>0</v>
      </c>
      <c r="X200">
        <f t="shared" si="71"/>
        <v>265772.84598008031</v>
      </c>
      <c r="Y200" s="6">
        <f t="shared" si="80"/>
        <v>29470.782889116705</v>
      </c>
      <c r="Z200" s="6">
        <f t="shared" si="81"/>
        <v>59.53333089215419</v>
      </c>
      <c r="AA200" s="6">
        <f t="shared" si="82"/>
        <v>4.236500702499524E-13</v>
      </c>
      <c r="AB200">
        <f t="shared" si="83"/>
        <v>0</v>
      </c>
      <c r="AD200" s="6">
        <f t="shared" si="72"/>
        <v>113548.49261886762</v>
      </c>
      <c r="AG200">
        <f t="shared" si="84"/>
        <v>81588.24452570951</v>
      </c>
      <c r="AH200">
        <f t="shared" si="85"/>
        <v>2429.9318731491517</v>
      </c>
      <c r="AI200">
        <f t="shared" si="86"/>
        <v>1.0167601685998862E-10</v>
      </c>
      <c r="AL200">
        <f t="shared" si="73"/>
        <v>0.98434387400029744</v>
      </c>
      <c r="AM200">
        <f t="shared" si="89"/>
        <v>0.8734499432220586</v>
      </c>
      <c r="AO200">
        <v>198</v>
      </c>
      <c r="AP200">
        <v>0.98805025773626398</v>
      </c>
      <c r="AQ200">
        <v>0.871876847833712</v>
      </c>
    </row>
    <row r="201" spans="1:43" x14ac:dyDescent="0.35">
      <c r="B201" t="s">
        <v>3</v>
      </c>
      <c r="C201" s="4">
        <v>0.23466666667000002</v>
      </c>
      <c r="D201" s="19">
        <f>C201/C204</f>
        <v>0.93866666667999987</v>
      </c>
      <c r="E201">
        <f>$A$15*C201</f>
        <v>93866.666668000005</v>
      </c>
      <c r="F201" s="4">
        <v>1.4999999999999999E-4</v>
      </c>
      <c r="G201" s="5" t="s">
        <v>15</v>
      </c>
      <c r="H201" s="4">
        <v>4.0000000000000001E-3</v>
      </c>
      <c r="I201" s="5" t="s">
        <v>15</v>
      </c>
      <c r="N201">
        <f t="shared" si="69"/>
        <v>199</v>
      </c>
      <c r="O201" s="6">
        <f t="shared" si="70"/>
        <v>265223.78414975083</v>
      </c>
      <c r="P201">
        <f t="shared" si="74"/>
        <v>13.261189207487542</v>
      </c>
      <c r="Q201">
        <f t="shared" si="75"/>
        <v>0</v>
      </c>
      <c r="R201" s="6">
        <f t="shared" si="87"/>
        <v>532.58517816121196</v>
      </c>
      <c r="S201">
        <f t="shared" si="76"/>
        <v>3.1955110689672717</v>
      </c>
      <c r="T201">
        <f t="shared" si="77"/>
        <v>0</v>
      </c>
      <c r="U201" s="6">
        <f t="shared" si="88"/>
        <v>3.2409230374121347E-12</v>
      </c>
      <c r="V201">
        <f t="shared" si="78"/>
        <v>4.8613845561182016E-13</v>
      </c>
      <c r="W201">
        <f t="shared" si="79"/>
        <v>0</v>
      </c>
      <c r="X201">
        <f t="shared" si="71"/>
        <v>265756.36932791205</v>
      </c>
      <c r="Y201" s="6">
        <f t="shared" si="80"/>
        <v>29469.309349972249</v>
      </c>
      <c r="Z201" s="6">
        <f t="shared" si="81"/>
        <v>59.176130906801262</v>
      </c>
      <c r="AA201" s="6">
        <f t="shared" si="82"/>
        <v>3.6010255971245951E-13</v>
      </c>
      <c r="AB201">
        <f t="shared" si="83"/>
        <v>0</v>
      </c>
      <c r="AD201" s="6">
        <f t="shared" si="72"/>
        <v>113528.00287627261</v>
      </c>
      <c r="AG201">
        <f t="shared" si="84"/>
        <v>81584.165113483221</v>
      </c>
      <c r="AH201">
        <f t="shared" si="85"/>
        <v>2415.3522819102568</v>
      </c>
      <c r="AI201">
        <f t="shared" si="86"/>
        <v>8.6424614330990323E-11</v>
      </c>
      <c r="AL201">
        <f t="shared" si="73"/>
        <v>0.98428284936263721</v>
      </c>
      <c r="AM201">
        <f t="shared" si="89"/>
        <v>0.87329232981748162</v>
      </c>
      <c r="AO201">
        <v>199</v>
      </c>
      <c r="AP201">
        <v>0.98795671767940496</v>
      </c>
      <c r="AQ201">
        <v>0.87160624981208401</v>
      </c>
    </row>
    <row r="202" spans="1:43" x14ac:dyDescent="0.35">
      <c r="A202" t="s">
        <v>6</v>
      </c>
      <c r="B202" t="s">
        <v>5</v>
      </c>
      <c r="C202" s="4">
        <v>1.4999999999999999E-2</v>
      </c>
      <c r="D202" s="19">
        <f>C202/C204</f>
        <v>5.9999999999999984E-2</v>
      </c>
      <c r="E202">
        <f>$A$15*C202</f>
        <v>6000</v>
      </c>
      <c r="F202" s="4">
        <v>2.5000000000000001E-3</v>
      </c>
      <c r="G202" s="5" t="s">
        <v>15</v>
      </c>
      <c r="H202" s="4">
        <v>5.0000000000000001E-3</v>
      </c>
      <c r="I202" s="5" t="s">
        <v>15</v>
      </c>
      <c r="N202">
        <f t="shared" si="69"/>
        <v>200</v>
      </c>
      <c r="O202" s="6">
        <f t="shared" si="70"/>
        <v>265210.52296054334</v>
      </c>
      <c r="P202">
        <f t="shared" si="74"/>
        <v>13.260526148027168</v>
      </c>
      <c r="Q202">
        <f t="shared" si="75"/>
        <v>0</v>
      </c>
      <c r="R202" s="6">
        <f t="shared" si="87"/>
        <v>529.38966709224474</v>
      </c>
      <c r="S202">
        <f t="shared" si="76"/>
        <v>3.1763380025534684</v>
      </c>
      <c r="T202">
        <f t="shared" si="77"/>
        <v>0</v>
      </c>
      <c r="U202" s="6">
        <f t="shared" si="88"/>
        <v>2.7547845818003143E-12</v>
      </c>
      <c r="V202">
        <f t="shared" si="78"/>
        <v>4.1321768727004713E-13</v>
      </c>
      <c r="W202">
        <f t="shared" si="79"/>
        <v>0</v>
      </c>
      <c r="X202">
        <f t="shared" si="71"/>
        <v>265739.91262763558</v>
      </c>
      <c r="Y202" s="6">
        <f t="shared" si="80"/>
        <v>29467.835884504751</v>
      </c>
      <c r="Z202" s="6">
        <f t="shared" si="81"/>
        <v>58.821074121360454</v>
      </c>
      <c r="AA202" s="6">
        <f t="shared" si="82"/>
        <v>3.0608717575559056E-13</v>
      </c>
      <c r="AB202">
        <f t="shared" si="83"/>
        <v>0</v>
      </c>
      <c r="AD202" s="6">
        <f t="shared" si="72"/>
        <v>113507.60303207254</v>
      </c>
      <c r="AG202">
        <f t="shared" si="84"/>
        <v>81580.085905227548</v>
      </c>
      <c r="AH202">
        <f t="shared" si="85"/>
        <v>2400.8601682187955</v>
      </c>
      <c r="AI202">
        <f t="shared" si="86"/>
        <v>7.3460922181341772E-11</v>
      </c>
      <c r="AL202">
        <f t="shared" si="73"/>
        <v>0.9842218986208725</v>
      </c>
      <c r="AM202">
        <f t="shared" si="89"/>
        <v>0.87313540793901956</v>
      </c>
      <c r="AO202">
        <v>200</v>
      </c>
      <c r="AP202">
        <v>0.98787654048781104</v>
      </c>
      <c r="AQ202">
        <v>0.87142585113100002</v>
      </c>
    </row>
    <row r="203" spans="1:43" x14ac:dyDescent="0.35">
      <c r="B203" t="s">
        <v>4</v>
      </c>
      <c r="C203" s="4">
        <v>3.3333332999999998E-4</v>
      </c>
      <c r="D203" s="19">
        <f>C203/C204</f>
        <v>1.3333333199999997E-3</v>
      </c>
      <c r="E203">
        <f>$A$15*C203</f>
        <v>133.33333199999998</v>
      </c>
      <c r="F203" s="4">
        <v>1.4999999999999999E-2</v>
      </c>
      <c r="G203" s="5" t="s">
        <v>15</v>
      </c>
      <c r="H203" s="4">
        <v>0.01</v>
      </c>
      <c r="I203" s="5" t="s">
        <v>15</v>
      </c>
      <c r="N203">
        <f t="shared" si="69"/>
        <v>201</v>
      </c>
      <c r="O203" s="6">
        <f t="shared" si="70"/>
        <v>265197.26243439532</v>
      </c>
      <c r="P203">
        <f t="shared" si="74"/>
        <v>13.259863121719766</v>
      </c>
      <c r="Q203">
        <f t="shared" si="75"/>
        <v>0</v>
      </c>
      <c r="R203" s="6">
        <f t="shared" si="87"/>
        <v>526.21332908969123</v>
      </c>
      <c r="S203">
        <f t="shared" si="76"/>
        <v>3.1572799745381475</v>
      </c>
      <c r="T203">
        <f t="shared" si="77"/>
        <v>0</v>
      </c>
      <c r="U203" s="6">
        <f t="shared" si="88"/>
        <v>2.3415668945302673E-12</v>
      </c>
      <c r="V203">
        <f t="shared" si="78"/>
        <v>3.512350341795401E-13</v>
      </c>
      <c r="W203">
        <f t="shared" si="79"/>
        <v>0</v>
      </c>
      <c r="X203">
        <f t="shared" si="71"/>
        <v>265723.47576348501</v>
      </c>
      <c r="Y203" s="6">
        <f t="shared" si="80"/>
        <v>29466.362492710527</v>
      </c>
      <c r="Z203" s="6">
        <f t="shared" si="81"/>
        <v>58.468147676632292</v>
      </c>
      <c r="AA203" s="6">
        <f t="shared" si="82"/>
        <v>2.60174099392252E-13</v>
      </c>
      <c r="AB203">
        <f t="shared" si="83"/>
        <v>0</v>
      </c>
      <c r="AD203" s="6">
        <f t="shared" si="72"/>
        <v>113487.29254852899</v>
      </c>
      <c r="AG203">
        <f t="shared" si="84"/>
        <v>81576.006900932291</v>
      </c>
      <c r="AH203">
        <f t="shared" si="85"/>
        <v>2386.4550072094826</v>
      </c>
      <c r="AI203">
        <f t="shared" si="86"/>
        <v>6.2441783854140505E-11</v>
      </c>
      <c r="AL203">
        <f t="shared" si="73"/>
        <v>0.98416102134624073</v>
      </c>
      <c r="AM203">
        <f t="shared" si="89"/>
        <v>0.87297917345022302</v>
      </c>
      <c r="AO203">
        <v>201</v>
      </c>
      <c r="AP203">
        <v>0.987826429743066</v>
      </c>
      <c r="AQ203">
        <v>0.87126549674781195</v>
      </c>
    </row>
    <row r="204" spans="1:43" ht="29" x14ac:dyDescent="0.35">
      <c r="B204" s="3" t="s">
        <v>7</v>
      </c>
      <c r="C204" s="9">
        <f>SUM(C201:C203)</f>
        <v>0.25000000000000006</v>
      </c>
      <c r="D204" s="10">
        <f>SUM(D201:D203)</f>
        <v>0.99999999999999978</v>
      </c>
      <c r="E204">
        <f>C204*A209</f>
        <v>100000.00000000003</v>
      </c>
      <c r="G204" s="5" t="s">
        <v>63</v>
      </c>
      <c r="H204">
        <f>(H201)*D201+(H202)*D202+(H203)*D203</f>
        <v>4.0679999999199993E-3</v>
      </c>
      <c r="I204" s="16" t="s">
        <v>67</v>
      </c>
      <c r="J204" s="9">
        <f>1-(POWER((1-H204),(H206-1)))</f>
        <v>0.10786366038065354</v>
      </c>
      <c r="N204">
        <f t="shared" si="69"/>
        <v>202</v>
      </c>
      <c r="O204" s="6">
        <f t="shared" si="70"/>
        <v>265184.0025712736</v>
      </c>
      <c r="P204">
        <f t="shared" si="74"/>
        <v>13.25920012856368</v>
      </c>
      <c r="Q204">
        <f t="shared" si="75"/>
        <v>0</v>
      </c>
      <c r="R204" s="6">
        <f t="shared" si="87"/>
        <v>523.05604911515309</v>
      </c>
      <c r="S204">
        <f t="shared" si="76"/>
        <v>3.1383362946909186</v>
      </c>
      <c r="T204">
        <f t="shared" si="77"/>
        <v>0</v>
      </c>
      <c r="U204" s="6">
        <f t="shared" si="88"/>
        <v>1.990331860350727E-12</v>
      </c>
      <c r="V204">
        <f t="shared" si="78"/>
        <v>2.9854977905260904E-13</v>
      </c>
      <c r="W204">
        <f t="shared" si="79"/>
        <v>0</v>
      </c>
      <c r="X204">
        <f t="shared" si="71"/>
        <v>265707.05862038874</v>
      </c>
      <c r="Y204" s="6">
        <f t="shared" si="80"/>
        <v>29464.889174585893</v>
      </c>
      <c r="Z204" s="6">
        <f t="shared" si="81"/>
        <v>58.117338790572497</v>
      </c>
      <c r="AA204" s="6">
        <f t="shared" si="82"/>
        <v>2.211479844834142E-13</v>
      </c>
      <c r="AB204">
        <f t="shared" si="83"/>
        <v>0</v>
      </c>
      <c r="AD204" s="6">
        <f t="shared" si="72"/>
        <v>113467.07089112999</v>
      </c>
      <c r="AG204">
        <f t="shared" si="84"/>
        <v>81571.928100587247</v>
      </c>
      <c r="AH204">
        <f t="shared" si="85"/>
        <v>2372.1362771662257</v>
      </c>
      <c r="AI204">
        <f t="shared" si="86"/>
        <v>5.3075516276019426E-11</v>
      </c>
      <c r="AL204">
        <f t="shared" si="73"/>
        <v>0.98410021711255091</v>
      </c>
      <c r="AM204">
        <f t="shared" si="89"/>
        <v>0.87282362223946142</v>
      </c>
      <c r="AO204">
        <v>202</v>
      </c>
      <c r="AP204">
        <v>0.98776295613305398</v>
      </c>
      <c r="AQ204">
        <v>0.871075075917777</v>
      </c>
    </row>
    <row r="205" spans="1:43" ht="29" x14ac:dyDescent="0.35">
      <c r="G205" s="5" t="s">
        <v>62</v>
      </c>
      <c r="H205">
        <f>(F201-F197+H201)*D201+(F202-F198+H202)*D202+(F203-F199+H203)*D203</f>
        <v>4.2799733331615993E-3</v>
      </c>
      <c r="I205" s="16" t="s">
        <v>56</v>
      </c>
      <c r="J205">
        <f>1-(POWER((1-H205),(H206-1)))</f>
        <v>0.11316509539282527</v>
      </c>
      <c r="N205">
        <f t="shared" si="69"/>
        <v>203</v>
      </c>
      <c r="O205" s="6">
        <f t="shared" si="70"/>
        <v>265170.74337114504</v>
      </c>
      <c r="P205">
        <f t="shared" si="74"/>
        <v>13.258537168557252</v>
      </c>
      <c r="Q205">
        <f t="shared" si="75"/>
        <v>0</v>
      </c>
      <c r="R205" s="6">
        <f t="shared" si="87"/>
        <v>519.91771282046216</v>
      </c>
      <c r="S205">
        <f t="shared" si="76"/>
        <v>3.119506276922773</v>
      </c>
      <c r="T205">
        <f t="shared" si="77"/>
        <v>0</v>
      </c>
      <c r="U205" s="6">
        <f t="shared" si="88"/>
        <v>1.6917820812981179E-12</v>
      </c>
      <c r="V205">
        <f t="shared" si="78"/>
        <v>2.537673121947177E-13</v>
      </c>
      <c r="W205">
        <f t="shared" si="79"/>
        <v>0</v>
      </c>
      <c r="X205">
        <f t="shared" si="71"/>
        <v>265690.6610839655</v>
      </c>
      <c r="Y205" s="6">
        <f t="shared" si="80"/>
        <v>29463.415930127165</v>
      </c>
      <c r="Z205" s="6">
        <f t="shared" si="81"/>
        <v>57.768634757829062</v>
      </c>
      <c r="AA205" s="6">
        <f t="shared" si="82"/>
        <v>1.8797578681090207E-13</v>
      </c>
      <c r="AB205">
        <f t="shared" si="83"/>
        <v>0</v>
      </c>
      <c r="AD205" s="6">
        <f t="shared" si="72"/>
        <v>113446.93752857049</v>
      </c>
      <c r="AG205">
        <f t="shared" si="84"/>
        <v>81567.849504182217</v>
      </c>
      <c r="AH205">
        <f t="shared" si="85"/>
        <v>2357.9034595032285</v>
      </c>
      <c r="AI205">
        <f t="shared" si="86"/>
        <v>4.5114188834616514E-11</v>
      </c>
      <c r="AL205">
        <f t="shared" si="73"/>
        <v>0.98403948549616849</v>
      </c>
      <c r="AM205">
        <f t="shared" si="89"/>
        <v>0.87266875021977297</v>
      </c>
      <c r="AO205">
        <v>203</v>
      </c>
      <c r="AP205">
        <v>0.98767609750882801</v>
      </c>
      <c r="AQ205">
        <v>0.87085458864089704</v>
      </c>
    </row>
    <row r="206" spans="1:43" x14ac:dyDescent="0.35">
      <c r="B206" s="3" t="s">
        <v>9</v>
      </c>
      <c r="C206">
        <f>C200+C204</f>
        <v>1</v>
      </c>
      <c r="E206">
        <f>E200+E204</f>
        <v>400000</v>
      </c>
      <c r="G206" s="12" t="s">
        <v>29</v>
      </c>
      <c r="H206" s="4">
        <v>29</v>
      </c>
      <c r="N206">
        <f t="shared" si="69"/>
        <v>204</v>
      </c>
      <c r="O206" s="6">
        <f t="shared" si="70"/>
        <v>265157.48483397649</v>
      </c>
      <c r="P206">
        <f t="shared" si="74"/>
        <v>13.257874241698826</v>
      </c>
      <c r="Q206">
        <f t="shared" si="75"/>
        <v>0</v>
      </c>
      <c r="R206" s="6">
        <f t="shared" si="87"/>
        <v>516.79820654353944</v>
      </c>
      <c r="S206">
        <f t="shared" si="76"/>
        <v>3.1007892392612368</v>
      </c>
      <c r="T206">
        <f t="shared" si="77"/>
        <v>0</v>
      </c>
      <c r="U206" s="6">
        <f t="shared" si="88"/>
        <v>1.4380147691034002E-12</v>
      </c>
      <c r="V206">
        <f t="shared" si="78"/>
        <v>2.1570221536551002E-13</v>
      </c>
      <c r="W206">
        <f t="shared" si="79"/>
        <v>0</v>
      </c>
      <c r="X206">
        <f t="shared" si="71"/>
        <v>265674.28304052004</v>
      </c>
      <c r="Y206" s="6">
        <f t="shared" si="80"/>
        <v>29461.942759330657</v>
      </c>
      <c r="Z206" s="6">
        <f t="shared" si="81"/>
        <v>57.422022949282088</v>
      </c>
      <c r="AA206" s="6">
        <f t="shared" si="82"/>
        <v>1.5977941878926676E-13</v>
      </c>
      <c r="AB206">
        <f t="shared" si="83"/>
        <v>0</v>
      </c>
      <c r="AD206" s="6">
        <f t="shared" si="72"/>
        <v>113426.89193273321</v>
      </c>
      <c r="AG206">
        <f t="shared" si="84"/>
        <v>81563.771111707014</v>
      </c>
      <c r="AH206">
        <f t="shared" si="85"/>
        <v>2343.756038746209</v>
      </c>
      <c r="AI206">
        <f t="shared" si="86"/>
        <v>3.8347060509424038E-11</v>
      </c>
      <c r="AL206">
        <f t="shared" si="73"/>
        <v>0.98397882607600018</v>
      </c>
      <c r="AM206">
        <f t="shared" si="89"/>
        <v>0.87251455332871697</v>
      </c>
      <c r="AO206">
        <v>204</v>
      </c>
      <c r="AP206">
        <v>0.98761596461513401</v>
      </c>
      <c r="AQ206">
        <v>0.87060403491716698</v>
      </c>
    </row>
    <row r="207" spans="1:43" x14ac:dyDescent="0.35">
      <c r="B207" s="3" t="s">
        <v>12</v>
      </c>
      <c r="C207">
        <f>1-C206</f>
        <v>0</v>
      </c>
      <c r="D207">
        <f>C201+C207</f>
        <v>0.23466666667000002</v>
      </c>
      <c r="N207">
        <f t="shared" si="69"/>
        <v>205</v>
      </c>
      <c r="O207" s="6">
        <f t="shared" si="70"/>
        <v>265144.22695973481</v>
      </c>
      <c r="P207">
        <f t="shared" si="74"/>
        <v>13.257211347986742</v>
      </c>
      <c r="Q207">
        <f t="shared" si="75"/>
        <v>0</v>
      </c>
      <c r="R207" s="6">
        <f t="shared" si="87"/>
        <v>513.69741730427825</v>
      </c>
      <c r="S207">
        <f t="shared" si="76"/>
        <v>3.0821845038256694</v>
      </c>
      <c r="T207">
        <f t="shared" si="77"/>
        <v>0</v>
      </c>
      <c r="U207" s="6">
        <f t="shared" si="88"/>
        <v>1.2223125537378902E-12</v>
      </c>
      <c r="V207">
        <f t="shared" si="78"/>
        <v>1.8334688306068353E-13</v>
      </c>
      <c r="W207">
        <f t="shared" si="79"/>
        <v>0</v>
      </c>
      <c r="X207">
        <f t="shared" si="71"/>
        <v>265657.92437703907</v>
      </c>
      <c r="Y207" s="6">
        <f t="shared" si="80"/>
        <v>29460.469662192692</v>
      </c>
      <c r="Z207" s="6">
        <f t="shared" si="81"/>
        <v>57.077490811586394</v>
      </c>
      <c r="AA207" s="6">
        <f t="shared" si="82"/>
        <v>1.3581250597087674E-13</v>
      </c>
      <c r="AB207">
        <f t="shared" si="83"/>
        <v>0</v>
      </c>
      <c r="AD207" s="6">
        <f t="shared" si="72"/>
        <v>113406.93357866946</v>
      </c>
      <c r="AG207">
        <f t="shared" si="84"/>
        <v>81559.692923151422</v>
      </c>
      <c r="AH207">
        <f t="shared" si="85"/>
        <v>2329.6935025137318</v>
      </c>
      <c r="AI207">
        <f t="shared" si="86"/>
        <v>3.2595001433010432E-11</v>
      </c>
      <c r="AL207">
        <f t="shared" si="73"/>
        <v>0.98391823843347803</v>
      </c>
      <c r="AM207">
        <f t="shared" si="89"/>
        <v>0.87236102752822664</v>
      </c>
      <c r="AO207">
        <v>205</v>
      </c>
      <c r="AP207">
        <v>0.987509061693009</v>
      </c>
      <c r="AQ207">
        <v>0.87038354764028403</v>
      </c>
    </row>
    <row r="208" spans="1:43" x14ac:dyDescent="0.35">
      <c r="A208" s="1" t="s">
        <v>11</v>
      </c>
      <c r="C208" t="s">
        <v>43</v>
      </c>
      <c r="D208" t="s">
        <v>43</v>
      </c>
      <c r="E208" t="s">
        <v>58</v>
      </c>
      <c r="N208">
        <f t="shared" si="69"/>
        <v>206</v>
      </c>
      <c r="O208" s="6">
        <f t="shared" si="70"/>
        <v>265130.96974838682</v>
      </c>
      <c r="P208">
        <f t="shared" si="74"/>
        <v>13.256548487419341</v>
      </c>
      <c r="Q208">
        <f t="shared" si="75"/>
        <v>0</v>
      </c>
      <c r="R208" s="6">
        <f t="shared" si="87"/>
        <v>510.61523280045259</v>
      </c>
      <c r="S208">
        <f t="shared" si="76"/>
        <v>3.0636913968027155</v>
      </c>
      <c r="T208">
        <f t="shared" si="77"/>
        <v>0</v>
      </c>
      <c r="U208" s="6">
        <f t="shared" si="88"/>
        <v>1.0389656706772067E-12</v>
      </c>
      <c r="V208">
        <f t="shared" si="78"/>
        <v>1.55844850601581E-13</v>
      </c>
      <c r="W208">
        <f t="shared" si="79"/>
        <v>0</v>
      </c>
      <c r="X208">
        <f t="shared" si="71"/>
        <v>265641.58498118725</v>
      </c>
      <c r="Y208" s="6">
        <f t="shared" si="80"/>
        <v>29458.996638709581</v>
      </c>
      <c r="Z208" s="6">
        <f t="shared" si="81"/>
        <v>56.735025866716875</v>
      </c>
      <c r="AA208" s="6">
        <f t="shared" si="82"/>
        <v>1.1544063007524522E-13</v>
      </c>
      <c r="AB208">
        <f t="shared" si="83"/>
        <v>0</v>
      </c>
      <c r="AD208" s="6">
        <f t="shared" si="72"/>
        <v>113387.06194458024</v>
      </c>
      <c r="AG208">
        <f t="shared" si="84"/>
        <v>81555.61493850527</v>
      </c>
      <c r="AH208">
        <f t="shared" si="85"/>
        <v>2315.7153414986492</v>
      </c>
      <c r="AI208">
        <f t="shared" si="86"/>
        <v>2.7705751218058868E-11</v>
      </c>
      <c r="AL208">
        <f t="shared" si="73"/>
        <v>0.98385772215254541</v>
      </c>
      <c r="AM208">
        <f t="shared" si="89"/>
        <v>0.87220816880446339</v>
      </c>
      <c r="AO208">
        <v>206</v>
      </c>
      <c r="AP208">
        <v>0.98743890665036305</v>
      </c>
      <c r="AQ208">
        <v>0.87011294961865604</v>
      </c>
    </row>
    <row r="209" spans="1:43" x14ac:dyDescent="0.35">
      <c r="A209">
        <v>400000</v>
      </c>
      <c r="C209">
        <f>C203/C199</f>
        <v>0.33333332999999998</v>
      </c>
      <c r="D209" s="9">
        <f>D203/D199</f>
        <v>0.99999998999999984</v>
      </c>
      <c r="E209">
        <f>(D202+D203)/(D198+D199)</f>
        <v>0.97872340404255298</v>
      </c>
      <c r="N209">
        <f t="shared" si="69"/>
        <v>207</v>
      </c>
      <c r="O209" s="6">
        <f t="shared" si="70"/>
        <v>265117.71319989942</v>
      </c>
      <c r="P209">
        <f t="shared" si="74"/>
        <v>13.255885659994972</v>
      </c>
      <c r="Q209">
        <f t="shared" si="75"/>
        <v>0</v>
      </c>
      <c r="R209" s="6">
        <f t="shared" si="87"/>
        <v>507.55154140364988</v>
      </c>
      <c r="S209">
        <f t="shared" si="76"/>
        <v>3.0453092484218995</v>
      </c>
      <c r="T209">
        <f t="shared" si="77"/>
        <v>0</v>
      </c>
      <c r="U209" s="6">
        <f t="shared" si="88"/>
        <v>8.8312082007562574E-13</v>
      </c>
      <c r="V209">
        <f t="shared" si="78"/>
        <v>1.3246812301134385E-13</v>
      </c>
      <c r="W209">
        <f t="shared" si="79"/>
        <v>0</v>
      </c>
      <c r="X209">
        <f t="shared" si="71"/>
        <v>265625.26474130305</v>
      </c>
      <c r="Y209" s="6">
        <f t="shared" si="80"/>
        <v>29457.523688877645</v>
      </c>
      <c r="Z209" s="6">
        <f t="shared" si="81"/>
        <v>56.394615711516572</v>
      </c>
      <c r="AA209" s="6">
        <f t="shared" si="82"/>
        <v>9.8124535563958441E-14</v>
      </c>
      <c r="AB209">
        <f t="shared" si="83"/>
        <v>0</v>
      </c>
      <c r="AD209" s="6">
        <f t="shared" si="72"/>
        <v>113367.2765117972</v>
      </c>
      <c r="AG209">
        <f t="shared" si="84"/>
        <v>81551.537157758343</v>
      </c>
      <c r="AH209">
        <f t="shared" si="85"/>
        <v>2301.8210494496575</v>
      </c>
      <c r="AI209">
        <f t="shared" si="86"/>
        <v>2.3549888535350038E-11</v>
      </c>
      <c r="AL209">
        <f t="shared" si="73"/>
        <v>0.98379727681964091</v>
      </c>
      <c r="AM209">
        <f t="shared" si="89"/>
        <v>0.87205597316767081</v>
      </c>
      <c r="AO209">
        <v>207</v>
      </c>
      <c r="AP209">
        <v>0.98736541089140295</v>
      </c>
      <c r="AQ209">
        <v>0.86992252878862197</v>
      </c>
    </row>
    <row r="210" spans="1:43" x14ac:dyDescent="0.35">
      <c r="N210">
        <f t="shared" si="69"/>
        <v>208</v>
      </c>
      <c r="O210" s="6">
        <f t="shared" si="70"/>
        <v>265104.45731423941</v>
      </c>
      <c r="P210">
        <f t="shared" si="74"/>
        <v>13.255222865711971</v>
      </c>
      <c r="Q210">
        <f t="shared" si="75"/>
        <v>0</v>
      </c>
      <c r="R210" s="6">
        <f t="shared" si="87"/>
        <v>504.50623215522796</v>
      </c>
      <c r="S210">
        <f t="shared" si="76"/>
        <v>3.0270373929313679</v>
      </c>
      <c r="T210">
        <f t="shared" si="77"/>
        <v>0</v>
      </c>
      <c r="U210" s="6">
        <f t="shared" si="88"/>
        <v>7.5065269706428186E-13</v>
      </c>
      <c r="V210">
        <f t="shared" si="78"/>
        <v>1.1259790455964228E-13</v>
      </c>
      <c r="W210">
        <f t="shared" si="79"/>
        <v>0</v>
      </c>
      <c r="X210">
        <f t="shared" si="71"/>
        <v>265608.96354639466</v>
      </c>
      <c r="Y210" s="6">
        <f t="shared" si="80"/>
        <v>29456.0508126932</v>
      </c>
      <c r="Z210" s="6">
        <f t="shared" si="81"/>
        <v>56.056248017247469</v>
      </c>
      <c r="AA210" s="6">
        <f t="shared" si="82"/>
        <v>8.3405855229364668E-14</v>
      </c>
      <c r="AB210">
        <f t="shared" si="83"/>
        <v>0</v>
      </c>
      <c r="AD210" s="6">
        <f t="shared" si="72"/>
        <v>113347.57676476387</v>
      </c>
      <c r="AG210">
        <f t="shared" si="84"/>
        <v>81547.459580900453</v>
      </c>
      <c r="AH210">
        <f t="shared" si="85"/>
        <v>2288.0101231529597</v>
      </c>
      <c r="AI210">
        <f t="shared" si="86"/>
        <v>2.0017405255047533E-11</v>
      </c>
      <c r="AL210">
        <f t="shared" si="73"/>
        <v>0.98373690202368391</v>
      </c>
      <c r="AM210">
        <f t="shared" si="89"/>
        <v>0.87190443665202977</v>
      </c>
      <c r="AO210">
        <v>208</v>
      </c>
      <c r="AP210">
        <v>0.98727187083454504</v>
      </c>
      <c r="AQ210">
        <v>0.86968199721384298</v>
      </c>
    </row>
    <row r="211" spans="1:43" x14ac:dyDescent="0.35">
      <c r="N211">
        <f t="shared" si="69"/>
        <v>209</v>
      </c>
      <c r="O211" s="6">
        <f t="shared" si="70"/>
        <v>265091.20209137368</v>
      </c>
      <c r="P211">
        <f t="shared" si="74"/>
        <v>13.254560104568684</v>
      </c>
      <c r="Q211">
        <f t="shared" si="75"/>
        <v>0</v>
      </c>
      <c r="R211" s="6">
        <f t="shared" si="87"/>
        <v>501.47919476229657</v>
      </c>
      <c r="S211">
        <f t="shared" si="76"/>
        <v>3.0088751685737796</v>
      </c>
      <c r="T211">
        <f t="shared" si="77"/>
        <v>0</v>
      </c>
      <c r="U211" s="6">
        <f t="shared" si="88"/>
        <v>6.3805479250463964E-13</v>
      </c>
      <c r="V211">
        <f t="shared" si="78"/>
        <v>9.5708218875695945E-14</v>
      </c>
      <c r="W211">
        <f t="shared" si="79"/>
        <v>0</v>
      </c>
      <c r="X211">
        <f t="shared" si="71"/>
        <v>265592.68128613598</v>
      </c>
      <c r="Y211" s="6">
        <f t="shared" si="80"/>
        <v>29454.578010152567</v>
      </c>
      <c r="Z211" s="6">
        <f t="shared" si="81"/>
        <v>55.719910529143988</v>
      </c>
      <c r="AA211" s="6">
        <f t="shared" si="82"/>
        <v>7.0894976944959971E-14</v>
      </c>
      <c r="AB211">
        <f t="shared" si="83"/>
        <v>0</v>
      </c>
      <c r="AD211" s="6">
        <f t="shared" si="72"/>
        <v>113327.96219101718</v>
      </c>
      <c r="AG211">
        <f t="shared" si="84"/>
        <v>81543.382207921415</v>
      </c>
      <c r="AH211">
        <f t="shared" si="85"/>
        <v>2274.2820624140418</v>
      </c>
      <c r="AI211">
        <f t="shared" si="86"/>
        <v>1.7014794466790404E-11</v>
      </c>
      <c r="AL211">
        <f t="shared" si="73"/>
        <v>0.98367659735605917</v>
      </c>
      <c r="AM211">
        <f t="shared" si="89"/>
        <v>0.87175355531551679</v>
      </c>
      <c r="AO211">
        <v>209</v>
      </c>
      <c r="AP211">
        <v>0.98718167149400204</v>
      </c>
      <c r="AQ211">
        <v>0.86949157638380803</v>
      </c>
    </row>
    <row r="212" spans="1:43" x14ac:dyDescent="0.35">
      <c r="N212">
        <f t="shared" si="69"/>
        <v>210</v>
      </c>
      <c r="O212" s="6">
        <f t="shared" si="70"/>
        <v>265077.94753126911</v>
      </c>
      <c r="P212">
        <f t="shared" si="74"/>
        <v>13.253897376563456</v>
      </c>
      <c r="Q212">
        <f t="shared" si="75"/>
        <v>0</v>
      </c>
      <c r="R212" s="6">
        <f t="shared" si="87"/>
        <v>498.47031959372282</v>
      </c>
      <c r="S212">
        <f t="shared" si="76"/>
        <v>2.9908219175623372</v>
      </c>
      <c r="T212">
        <f t="shared" si="77"/>
        <v>0</v>
      </c>
      <c r="U212" s="6">
        <f t="shared" si="88"/>
        <v>5.4234657362894374E-13</v>
      </c>
      <c r="V212">
        <f t="shared" si="78"/>
        <v>8.1351986044341554E-14</v>
      </c>
      <c r="W212">
        <f t="shared" si="79"/>
        <v>0</v>
      </c>
      <c r="X212">
        <f t="shared" si="71"/>
        <v>265576.41785086284</v>
      </c>
      <c r="Y212" s="6">
        <f t="shared" si="80"/>
        <v>29453.105281252061</v>
      </c>
      <c r="Z212" s="6">
        <f t="shared" si="81"/>
        <v>55.385591065969123</v>
      </c>
      <c r="AA212" s="6">
        <f t="shared" si="82"/>
        <v>6.0260730403215973E-14</v>
      </c>
      <c r="AB212">
        <f t="shared" si="83"/>
        <v>0</v>
      </c>
      <c r="AD212" s="6">
        <f t="shared" si="72"/>
        <v>113308.43228116861</v>
      </c>
      <c r="AG212">
        <f t="shared" si="84"/>
        <v>81539.305038811013</v>
      </c>
      <c r="AH212">
        <f t="shared" si="85"/>
        <v>2260.6363700395577</v>
      </c>
      <c r="AI212">
        <f t="shared" si="86"/>
        <v>1.4462575296771843E-11</v>
      </c>
      <c r="AL212">
        <f t="shared" si="73"/>
        <v>0.98361636241060313</v>
      </c>
      <c r="AM212">
        <f t="shared" si="89"/>
        <v>0.87160332523975859</v>
      </c>
      <c r="AO212">
        <v>210</v>
      </c>
      <c r="AP212">
        <v>0.98706140570661205</v>
      </c>
      <c r="AQ212">
        <v>0.86924102266007797</v>
      </c>
    </row>
    <row r="213" spans="1:43" x14ac:dyDescent="0.35">
      <c r="N213">
        <f t="shared" si="69"/>
        <v>211</v>
      </c>
      <c r="O213" s="6">
        <f t="shared" si="70"/>
        <v>265064.69363389252</v>
      </c>
      <c r="P213">
        <f t="shared" si="74"/>
        <v>13.253234681694627</v>
      </c>
      <c r="Q213">
        <f t="shared" si="75"/>
        <v>0</v>
      </c>
      <c r="R213" s="6">
        <f t="shared" si="87"/>
        <v>495.47949767616046</v>
      </c>
      <c r="S213">
        <f t="shared" si="76"/>
        <v>2.972876986056963</v>
      </c>
      <c r="T213">
        <f t="shared" si="77"/>
        <v>0</v>
      </c>
      <c r="U213" s="6">
        <f t="shared" si="88"/>
        <v>4.609945875846022E-13</v>
      </c>
      <c r="V213">
        <f t="shared" si="78"/>
        <v>6.9149188137690327E-14</v>
      </c>
      <c r="W213">
        <f t="shared" si="79"/>
        <v>0</v>
      </c>
      <c r="X213">
        <f t="shared" si="71"/>
        <v>265560.17313156865</v>
      </c>
      <c r="Y213" s="6">
        <f t="shared" si="80"/>
        <v>29451.632625987997</v>
      </c>
      <c r="Z213" s="6">
        <f t="shared" si="81"/>
        <v>55.053277519573307</v>
      </c>
      <c r="AA213" s="6">
        <f t="shared" si="82"/>
        <v>5.1221620842733574E-14</v>
      </c>
      <c r="AB213">
        <f t="shared" si="83"/>
        <v>0</v>
      </c>
      <c r="AD213" s="6">
        <f t="shared" si="72"/>
        <v>113288.98652888597</v>
      </c>
      <c r="AG213">
        <f t="shared" si="84"/>
        <v>81535.228073559076</v>
      </c>
      <c r="AH213">
        <f t="shared" si="85"/>
        <v>2247.0725518193203</v>
      </c>
      <c r="AI213">
        <f t="shared" si="86"/>
        <v>1.2293189002256067E-11</v>
      </c>
      <c r="AL213">
        <f t="shared" si="73"/>
        <v>0.98355619678358763</v>
      </c>
      <c r="AM213">
        <f t="shared" si="89"/>
        <v>0.87145374252989205</v>
      </c>
      <c r="AO213">
        <v>211</v>
      </c>
      <c r="AP213">
        <v>0.98699793209660103</v>
      </c>
      <c r="AQ213">
        <v>0.86903055753214598</v>
      </c>
    </row>
    <row r="214" spans="1:43" x14ac:dyDescent="0.35">
      <c r="N214">
        <f t="shared" si="69"/>
        <v>212</v>
      </c>
      <c r="O214" s="6">
        <f t="shared" si="70"/>
        <v>265051.44039921084</v>
      </c>
      <c r="P214">
        <f t="shared" si="74"/>
        <v>13.252572019960542</v>
      </c>
      <c r="Q214">
        <f t="shared" si="75"/>
        <v>0</v>
      </c>
      <c r="R214" s="6">
        <f t="shared" si="87"/>
        <v>492.50662069010349</v>
      </c>
      <c r="S214">
        <f t="shared" si="76"/>
        <v>2.955039724140621</v>
      </c>
      <c r="T214">
        <f t="shared" si="77"/>
        <v>0</v>
      </c>
      <c r="U214" s="6">
        <f t="shared" si="88"/>
        <v>3.9184539944691188E-13</v>
      </c>
      <c r="V214">
        <f t="shared" si="78"/>
        <v>5.8776809917036783E-14</v>
      </c>
      <c r="W214">
        <f t="shared" si="79"/>
        <v>0</v>
      </c>
      <c r="X214">
        <f t="shared" si="71"/>
        <v>265543.94701990095</v>
      </c>
      <c r="Y214" s="6">
        <f t="shared" si="80"/>
        <v>29450.160044356697</v>
      </c>
      <c r="Z214" s="6">
        <f t="shared" si="81"/>
        <v>54.722957854455863</v>
      </c>
      <c r="AA214" s="6">
        <f t="shared" si="82"/>
        <v>4.3538377716323534E-14</v>
      </c>
      <c r="AB214">
        <f t="shared" si="83"/>
        <v>0</v>
      </c>
      <c r="AD214" s="6">
        <f t="shared" si="72"/>
        <v>113269.62443087497</v>
      </c>
      <c r="AG214">
        <f t="shared" si="84"/>
        <v>81531.151312155402</v>
      </c>
      <c r="AH214">
        <f t="shared" si="85"/>
        <v>2233.5901165084042</v>
      </c>
      <c r="AI214">
        <f t="shared" si="86"/>
        <v>1.0449210651917657E-11</v>
      </c>
      <c r="AL214">
        <f t="shared" si="73"/>
        <v>0.98349610007370725</v>
      </c>
      <c r="AM214">
        <f t="shared" si="89"/>
        <v>0.87130480331442284</v>
      </c>
      <c r="AO214">
        <v>212</v>
      </c>
      <c r="AP214">
        <v>0.98694113991922205</v>
      </c>
      <c r="AQ214">
        <v>0.86880004810631495</v>
      </c>
    </row>
    <row r="215" spans="1:43" x14ac:dyDescent="0.35">
      <c r="N215">
        <f t="shared" si="69"/>
        <v>213</v>
      </c>
      <c r="O215" s="6">
        <f t="shared" si="70"/>
        <v>265038.18782719091</v>
      </c>
      <c r="P215">
        <f t="shared" si="74"/>
        <v>13.251909391359547</v>
      </c>
      <c r="Q215">
        <f t="shared" si="75"/>
        <v>0</v>
      </c>
      <c r="R215" s="6">
        <f t="shared" si="87"/>
        <v>489.55158096596284</v>
      </c>
      <c r="S215">
        <f t="shared" si="76"/>
        <v>2.9373094857957773</v>
      </c>
      <c r="T215">
        <f t="shared" si="77"/>
        <v>0</v>
      </c>
      <c r="U215" s="6">
        <f t="shared" si="88"/>
        <v>3.3306858952987508E-13</v>
      </c>
      <c r="V215">
        <f t="shared" si="78"/>
        <v>4.996028842948126E-14</v>
      </c>
      <c r="W215">
        <f t="shared" si="79"/>
        <v>0</v>
      </c>
      <c r="X215">
        <f t="shared" si="71"/>
        <v>265527.73940815689</v>
      </c>
      <c r="Y215" s="6">
        <f t="shared" si="80"/>
        <v>29448.687536354479</v>
      </c>
      <c r="Z215" s="6">
        <f t="shared" si="81"/>
        <v>54.394620107329125</v>
      </c>
      <c r="AA215" s="6">
        <f t="shared" si="82"/>
        <v>3.7007621058875003E-14</v>
      </c>
      <c r="AB215">
        <f t="shared" si="83"/>
        <v>0</v>
      </c>
      <c r="AD215" s="6">
        <f t="shared" si="72"/>
        <v>113250.34548686097</v>
      </c>
      <c r="AG215">
        <f t="shared" si="84"/>
        <v>81527.07475458979</v>
      </c>
      <c r="AH215">
        <f t="shared" si="85"/>
        <v>2220.188575809354</v>
      </c>
      <c r="AI215">
        <f t="shared" si="86"/>
        <v>8.881829054130008E-12</v>
      </c>
      <c r="AL215">
        <f t="shared" si="73"/>
        <v>0.98343607188206261</v>
      </c>
      <c r="AM215">
        <f t="shared" si="89"/>
        <v>0.87115650374508435</v>
      </c>
      <c r="AO215">
        <v>213</v>
      </c>
      <c r="AP215">
        <v>0.986857622011312</v>
      </c>
      <c r="AQ215">
        <v>0.86856953868048403</v>
      </c>
    </row>
    <row r="216" spans="1:43" x14ac:dyDescent="0.35">
      <c r="N216">
        <f t="shared" si="69"/>
        <v>214</v>
      </c>
      <c r="O216" s="6">
        <f t="shared" si="70"/>
        <v>265024.93591779954</v>
      </c>
      <c r="P216">
        <f t="shared" si="74"/>
        <v>13.251246795889978</v>
      </c>
      <c r="Q216">
        <f t="shared" si="75"/>
        <v>0</v>
      </c>
      <c r="R216" s="6">
        <f t="shared" si="87"/>
        <v>486.61427148016708</v>
      </c>
      <c r="S216">
        <f t="shared" si="76"/>
        <v>2.9196856288810027</v>
      </c>
      <c r="T216">
        <f t="shared" si="77"/>
        <v>0</v>
      </c>
      <c r="U216" s="6">
        <f t="shared" si="88"/>
        <v>2.8310830110039384E-13</v>
      </c>
      <c r="V216">
        <f t="shared" si="78"/>
        <v>4.2466245165059074E-14</v>
      </c>
      <c r="W216">
        <f t="shared" si="79"/>
        <v>0</v>
      </c>
      <c r="X216">
        <f t="shared" si="71"/>
        <v>265511.55018927972</v>
      </c>
      <c r="Y216" s="6">
        <f t="shared" si="80"/>
        <v>29447.215101977661</v>
      </c>
      <c r="Z216" s="6">
        <f t="shared" si="81"/>
        <v>54.068252386685153</v>
      </c>
      <c r="AA216" s="6">
        <f t="shared" si="82"/>
        <v>3.1456477900043752E-14</v>
      </c>
      <c r="AB216">
        <f t="shared" si="83"/>
        <v>0</v>
      </c>
      <c r="AD216" s="6">
        <f t="shared" si="72"/>
        <v>113231.14919957092</v>
      </c>
      <c r="AG216">
        <f t="shared" si="84"/>
        <v>81522.998400852055</v>
      </c>
      <c r="AH216">
        <f t="shared" si="85"/>
        <v>2206.8674443544978</v>
      </c>
      <c r="AI216">
        <f t="shared" si="86"/>
        <v>7.5495546960105069E-12</v>
      </c>
      <c r="AL216">
        <f t="shared" si="73"/>
        <v>0.98337611181214712</v>
      </c>
      <c r="AM216">
        <f t="shared" si="89"/>
        <v>0.87100883999669942</v>
      </c>
      <c r="AO216">
        <v>214</v>
      </c>
      <c r="AP216">
        <v>0.98678412625235001</v>
      </c>
      <c r="AQ216">
        <v>0.868429228595196</v>
      </c>
    </row>
    <row r="217" spans="1:43" x14ac:dyDescent="0.35">
      <c r="N217">
        <f t="shared" si="69"/>
        <v>215</v>
      </c>
      <c r="O217" s="6">
        <f t="shared" si="70"/>
        <v>265011.68467100366</v>
      </c>
      <c r="P217">
        <f t="shared" si="74"/>
        <v>13.250584233550184</v>
      </c>
      <c r="Q217">
        <f t="shared" si="75"/>
        <v>0</v>
      </c>
      <c r="R217" s="6">
        <f t="shared" si="87"/>
        <v>483.69458585128609</v>
      </c>
      <c r="S217">
        <f t="shared" si="76"/>
        <v>2.9021675151077164</v>
      </c>
      <c r="T217">
        <f t="shared" si="77"/>
        <v>0</v>
      </c>
      <c r="U217" s="6">
        <f t="shared" si="88"/>
        <v>2.4064205593533477E-13</v>
      </c>
      <c r="V217">
        <f t="shared" si="78"/>
        <v>3.6096308390300211E-14</v>
      </c>
      <c r="W217">
        <f t="shared" si="79"/>
        <v>0</v>
      </c>
      <c r="X217">
        <f t="shared" si="71"/>
        <v>265495.37925685494</v>
      </c>
      <c r="Y217" s="6">
        <f t="shared" si="80"/>
        <v>29445.742741222562</v>
      </c>
      <c r="Z217" s="6">
        <f t="shared" si="81"/>
        <v>53.743842872365043</v>
      </c>
      <c r="AA217" s="6">
        <f t="shared" si="82"/>
        <v>2.6738006215037192E-14</v>
      </c>
      <c r="AB217">
        <f t="shared" si="83"/>
        <v>0</v>
      </c>
      <c r="AD217" s="6">
        <f t="shared" si="72"/>
        <v>113212.0350747153</v>
      </c>
      <c r="AG217">
        <f t="shared" si="84"/>
        <v>81518.92225093201</v>
      </c>
      <c r="AH217">
        <f t="shared" si="85"/>
        <v>2193.6262396883708</v>
      </c>
      <c r="AI217">
        <f t="shared" si="86"/>
        <v>6.4171214916089309E-12</v>
      </c>
      <c r="AL217">
        <f t="shared" si="73"/>
        <v>0.98331621946983316</v>
      </c>
      <c r="AM217">
        <f t="shared" si="89"/>
        <v>0.87086180826704074</v>
      </c>
      <c r="AO217">
        <v>215</v>
      </c>
      <c r="AP217">
        <v>0.986707289777074</v>
      </c>
      <c r="AQ217">
        <v>0.86824882991411001</v>
      </c>
    </row>
    <row r="218" spans="1:43" x14ac:dyDescent="0.35">
      <c r="N218">
        <f t="shared" si="69"/>
        <v>216</v>
      </c>
      <c r="O218" s="6">
        <f t="shared" si="70"/>
        <v>264998.43408677011</v>
      </c>
      <c r="P218">
        <f t="shared" si="74"/>
        <v>13.249921704338506</v>
      </c>
      <c r="Q218">
        <f t="shared" si="75"/>
        <v>0</v>
      </c>
      <c r="R218" s="6">
        <f t="shared" si="87"/>
        <v>480.7924183361784</v>
      </c>
      <c r="S218">
        <f t="shared" si="76"/>
        <v>2.8847545100170704</v>
      </c>
      <c r="T218">
        <f t="shared" si="77"/>
        <v>0</v>
      </c>
      <c r="U218" s="6">
        <f t="shared" si="88"/>
        <v>2.0454574754503456E-13</v>
      </c>
      <c r="V218">
        <f t="shared" si="78"/>
        <v>3.0681862131755183E-14</v>
      </c>
      <c r="W218">
        <f t="shared" si="79"/>
        <v>0</v>
      </c>
      <c r="X218">
        <f t="shared" si="71"/>
        <v>265479.22650510632</v>
      </c>
      <c r="Y218" s="6">
        <f t="shared" si="80"/>
        <v>29444.270454085501</v>
      </c>
      <c r="Z218" s="6">
        <f t="shared" si="81"/>
        <v>53.421379815130855</v>
      </c>
      <c r="AA218" s="6">
        <f t="shared" si="82"/>
        <v>2.2727305282781612E-14</v>
      </c>
      <c r="AB218">
        <f t="shared" si="83"/>
        <v>0</v>
      </c>
      <c r="AD218" s="6">
        <f t="shared" si="72"/>
        <v>113193.00262097035</v>
      </c>
      <c r="AG218">
        <f t="shared" si="84"/>
        <v>81514.846304819468</v>
      </c>
      <c r="AH218">
        <f t="shared" si="85"/>
        <v>2180.4644822502405</v>
      </c>
      <c r="AI218">
        <f t="shared" si="86"/>
        <v>5.454553267867591E-12</v>
      </c>
      <c r="AL218">
        <f t="shared" si="73"/>
        <v>0.98325639446335678</v>
      </c>
      <c r="AM218">
        <f t="shared" si="89"/>
        <v>0.87071540477669496</v>
      </c>
      <c r="AO218">
        <v>216</v>
      </c>
      <c r="AP218">
        <v>0.98663045330179799</v>
      </c>
      <c r="AQ218">
        <v>0.86794816544563502</v>
      </c>
    </row>
    <row r="219" spans="1:43" x14ac:dyDescent="0.35">
      <c r="N219">
        <f t="shared" si="69"/>
        <v>217</v>
      </c>
      <c r="O219" s="6">
        <f t="shared" si="70"/>
        <v>264985.18416506576</v>
      </c>
      <c r="P219">
        <f t="shared" si="74"/>
        <v>13.249259208253289</v>
      </c>
      <c r="Q219">
        <f t="shared" si="75"/>
        <v>0</v>
      </c>
      <c r="R219" s="6">
        <f t="shared" si="87"/>
        <v>477.90766382616135</v>
      </c>
      <c r="S219">
        <f t="shared" si="76"/>
        <v>2.8674459829569683</v>
      </c>
      <c r="T219">
        <f t="shared" si="77"/>
        <v>0</v>
      </c>
      <c r="U219" s="6">
        <f t="shared" si="88"/>
        <v>1.7386388541327939E-13</v>
      </c>
      <c r="V219">
        <f t="shared" si="78"/>
        <v>2.6079582811991907E-14</v>
      </c>
      <c r="W219">
        <f t="shared" si="79"/>
        <v>0</v>
      </c>
      <c r="X219">
        <f t="shared" si="71"/>
        <v>265463.09182889195</v>
      </c>
      <c r="Y219" s="6">
        <f t="shared" si="80"/>
        <v>29442.798240562795</v>
      </c>
      <c r="Z219" s="6">
        <f t="shared" si="81"/>
        <v>53.100851536240071</v>
      </c>
      <c r="AA219" s="6">
        <f t="shared" si="82"/>
        <v>1.9318209490364371E-14</v>
      </c>
      <c r="AB219">
        <f t="shared" si="83"/>
        <v>0</v>
      </c>
      <c r="AD219" s="6">
        <f t="shared" si="72"/>
        <v>113174.05134996001</v>
      </c>
      <c r="AG219">
        <f t="shared" si="84"/>
        <v>81510.770562504229</v>
      </c>
      <c r="AH219">
        <f t="shared" si="85"/>
        <v>2167.3816953567389</v>
      </c>
      <c r="AI219">
        <f t="shared" si="86"/>
        <v>4.6363702776874522E-12</v>
      </c>
      <c r="AL219">
        <f t="shared" si="73"/>
        <v>0.98319663640330357</v>
      </c>
      <c r="AM219">
        <f t="shared" si="89"/>
        <v>0.87056962576892316</v>
      </c>
      <c r="AO219">
        <v>217</v>
      </c>
      <c r="AP219">
        <v>0.98654359467757102</v>
      </c>
      <c r="AQ219">
        <v>0.86773770031770203</v>
      </c>
    </row>
    <row r="220" spans="1:43" x14ac:dyDescent="0.35">
      <c r="N220">
        <f t="shared" si="69"/>
        <v>218</v>
      </c>
      <c r="O220" s="6">
        <f t="shared" si="70"/>
        <v>264971.93490585749</v>
      </c>
      <c r="P220">
        <f t="shared" si="74"/>
        <v>13.248596745292875</v>
      </c>
      <c r="Q220">
        <f t="shared" si="75"/>
        <v>0</v>
      </c>
      <c r="R220" s="6">
        <f t="shared" si="87"/>
        <v>475.0402178432044</v>
      </c>
      <c r="S220">
        <f t="shared" si="76"/>
        <v>2.8502413070592265</v>
      </c>
      <c r="T220">
        <f t="shared" si="77"/>
        <v>0</v>
      </c>
      <c r="U220" s="6">
        <f t="shared" si="88"/>
        <v>1.4778430260128748E-13</v>
      </c>
      <c r="V220">
        <f t="shared" si="78"/>
        <v>2.2167645390193121E-14</v>
      </c>
      <c r="W220">
        <f t="shared" si="79"/>
        <v>0</v>
      </c>
      <c r="X220">
        <f t="shared" si="71"/>
        <v>265446.97512370069</v>
      </c>
      <c r="Y220" s="6">
        <f t="shared" si="80"/>
        <v>29441.326100650767</v>
      </c>
      <c r="Z220" s="6">
        <f t="shared" si="81"/>
        <v>52.782246427022628</v>
      </c>
      <c r="AA220" s="6">
        <f t="shared" si="82"/>
        <v>1.6420478066809716E-14</v>
      </c>
      <c r="AB220">
        <f t="shared" si="83"/>
        <v>0</v>
      </c>
      <c r="AD220" s="6">
        <f t="shared" si="72"/>
        <v>113155.18077623849</v>
      </c>
      <c r="AG220">
        <f t="shared" si="84"/>
        <v>81506.695023976106</v>
      </c>
      <c r="AH220">
        <f t="shared" si="85"/>
        <v>2154.3774051845985</v>
      </c>
      <c r="AI220">
        <f t="shared" si="86"/>
        <v>3.9409147360343344E-12</v>
      </c>
      <c r="AL220">
        <f t="shared" si="73"/>
        <v>0.98313694490259518</v>
      </c>
      <c r="AM220">
        <f t="shared" si="89"/>
        <v>0.87042446750952684</v>
      </c>
      <c r="AO220">
        <v>218</v>
      </c>
      <c r="AP220">
        <v>0.98646341748597799</v>
      </c>
      <c r="AQ220">
        <v>0.86750719089187101</v>
      </c>
    </row>
    <row r="221" spans="1:43" x14ac:dyDescent="0.35">
      <c r="N221">
        <f t="shared" si="69"/>
        <v>219</v>
      </c>
      <c r="O221" s="6">
        <f t="shared" si="70"/>
        <v>264958.68630911218</v>
      </c>
      <c r="P221">
        <f t="shared" si="74"/>
        <v>13.247934315455609</v>
      </c>
      <c r="Q221">
        <f t="shared" si="75"/>
        <v>0</v>
      </c>
      <c r="R221" s="6">
        <f t="shared" si="87"/>
        <v>472.1899765361452</v>
      </c>
      <c r="S221">
        <f t="shared" si="76"/>
        <v>2.8331398592168711</v>
      </c>
      <c r="T221">
        <f t="shared" si="77"/>
        <v>0</v>
      </c>
      <c r="U221" s="6">
        <f t="shared" si="88"/>
        <v>1.2561665721109435E-13</v>
      </c>
      <c r="V221">
        <f t="shared" si="78"/>
        <v>1.8842498581664152E-14</v>
      </c>
      <c r="W221">
        <f t="shared" si="79"/>
        <v>0</v>
      </c>
      <c r="X221">
        <f t="shared" si="71"/>
        <v>265430.87628564832</v>
      </c>
      <c r="Y221" s="6">
        <f t="shared" si="80"/>
        <v>29439.854034345735</v>
      </c>
      <c r="Z221" s="6">
        <f t="shared" si="81"/>
        <v>52.465552948460491</v>
      </c>
      <c r="AA221" s="6">
        <f t="shared" si="82"/>
        <v>1.3957406356788258E-14</v>
      </c>
      <c r="AB221">
        <f t="shared" si="83"/>
        <v>0</v>
      </c>
      <c r="AD221" s="6">
        <f t="shared" si="72"/>
        <v>113136.3904172726</v>
      </c>
      <c r="AG221">
        <f t="shared" si="84"/>
        <v>81502.619689224914</v>
      </c>
      <c r="AH221">
        <f t="shared" si="85"/>
        <v>2141.451140753491</v>
      </c>
      <c r="AI221">
        <f t="shared" si="86"/>
        <v>3.3497775256291844E-12</v>
      </c>
      <c r="AL221">
        <f t="shared" si="73"/>
        <v>0.98307731957647526</v>
      </c>
      <c r="AM221">
        <f t="shared" si="89"/>
        <v>0.87027992628671236</v>
      </c>
      <c r="AO221">
        <v>219</v>
      </c>
      <c r="AP221">
        <v>0.98638658101069998</v>
      </c>
      <c r="AQ221">
        <v>0.86728670361498805</v>
      </c>
    </row>
    <row r="222" spans="1:43" x14ac:dyDescent="0.35">
      <c r="N222">
        <f t="shared" si="69"/>
        <v>220</v>
      </c>
      <c r="O222" s="6">
        <f t="shared" si="70"/>
        <v>264945.43837479671</v>
      </c>
      <c r="P222">
        <f t="shared" si="74"/>
        <v>13.247271918739836</v>
      </c>
      <c r="Q222">
        <f t="shared" si="75"/>
        <v>0</v>
      </c>
      <c r="R222" s="6">
        <f t="shared" si="87"/>
        <v>469.35683667692831</v>
      </c>
      <c r="S222">
        <f t="shared" si="76"/>
        <v>2.8161410200615697</v>
      </c>
      <c r="T222">
        <f t="shared" si="77"/>
        <v>0</v>
      </c>
      <c r="U222" s="6">
        <f t="shared" si="88"/>
        <v>1.0677415862943019E-13</v>
      </c>
      <c r="V222">
        <f t="shared" si="78"/>
        <v>1.6016123794414528E-14</v>
      </c>
      <c r="W222">
        <f t="shared" si="79"/>
        <v>0</v>
      </c>
      <c r="X222">
        <f t="shared" si="71"/>
        <v>265414.79521147365</v>
      </c>
      <c r="Y222" s="6">
        <f t="shared" si="80"/>
        <v>29438.382041644018</v>
      </c>
      <c r="Z222" s="6">
        <f t="shared" si="81"/>
        <v>52.150759630769727</v>
      </c>
      <c r="AA222" s="6">
        <f t="shared" si="82"/>
        <v>1.1863795403270019E-14</v>
      </c>
      <c r="AB222">
        <f t="shared" si="83"/>
        <v>0</v>
      </c>
      <c r="AD222" s="6">
        <f t="shared" si="72"/>
        <v>113117.67979342421</v>
      </c>
      <c r="AG222">
        <f t="shared" si="84"/>
        <v>81498.54455824045</v>
      </c>
      <c r="AH222">
        <f t="shared" si="85"/>
        <v>2128.6024339089699</v>
      </c>
      <c r="AI222">
        <f t="shared" si="86"/>
        <v>2.8473108967848067E-12</v>
      </c>
      <c r="AL222">
        <f t="shared" si="73"/>
        <v>0.98301776004249497</v>
      </c>
      <c r="AM222">
        <f t="shared" si="89"/>
        <v>0.87013599841095546</v>
      </c>
      <c r="AO222">
        <v>220</v>
      </c>
      <c r="AP222">
        <v>0.98633312954963803</v>
      </c>
      <c r="AQ222">
        <v>0.86698603914651295</v>
      </c>
    </row>
    <row r="223" spans="1:43" x14ac:dyDescent="0.35">
      <c r="N223">
        <f t="shared" si="69"/>
        <v>221</v>
      </c>
      <c r="O223" s="6">
        <f t="shared" si="70"/>
        <v>264932.19110287796</v>
      </c>
      <c r="P223">
        <f t="shared" si="74"/>
        <v>13.246609555143898</v>
      </c>
      <c r="Q223">
        <f t="shared" si="75"/>
        <v>0</v>
      </c>
      <c r="R223" s="6">
        <f t="shared" si="87"/>
        <v>466.54069565686672</v>
      </c>
      <c r="S223">
        <f t="shared" si="76"/>
        <v>2.7992441739412004</v>
      </c>
      <c r="T223">
        <f t="shared" si="77"/>
        <v>0</v>
      </c>
      <c r="U223" s="6">
        <f t="shared" si="88"/>
        <v>9.0758034835015664E-14</v>
      </c>
      <c r="V223">
        <f t="shared" si="78"/>
        <v>1.361370522525235E-14</v>
      </c>
      <c r="W223">
        <f t="shared" si="79"/>
        <v>0</v>
      </c>
      <c r="X223">
        <f t="shared" si="71"/>
        <v>265398.73179853481</v>
      </c>
      <c r="Y223" s="6">
        <f t="shared" si="80"/>
        <v>29436.910122541936</v>
      </c>
      <c r="Z223" s="6">
        <f t="shared" si="81"/>
        <v>51.837855072985107</v>
      </c>
      <c r="AA223" s="6">
        <f t="shared" si="82"/>
        <v>1.0084226092779516E-14</v>
      </c>
      <c r="AB223">
        <f t="shared" si="83"/>
        <v>0</v>
      </c>
      <c r="AD223" s="6">
        <f t="shared" si="72"/>
        <v>113099.04842793298</v>
      </c>
      <c r="AG223">
        <f t="shared" si="84"/>
        <v>81494.469631012544</v>
      </c>
      <c r="AH223">
        <f t="shared" si="85"/>
        <v>2115.8308193055163</v>
      </c>
      <c r="AI223">
        <f t="shared" si="86"/>
        <v>2.4202142622670859E-12</v>
      </c>
      <c r="AL223">
        <f t="shared" si="73"/>
        <v>0.98295826592049929</v>
      </c>
      <c r="AM223">
        <f t="shared" si="89"/>
        <v>0.86999268021486909</v>
      </c>
      <c r="AO223">
        <v>221</v>
      </c>
      <c r="AP223">
        <v>0.98626965593962801</v>
      </c>
      <c r="AQ223">
        <v>0.86674550757173296</v>
      </c>
    </row>
    <row r="224" spans="1:43" x14ac:dyDescent="0.35">
      <c r="N224">
        <f t="shared" si="69"/>
        <v>222</v>
      </c>
      <c r="O224" s="6">
        <f t="shared" si="70"/>
        <v>264918.94449332281</v>
      </c>
      <c r="P224">
        <f t="shared" si="74"/>
        <v>13.245947224666141</v>
      </c>
      <c r="Q224">
        <f t="shared" si="75"/>
        <v>0</v>
      </c>
      <c r="R224" s="6">
        <f t="shared" si="87"/>
        <v>463.74145148292553</v>
      </c>
      <c r="S224">
        <f t="shared" si="76"/>
        <v>2.7824487088975531</v>
      </c>
      <c r="T224">
        <f t="shared" si="77"/>
        <v>0</v>
      </c>
      <c r="U224" s="6">
        <f t="shared" si="88"/>
        <v>7.7144329609763312E-14</v>
      </c>
      <c r="V224">
        <f t="shared" si="78"/>
        <v>1.1571649441464496E-14</v>
      </c>
      <c r="W224">
        <f t="shared" si="79"/>
        <v>0</v>
      </c>
      <c r="X224">
        <f t="shared" si="71"/>
        <v>265382.68594480574</v>
      </c>
      <c r="Y224" s="6">
        <f t="shared" si="80"/>
        <v>29435.43827703581</v>
      </c>
      <c r="Z224" s="6">
        <f t="shared" si="81"/>
        <v>51.526827942547193</v>
      </c>
      <c r="AA224" s="6">
        <f t="shared" si="82"/>
        <v>8.5715921788625893E-15</v>
      </c>
      <c r="AB224">
        <f t="shared" si="83"/>
        <v>0</v>
      </c>
      <c r="AD224" s="6">
        <f t="shared" si="72"/>
        <v>113080.49584689904</v>
      </c>
      <c r="AG224">
        <f t="shared" si="84"/>
        <v>81490.394907530994</v>
      </c>
      <c r="AH224">
        <f t="shared" si="85"/>
        <v>2103.1358343896832</v>
      </c>
      <c r="AI224">
        <f t="shared" si="86"/>
        <v>2.0571821229270231E-12</v>
      </c>
      <c r="AL224">
        <f t="shared" si="73"/>
        <v>0.98289883683261381</v>
      </c>
      <c r="AM224">
        <f t="shared" si="89"/>
        <v>0.86984996805306947</v>
      </c>
      <c r="AO224">
        <v>222</v>
      </c>
      <c r="AP224">
        <v>0.98619281946435</v>
      </c>
      <c r="AQ224">
        <v>0.86653504244379997</v>
      </c>
    </row>
    <row r="225" spans="14:43" x14ac:dyDescent="0.35">
      <c r="N225">
        <f t="shared" si="69"/>
        <v>223</v>
      </c>
      <c r="O225" s="6">
        <f t="shared" si="70"/>
        <v>264905.69854609814</v>
      </c>
      <c r="P225">
        <f t="shared" si="74"/>
        <v>13.245284927304908</v>
      </c>
      <c r="Q225">
        <f t="shared" si="75"/>
        <v>0</v>
      </c>
      <c r="R225" s="6">
        <f t="shared" si="87"/>
        <v>460.95900277402797</v>
      </c>
      <c r="S225">
        <f t="shared" si="76"/>
        <v>2.7657540166441676</v>
      </c>
      <c r="T225">
        <f t="shared" si="77"/>
        <v>0</v>
      </c>
      <c r="U225" s="6">
        <f t="shared" si="88"/>
        <v>6.5572680168298819E-14</v>
      </c>
      <c r="V225">
        <f t="shared" si="78"/>
        <v>9.8359020252448222E-15</v>
      </c>
      <c r="W225">
        <f t="shared" si="79"/>
        <v>0</v>
      </c>
      <c r="X225">
        <f t="shared" si="71"/>
        <v>265366.65754887217</v>
      </c>
      <c r="Y225" s="6">
        <f t="shared" si="80"/>
        <v>29433.966505121956</v>
      </c>
      <c r="Z225" s="6">
        <f t="shared" si="81"/>
        <v>51.217666974891912</v>
      </c>
      <c r="AA225" s="6">
        <f t="shared" si="82"/>
        <v>7.2858533520332007E-15</v>
      </c>
      <c r="AB225">
        <f t="shared" si="83"/>
        <v>0</v>
      </c>
      <c r="AD225" s="6">
        <f t="shared" si="72"/>
        <v>113062.02157926581</v>
      </c>
      <c r="AG225">
        <f t="shared" si="84"/>
        <v>81486.320387785614</v>
      </c>
      <c r="AH225">
        <f t="shared" si="85"/>
        <v>2090.5170193833451</v>
      </c>
      <c r="AI225">
        <f t="shared" si="86"/>
        <v>1.7486048044879698E-12</v>
      </c>
      <c r="AL225">
        <f t="shared" si="73"/>
        <v>0.98283947240323022</v>
      </c>
      <c r="AM225">
        <f t="shared" si="89"/>
        <v>0.86970785830204467</v>
      </c>
      <c r="AO225">
        <v>223</v>
      </c>
      <c r="AP225">
        <v>0.98605919081169402</v>
      </c>
      <c r="AQ225">
        <v>0.86626444442217199</v>
      </c>
    </row>
    <row r="226" spans="14:43" x14ac:dyDescent="0.35">
      <c r="N226">
        <f t="shared" si="69"/>
        <v>224</v>
      </c>
      <c r="O226" s="6">
        <f t="shared" si="70"/>
        <v>264892.45326117083</v>
      </c>
      <c r="P226">
        <f t="shared" si="74"/>
        <v>13.244622663058543</v>
      </c>
      <c r="Q226">
        <f t="shared" si="75"/>
        <v>0</v>
      </c>
      <c r="R226" s="6">
        <f t="shared" si="87"/>
        <v>458.1932487573838</v>
      </c>
      <c r="S226">
        <f t="shared" si="76"/>
        <v>2.7491594925443028</v>
      </c>
      <c r="T226">
        <f t="shared" si="77"/>
        <v>0</v>
      </c>
      <c r="U226" s="6">
        <f t="shared" si="88"/>
        <v>5.5736778143053996E-14</v>
      </c>
      <c r="V226">
        <f t="shared" si="78"/>
        <v>8.3605167214580992E-15</v>
      </c>
      <c r="W226">
        <f t="shared" si="79"/>
        <v>0</v>
      </c>
      <c r="X226">
        <f t="shared" si="71"/>
        <v>265350.64650992822</v>
      </c>
      <c r="Y226" s="6">
        <f t="shared" si="80"/>
        <v>29432.494806796702</v>
      </c>
      <c r="Z226" s="6">
        <f t="shared" si="81"/>
        <v>50.910360973042557</v>
      </c>
      <c r="AA226" s="6">
        <f t="shared" si="82"/>
        <v>6.1929753492282203E-15</v>
      </c>
      <c r="AB226">
        <f t="shared" si="83"/>
        <v>0</v>
      </c>
      <c r="AD226" s="6">
        <f t="shared" si="72"/>
        <v>113043.625156803</v>
      </c>
      <c r="AG226">
        <f t="shared" si="84"/>
        <v>81482.246071766218</v>
      </c>
      <c r="AH226">
        <f t="shared" si="85"/>
        <v>2077.9739172670452</v>
      </c>
      <c r="AI226">
        <f t="shared" si="86"/>
        <v>1.4863140838147744E-12</v>
      </c>
      <c r="AL226">
        <f t="shared" si="73"/>
        <v>0.98278017225899339</v>
      </c>
      <c r="AM226">
        <f t="shared" si="89"/>
        <v>0.86956634736002303</v>
      </c>
      <c r="AO226">
        <v>224</v>
      </c>
      <c r="AP226">
        <v>0.98596899147115202</v>
      </c>
      <c r="AQ226">
        <v>0.865993846400544</v>
      </c>
    </row>
    <row r="227" spans="14:43" x14ac:dyDescent="0.35">
      <c r="N227">
        <f t="shared" si="69"/>
        <v>225</v>
      </c>
      <c r="O227" s="6">
        <f t="shared" si="70"/>
        <v>264879.20863850776</v>
      </c>
      <c r="P227">
        <f t="shared" si="74"/>
        <v>13.243960431925389</v>
      </c>
      <c r="Q227">
        <f t="shared" si="75"/>
        <v>0</v>
      </c>
      <c r="R227" s="6">
        <f t="shared" si="87"/>
        <v>455.44408926483948</v>
      </c>
      <c r="S227">
        <f t="shared" si="76"/>
        <v>2.7326645355890369</v>
      </c>
      <c r="T227">
        <f t="shared" si="77"/>
        <v>0</v>
      </c>
      <c r="U227" s="6">
        <f t="shared" si="88"/>
        <v>4.73762614215959E-14</v>
      </c>
      <c r="V227">
        <f t="shared" si="78"/>
        <v>7.1064392132393844E-15</v>
      </c>
      <c r="W227">
        <f t="shared" si="79"/>
        <v>0</v>
      </c>
      <c r="X227">
        <f t="shared" si="71"/>
        <v>265334.6527277726</v>
      </c>
      <c r="Y227" s="6">
        <f t="shared" si="80"/>
        <v>29431.02318205636</v>
      </c>
      <c r="Z227" s="6">
        <f t="shared" si="81"/>
        <v>50.6048988072043</v>
      </c>
      <c r="AA227" s="6">
        <f t="shared" si="82"/>
        <v>5.2640290468439875E-15</v>
      </c>
      <c r="AB227">
        <f t="shared" si="83"/>
        <v>0</v>
      </c>
      <c r="AD227" s="6">
        <f t="shared" si="72"/>
        <v>113025.30611408965</v>
      </c>
      <c r="AG227">
        <f t="shared" si="84"/>
        <v>81478.171959462634</v>
      </c>
      <c r="AH227">
        <f t="shared" si="85"/>
        <v>2065.5060737634431</v>
      </c>
      <c r="AI227">
        <f t="shared" si="86"/>
        <v>1.2633669712425583E-12</v>
      </c>
      <c r="AL227">
        <f t="shared" si="73"/>
        <v>0.98272093602878741</v>
      </c>
      <c r="AM227">
        <f t="shared" si="89"/>
        <v>0.86942543164684338</v>
      </c>
      <c r="AO227">
        <v>225</v>
      </c>
      <c r="AP227">
        <v>0.98589883642850795</v>
      </c>
      <c r="AQ227">
        <v>0.86569318193207001</v>
      </c>
    </row>
    <row r="228" spans="14:43" x14ac:dyDescent="0.35">
      <c r="N228">
        <f t="shared" si="69"/>
        <v>226</v>
      </c>
      <c r="O228" s="6">
        <f t="shared" si="70"/>
        <v>264865.9646780758</v>
      </c>
      <c r="P228">
        <f t="shared" si="74"/>
        <v>13.243298233903792</v>
      </c>
      <c r="Q228">
        <f t="shared" si="75"/>
        <v>0</v>
      </c>
      <c r="R228" s="6">
        <f t="shared" si="87"/>
        <v>452.71142472925044</v>
      </c>
      <c r="S228">
        <f t="shared" si="76"/>
        <v>2.7162685483755027</v>
      </c>
      <c r="T228">
        <f t="shared" si="77"/>
        <v>0</v>
      </c>
      <c r="U228" s="6">
        <f t="shared" si="88"/>
        <v>4.0269822208356513E-14</v>
      </c>
      <c r="V228">
        <f t="shared" si="78"/>
        <v>6.0404733312534766E-15</v>
      </c>
      <c r="W228">
        <f t="shared" si="79"/>
        <v>0</v>
      </c>
      <c r="X228">
        <f t="shared" si="71"/>
        <v>265318.67610280507</v>
      </c>
      <c r="Y228" s="6">
        <f t="shared" si="80"/>
        <v>29429.551630897258</v>
      </c>
      <c r="Z228" s="6">
        <f t="shared" si="81"/>
        <v>50.301269414361073</v>
      </c>
      <c r="AA228" s="6">
        <f t="shared" si="82"/>
        <v>4.4744246898173895E-15</v>
      </c>
      <c r="AB228">
        <f t="shared" si="83"/>
        <v>0</v>
      </c>
      <c r="AD228" s="6">
        <f t="shared" si="72"/>
        <v>113007.06398849715</v>
      </c>
      <c r="AG228">
        <f t="shared" si="84"/>
        <v>81474.098050864661</v>
      </c>
      <c r="AH228">
        <f t="shared" si="85"/>
        <v>2053.1130373208625</v>
      </c>
      <c r="AI228">
        <f t="shared" si="86"/>
        <v>1.0738619255561745E-12</v>
      </c>
      <c r="AL228">
        <f t="shared" si="73"/>
        <v>0.98266176334372246</v>
      </c>
      <c r="AM228">
        <f t="shared" si="89"/>
        <v>0.86928510760382416</v>
      </c>
      <c r="AO228">
        <v>226</v>
      </c>
      <c r="AP228">
        <v>0.98582199995323105</v>
      </c>
      <c r="AQ228">
        <v>0.86547269465518695</v>
      </c>
    </row>
    <row r="229" spans="14:43" x14ac:dyDescent="0.35">
      <c r="N229">
        <f t="shared" ref="N229:N292" si="90">N228+1</f>
        <v>227</v>
      </c>
      <c r="O229" s="6">
        <f t="shared" si="70"/>
        <v>264852.72137984191</v>
      </c>
      <c r="P229">
        <f t="shared" si="74"/>
        <v>13.242636068992097</v>
      </c>
      <c r="Q229">
        <f t="shared" si="75"/>
        <v>0</v>
      </c>
      <c r="R229" s="6">
        <f t="shared" si="87"/>
        <v>449.99515618087491</v>
      </c>
      <c r="S229">
        <f t="shared" si="76"/>
        <v>2.6999709370852494</v>
      </c>
      <c r="T229">
        <f t="shared" si="77"/>
        <v>0</v>
      </c>
      <c r="U229" s="6">
        <f t="shared" si="88"/>
        <v>3.4229348877103038E-14</v>
      </c>
      <c r="V229">
        <f t="shared" si="78"/>
        <v>5.1344023315654554E-15</v>
      </c>
      <c r="W229">
        <f t="shared" si="79"/>
        <v>0</v>
      </c>
      <c r="X229">
        <f t="shared" si="71"/>
        <v>265302.71653602278</v>
      </c>
      <c r="Y229" s="6">
        <f t="shared" si="80"/>
        <v>29428.080153315714</v>
      </c>
      <c r="Z229" s="6">
        <f t="shared" si="81"/>
        <v>49.999461797874908</v>
      </c>
      <c r="AA229" s="6">
        <f t="shared" si="82"/>
        <v>3.8032609863447815E-15</v>
      </c>
      <c r="AB229">
        <f t="shared" si="83"/>
        <v>0</v>
      </c>
      <c r="AD229" s="6">
        <f t="shared" si="72"/>
        <v>112988.89832017264</v>
      </c>
      <c r="AG229">
        <f t="shared" si="84"/>
        <v>81470.024345962112</v>
      </c>
      <c r="AH229">
        <f t="shared" si="85"/>
        <v>2040.7943590969373</v>
      </c>
      <c r="AI229">
        <f t="shared" si="86"/>
        <v>9.1278263672274828E-13</v>
      </c>
      <c r="AL229">
        <f t="shared" si="73"/>
        <v>0.98260265383712142</v>
      </c>
      <c r="AM229">
        <f t="shared" si="89"/>
        <v>0.8691453716936357</v>
      </c>
      <c r="AO229">
        <v>227</v>
      </c>
      <c r="AP229">
        <v>0.98572511918005501</v>
      </c>
      <c r="AQ229">
        <v>0.86521211878250803</v>
      </c>
    </row>
    <row r="230" spans="14:43" x14ac:dyDescent="0.35">
      <c r="N230">
        <f t="shared" si="90"/>
        <v>228</v>
      </c>
      <c r="O230" s="6">
        <f t="shared" si="70"/>
        <v>264839.4787437729</v>
      </c>
      <c r="P230">
        <f t="shared" si="74"/>
        <v>13.241973937188645</v>
      </c>
      <c r="Q230">
        <f t="shared" si="75"/>
        <v>0</v>
      </c>
      <c r="R230" s="6">
        <f t="shared" si="87"/>
        <v>447.29518524378966</v>
      </c>
      <c r="S230">
        <f t="shared" si="76"/>
        <v>2.6837711114627378</v>
      </c>
      <c r="T230">
        <f t="shared" si="77"/>
        <v>0</v>
      </c>
      <c r="U230" s="6">
        <f t="shared" si="88"/>
        <v>2.9094946545537584E-14</v>
      </c>
      <c r="V230">
        <f t="shared" si="78"/>
        <v>4.3642419818306375E-15</v>
      </c>
      <c r="W230">
        <f t="shared" si="79"/>
        <v>0</v>
      </c>
      <c r="X230">
        <f t="shared" si="71"/>
        <v>265286.77392901666</v>
      </c>
      <c r="Y230" s="6">
        <f t="shared" si="80"/>
        <v>29426.608749308049</v>
      </c>
      <c r="Z230" s="6">
        <f t="shared" si="81"/>
        <v>49.699465027087655</v>
      </c>
      <c r="AA230" s="6">
        <f t="shared" si="82"/>
        <v>3.2327718383930642E-15</v>
      </c>
      <c r="AB230">
        <f t="shared" si="83"/>
        <v>0</v>
      </c>
      <c r="AD230" s="6">
        <f t="shared" si="72"/>
        <v>112970.8086520223</v>
      </c>
      <c r="AG230">
        <f t="shared" si="84"/>
        <v>81465.950844744817</v>
      </c>
      <c r="AH230">
        <f t="shared" si="85"/>
        <v>2028.5495929423557</v>
      </c>
      <c r="AI230">
        <f t="shared" si="86"/>
        <v>7.7586524121433608E-13</v>
      </c>
      <c r="AL230">
        <f t="shared" si="73"/>
        <v>0.98254360714450617</v>
      </c>
      <c r="AM230">
        <f t="shared" si="89"/>
        <v>0.8690062204001715</v>
      </c>
      <c r="AO230">
        <v>228</v>
      </c>
      <c r="AP230">
        <v>0.98564160127214495</v>
      </c>
      <c r="AQ230">
        <v>0.86498160935667801</v>
      </c>
    </row>
    <row r="231" spans="14:43" x14ac:dyDescent="0.35">
      <c r="N231">
        <f t="shared" si="90"/>
        <v>229</v>
      </c>
      <c r="O231" s="6">
        <f t="shared" si="70"/>
        <v>264826.2367698357</v>
      </c>
      <c r="P231">
        <f t="shared" si="74"/>
        <v>13.241311838491786</v>
      </c>
      <c r="Q231">
        <f t="shared" si="75"/>
        <v>0</v>
      </c>
      <c r="R231" s="6">
        <f t="shared" si="87"/>
        <v>444.6114141323269</v>
      </c>
      <c r="S231">
        <f t="shared" si="76"/>
        <v>2.6676684847939613</v>
      </c>
      <c r="T231">
        <f t="shared" si="77"/>
        <v>0</v>
      </c>
      <c r="U231" s="6">
        <f t="shared" si="88"/>
        <v>2.4730704563706947E-14</v>
      </c>
      <c r="V231">
        <f t="shared" si="78"/>
        <v>3.7096056845560416E-15</v>
      </c>
      <c r="W231">
        <f t="shared" si="79"/>
        <v>0</v>
      </c>
      <c r="X231">
        <f t="shared" si="71"/>
        <v>265270.84818396805</v>
      </c>
      <c r="Y231" s="6">
        <f t="shared" si="80"/>
        <v>29425.137418870585</v>
      </c>
      <c r="Z231" s="6">
        <f t="shared" si="81"/>
        <v>49.401268236925127</v>
      </c>
      <c r="AA231" s="6">
        <f t="shared" si="82"/>
        <v>2.7478560626341047E-15</v>
      </c>
      <c r="AB231">
        <f t="shared" si="83"/>
        <v>0</v>
      </c>
      <c r="AD231" s="6">
        <f t="shared" si="72"/>
        <v>112952.79452969477</v>
      </c>
      <c r="AG231">
        <f t="shared" si="84"/>
        <v>81461.877547202574</v>
      </c>
      <c r="AH231">
        <f t="shared" si="85"/>
        <v>2016.3782953847017</v>
      </c>
      <c r="AI231">
        <f t="shared" si="86"/>
        <v>6.5948545503218562E-13</v>
      </c>
      <c r="AL231">
        <f t="shared" si="73"/>
        <v>0.9824846229035854</v>
      </c>
      <c r="AM231">
        <f t="shared" si="89"/>
        <v>0.86886765022842138</v>
      </c>
      <c r="AO231">
        <v>229</v>
      </c>
      <c r="AP231">
        <v>0.98556142408055203</v>
      </c>
      <c r="AQ231">
        <v>0.86474107778189702</v>
      </c>
    </row>
    <row r="232" spans="14:43" x14ac:dyDescent="0.35">
      <c r="N232">
        <f t="shared" si="90"/>
        <v>230</v>
      </c>
      <c r="O232" s="6">
        <f t="shared" si="70"/>
        <v>264812.9954579972</v>
      </c>
      <c r="P232">
        <f t="shared" si="74"/>
        <v>13.240649772899861</v>
      </c>
      <c r="Q232">
        <f t="shared" si="75"/>
        <v>0</v>
      </c>
      <c r="R232" s="6">
        <f t="shared" si="87"/>
        <v>441.94374564753292</v>
      </c>
      <c r="S232">
        <f t="shared" si="76"/>
        <v>2.6516624738851977</v>
      </c>
      <c r="T232">
        <f t="shared" si="77"/>
        <v>0</v>
      </c>
      <c r="U232" s="6">
        <f t="shared" si="88"/>
        <v>2.1021098879150907E-14</v>
      </c>
      <c r="V232">
        <f t="shared" si="78"/>
        <v>3.1531648318726359E-15</v>
      </c>
      <c r="W232">
        <f t="shared" si="79"/>
        <v>0</v>
      </c>
      <c r="X232">
        <f t="shared" si="71"/>
        <v>265254.93920364475</v>
      </c>
      <c r="Y232" s="6">
        <f t="shared" si="80"/>
        <v>29423.666161999641</v>
      </c>
      <c r="Z232" s="6">
        <f t="shared" si="81"/>
        <v>49.104860627503577</v>
      </c>
      <c r="AA232" s="6">
        <f t="shared" si="82"/>
        <v>2.3356776532389893E-15</v>
      </c>
      <c r="AB232">
        <f t="shared" si="83"/>
        <v>0</v>
      </c>
      <c r="AD232" s="6">
        <f t="shared" si="72"/>
        <v>112934.85550156474</v>
      </c>
      <c r="AG232">
        <f t="shared" si="84"/>
        <v>81457.80445332521</v>
      </c>
      <c r="AH232">
        <f t="shared" si="85"/>
        <v>2004.2800256123935</v>
      </c>
      <c r="AI232">
        <f t="shared" si="86"/>
        <v>5.6056263677735776E-13</v>
      </c>
      <c r="AL232">
        <f t="shared" si="73"/>
        <v>0.98242570075423985</v>
      </c>
      <c r="AM232">
        <f t="shared" si="89"/>
        <v>0.86872965770434418</v>
      </c>
      <c r="AO232">
        <v>230</v>
      </c>
      <c r="AP232">
        <v>0.98550797261948997</v>
      </c>
      <c r="AQ232">
        <v>0.86455065695186395</v>
      </c>
    </row>
    <row r="233" spans="14:43" x14ac:dyDescent="0.35">
      <c r="N233">
        <f t="shared" si="90"/>
        <v>231</v>
      </c>
      <c r="O233" s="6">
        <f t="shared" si="70"/>
        <v>264799.75480822427</v>
      </c>
      <c r="P233">
        <f t="shared" si="74"/>
        <v>13.239987740411214</v>
      </c>
      <c r="Q233">
        <f t="shared" si="75"/>
        <v>0</v>
      </c>
      <c r="R233" s="6">
        <f t="shared" si="87"/>
        <v>439.29208317364771</v>
      </c>
      <c r="S233">
        <f t="shared" si="76"/>
        <v>2.6357524990418861</v>
      </c>
      <c r="T233">
        <f t="shared" si="77"/>
        <v>0</v>
      </c>
      <c r="U233" s="6">
        <f t="shared" si="88"/>
        <v>1.7867934047278271E-14</v>
      </c>
      <c r="V233">
        <f t="shared" si="78"/>
        <v>2.6801901070917407E-15</v>
      </c>
      <c r="W233">
        <f t="shared" si="79"/>
        <v>0</v>
      </c>
      <c r="X233">
        <f t="shared" si="71"/>
        <v>265239.04689139791</v>
      </c>
      <c r="Y233" s="6">
        <f t="shared" si="80"/>
        <v>29422.194978691543</v>
      </c>
      <c r="Z233" s="6">
        <f t="shared" si="81"/>
        <v>48.810231463738553</v>
      </c>
      <c r="AA233" s="6">
        <f t="shared" si="82"/>
        <v>1.9853260052531409E-15</v>
      </c>
      <c r="AB233">
        <f t="shared" si="83"/>
        <v>0</v>
      </c>
      <c r="AD233" s="6">
        <f t="shared" si="72"/>
        <v>112916.99111871654</v>
      </c>
      <c r="AG233">
        <f t="shared" si="84"/>
        <v>81453.731563102541</v>
      </c>
      <c r="AH233">
        <f t="shared" si="85"/>
        <v>1992.2543454587192</v>
      </c>
      <c r="AI233">
        <f t="shared" si="86"/>
        <v>4.7647824126075414E-13</v>
      </c>
      <c r="AL233">
        <f t="shared" si="73"/>
        <v>0.98236684033851074</v>
      </c>
      <c r="AM233">
        <f t="shared" si="89"/>
        <v>0.86859223937474261</v>
      </c>
      <c r="AO233">
        <v>231</v>
      </c>
      <c r="AP233">
        <v>0.98544115829316103</v>
      </c>
      <c r="AQ233">
        <v>0.86429008107918504</v>
      </c>
    </row>
    <row r="234" spans="14:43" x14ac:dyDescent="0.35">
      <c r="N234">
        <f t="shared" si="90"/>
        <v>232</v>
      </c>
      <c r="O234" s="6">
        <f t="shared" si="70"/>
        <v>264786.51482048386</v>
      </c>
      <c r="P234">
        <f t="shared" si="74"/>
        <v>13.239325741024194</v>
      </c>
      <c r="Q234">
        <f t="shared" si="75"/>
        <v>0</v>
      </c>
      <c r="R234" s="6">
        <f t="shared" si="87"/>
        <v>436.65633067460584</v>
      </c>
      <c r="S234">
        <f t="shared" si="76"/>
        <v>2.6199379840476351</v>
      </c>
      <c r="T234">
        <f t="shared" si="77"/>
        <v>0</v>
      </c>
      <c r="U234" s="6">
        <f t="shared" si="88"/>
        <v>1.518774394018653E-14</v>
      </c>
      <c r="V234">
        <f t="shared" si="78"/>
        <v>2.2781615910279793E-15</v>
      </c>
      <c r="W234">
        <f t="shared" si="79"/>
        <v>0</v>
      </c>
      <c r="X234">
        <f t="shared" si="71"/>
        <v>265223.17115115846</v>
      </c>
      <c r="Y234" s="6">
        <f t="shared" si="80"/>
        <v>29420.723868942609</v>
      </c>
      <c r="Z234" s="6">
        <f t="shared" si="81"/>
        <v>48.517370074956119</v>
      </c>
      <c r="AA234" s="6">
        <f t="shared" si="82"/>
        <v>1.6875271044651698E-15</v>
      </c>
      <c r="AB234">
        <f t="shared" si="83"/>
        <v>0</v>
      </c>
      <c r="AD234" s="6">
        <f t="shared" si="72"/>
        <v>112899.20093492791</v>
      </c>
      <c r="AG234">
        <f t="shared" si="84"/>
        <v>81449.65887652438</v>
      </c>
      <c r="AH234">
        <f t="shared" si="85"/>
        <v>1980.3008193859669</v>
      </c>
      <c r="AI234">
        <f t="shared" si="86"/>
        <v>4.0500650507164104E-13</v>
      </c>
      <c r="AL234">
        <f t="shared" si="73"/>
        <v>0.98230804130058691</v>
      </c>
      <c r="AM234">
        <f t="shared" si="89"/>
        <v>0.86845539180713782</v>
      </c>
      <c r="AO234">
        <v>232</v>
      </c>
      <c r="AP234">
        <v>0.98535429966893495</v>
      </c>
      <c r="AQ234">
        <v>0.86412972669599797</v>
      </c>
    </row>
    <row r="235" spans="14:43" x14ac:dyDescent="0.35">
      <c r="N235">
        <f t="shared" si="90"/>
        <v>233</v>
      </c>
      <c r="O235" s="6">
        <f t="shared" si="70"/>
        <v>264773.27549474285</v>
      </c>
      <c r="P235">
        <f t="shared" si="74"/>
        <v>13.238663774737143</v>
      </c>
      <c r="Q235">
        <f t="shared" si="75"/>
        <v>0</v>
      </c>
      <c r="R235" s="6">
        <f t="shared" si="87"/>
        <v>434.03639269055822</v>
      </c>
      <c r="S235">
        <f t="shared" si="76"/>
        <v>2.6042183561433494</v>
      </c>
      <c r="T235">
        <f t="shared" si="77"/>
        <v>0</v>
      </c>
      <c r="U235" s="6">
        <f t="shared" si="88"/>
        <v>1.290958234915855E-14</v>
      </c>
      <c r="V235">
        <f t="shared" si="78"/>
        <v>1.9364373523737823E-15</v>
      </c>
      <c r="W235">
        <f t="shared" si="79"/>
        <v>0</v>
      </c>
      <c r="X235">
        <f t="shared" si="71"/>
        <v>265207.3118874334</v>
      </c>
      <c r="Y235" s="6">
        <f t="shared" si="80"/>
        <v>29419.25283274916</v>
      </c>
      <c r="Z235" s="6">
        <f t="shared" si="81"/>
        <v>48.22626585450638</v>
      </c>
      <c r="AA235" s="6">
        <f t="shared" si="82"/>
        <v>1.4343980387953944E-15</v>
      </c>
      <c r="AB235">
        <f t="shared" si="83"/>
        <v>0</v>
      </c>
      <c r="AD235" s="6">
        <f t="shared" si="72"/>
        <v>112881.48450665387</v>
      </c>
      <c r="AG235">
        <f t="shared" si="84"/>
        <v>81445.586393580554</v>
      </c>
      <c r="AH235">
        <f t="shared" si="85"/>
        <v>1968.4190144696511</v>
      </c>
      <c r="AI235">
        <f t="shared" si="86"/>
        <v>3.4425552931089491E-13</v>
      </c>
      <c r="AL235">
        <f t="shared" si="73"/>
        <v>0.98224930328679039</v>
      </c>
      <c r="AM235">
        <f t="shared" si="89"/>
        <v>0.86831911158964514</v>
      </c>
      <c r="AO235">
        <v>233</v>
      </c>
      <c r="AP235">
        <v>0.98526410032839196</v>
      </c>
      <c r="AQ235">
        <v>0.86379899578067498</v>
      </c>
    </row>
    <row r="236" spans="14:43" x14ac:dyDescent="0.35">
      <c r="N236">
        <f t="shared" si="90"/>
        <v>234</v>
      </c>
      <c r="O236" s="6">
        <f t="shared" si="70"/>
        <v>264760.03683096811</v>
      </c>
      <c r="P236">
        <f t="shared" si="74"/>
        <v>13.238001841548407</v>
      </c>
      <c r="Q236">
        <f t="shared" si="75"/>
        <v>0</v>
      </c>
      <c r="R236" s="6">
        <f t="shared" si="87"/>
        <v>431.43217433441487</v>
      </c>
      <c r="S236">
        <f t="shared" si="76"/>
        <v>2.5885930460064892</v>
      </c>
      <c r="T236">
        <f t="shared" si="77"/>
        <v>0</v>
      </c>
      <c r="U236" s="6">
        <f t="shared" si="88"/>
        <v>1.0973144996784768E-14</v>
      </c>
      <c r="V236">
        <f t="shared" si="78"/>
        <v>1.6459717495177152E-15</v>
      </c>
      <c r="W236">
        <f t="shared" si="79"/>
        <v>0</v>
      </c>
      <c r="X236">
        <f t="shared" si="71"/>
        <v>265191.46900530253</v>
      </c>
      <c r="Y236" s="6">
        <f t="shared" si="80"/>
        <v>29417.781870107523</v>
      </c>
      <c r="Z236" s="6">
        <f t="shared" si="81"/>
        <v>47.936908259379344</v>
      </c>
      <c r="AA236" s="6">
        <f t="shared" si="82"/>
        <v>1.2192383329760852E-15</v>
      </c>
      <c r="AB236">
        <f t="shared" si="83"/>
        <v>0</v>
      </c>
      <c r="AD236" s="6">
        <f t="shared" si="72"/>
        <v>112863.84139301062</v>
      </c>
      <c r="AG236">
        <f t="shared" si="84"/>
        <v>81441.514114260877</v>
      </c>
      <c r="AH236">
        <f t="shared" si="85"/>
        <v>1956.6085003828332</v>
      </c>
      <c r="AI236">
        <f t="shared" si="86"/>
        <v>2.9261719991426066E-13</v>
      </c>
      <c r="AL236">
        <f t="shared" si="73"/>
        <v>0.98219062594556494</v>
      </c>
      <c r="AM236">
        <f t="shared" si="89"/>
        <v>0.86818339533085087</v>
      </c>
      <c r="AO236">
        <v>234</v>
      </c>
      <c r="AP236">
        <v>0.98517724170416598</v>
      </c>
      <c r="AQ236">
        <v>0.86355846420589399</v>
      </c>
    </row>
    <row r="237" spans="14:43" x14ac:dyDescent="0.35">
      <c r="N237">
        <f t="shared" si="90"/>
        <v>235</v>
      </c>
      <c r="O237" s="6">
        <f t="shared" si="70"/>
        <v>264746.79882912658</v>
      </c>
      <c r="P237">
        <f t="shared" si="74"/>
        <v>13.23733994145633</v>
      </c>
      <c r="Q237">
        <f t="shared" si="75"/>
        <v>0</v>
      </c>
      <c r="R237" s="6">
        <f t="shared" si="87"/>
        <v>428.84358128840836</v>
      </c>
      <c r="S237">
        <f t="shared" si="76"/>
        <v>2.5730614877304503</v>
      </c>
      <c r="T237">
        <f t="shared" si="77"/>
        <v>0</v>
      </c>
      <c r="U237" s="6">
        <f t="shared" si="88"/>
        <v>9.3271732472670536E-15</v>
      </c>
      <c r="V237">
        <f t="shared" si="78"/>
        <v>1.399075987090058E-15</v>
      </c>
      <c r="W237">
        <f t="shared" si="79"/>
        <v>0</v>
      </c>
      <c r="X237">
        <f t="shared" si="71"/>
        <v>265175.64241041499</v>
      </c>
      <c r="Y237" s="6">
        <f t="shared" si="80"/>
        <v>29416.310981014016</v>
      </c>
      <c r="Z237" s="6">
        <f t="shared" si="81"/>
        <v>47.649286809823067</v>
      </c>
      <c r="AA237" s="6">
        <f t="shared" si="82"/>
        <v>1.0363525830296725E-15</v>
      </c>
      <c r="AB237">
        <f t="shared" si="83"/>
        <v>0</v>
      </c>
      <c r="AD237" s="6">
        <f t="shared" si="72"/>
        <v>112846.27115575955</v>
      </c>
      <c r="AG237">
        <f t="shared" si="84"/>
        <v>81437.442038555164</v>
      </c>
      <c r="AH237">
        <f t="shared" si="85"/>
        <v>1944.8688493805362</v>
      </c>
      <c r="AI237">
        <f t="shared" si="86"/>
        <v>2.4872461992712155E-13</v>
      </c>
      <c r="AL237">
        <f t="shared" si="73"/>
        <v>0.98213200892746289</v>
      </c>
      <c r="AM237">
        <f t="shared" si="89"/>
        <v>0.8680482396596888</v>
      </c>
      <c r="AO237">
        <v>235</v>
      </c>
      <c r="AP237">
        <v>0.98508036093099205</v>
      </c>
      <c r="AQ237">
        <v>0.86326782188636797</v>
      </c>
    </row>
    <row r="238" spans="14:43" x14ac:dyDescent="0.35">
      <c r="N238">
        <f t="shared" si="90"/>
        <v>236</v>
      </c>
      <c r="O238" s="6">
        <f t="shared" si="70"/>
        <v>264733.56148918514</v>
      </c>
      <c r="P238">
        <f t="shared" si="74"/>
        <v>13.236678074459258</v>
      </c>
      <c r="Q238">
        <f t="shared" si="75"/>
        <v>0</v>
      </c>
      <c r="R238" s="6">
        <f t="shared" si="87"/>
        <v>426.2705198006779</v>
      </c>
      <c r="S238">
        <f t="shared" si="76"/>
        <v>2.5576231188040675</v>
      </c>
      <c r="T238">
        <f t="shared" si="77"/>
        <v>0</v>
      </c>
      <c r="U238" s="6">
        <f t="shared" si="88"/>
        <v>7.928097260176996E-15</v>
      </c>
      <c r="V238">
        <f t="shared" si="78"/>
        <v>1.1892145890265494E-15</v>
      </c>
      <c r="W238">
        <f t="shared" si="79"/>
        <v>0</v>
      </c>
      <c r="X238">
        <f t="shared" si="71"/>
        <v>265159.8320089858</v>
      </c>
      <c r="Y238" s="6">
        <f t="shared" si="80"/>
        <v>29414.840165464964</v>
      </c>
      <c r="Z238" s="6">
        <f t="shared" si="81"/>
        <v>47.363391088964129</v>
      </c>
      <c r="AA238" s="6">
        <f t="shared" si="82"/>
        <v>8.8089969557522163E-16</v>
      </c>
      <c r="AB238">
        <f t="shared" si="83"/>
        <v>0</v>
      </c>
      <c r="AD238" s="6">
        <f t="shared" si="72"/>
        <v>112828.77335929142</v>
      </c>
      <c r="AG238">
        <f t="shared" si="84"/>
        <v>81433.370166453242</v>
      </c>
      <c r="AH238">
        <f t="shared" si="85"/>
        <v>1933.1996362842528</v>
      </c>
      <c r="AI238">
        <f t="shared" si="86"/>
        <v>2.1141592693805332E-13</v>
      </c>
      <c r="AL238">
        <f t="shared" si="73"/>
        <v>0.98207345188513262</v>
      </c>
      <c r="AM238">
        <f t="shared" si="89"/>
        <v>0.86791364122531856</v>
      </c>
      <c r="AO238">
        <v>236</v>
      </c>
      <c r="AP238">
        <v>0.98498682087413303</v>
      </c>
      <c r="AQ238">
        <v>0.86301726816264002</v>
      </c>
    </row>
    <row r="239" spans="14:43" x14ac:dyDescent="0.35">
      <c r="N239">
        <f t="shared" si="90"/>
        <v>237</v>
      </c>
      <c r="O239" s="6">
        <f t="shared" si="70"/>
        <v>264720.32481111068</v>
      </c>
      <c r="P239">
        <f t="shared" si="74"/>
        <v>13.236016240555534</v>
      </c>
      <c r="Q239">
        <f t="shared" si="75"/>
        <v>0</v>
      </c>
      <c r="R239" s="6">
        <f t="shared" si="87"/>
        <v>423.71289668187381</v>
      </c>
      <c r="S239">
        <f t="shared" si="76"/>
        <v>2.5422773800912428</v>
      </c>
      <c r="T239">
        <f t="shared" si="77"/>
        <v>0</v>
      </c>
      <c r="U239" s="6">
        <f t="shared" si="88"/>
        <v>6.738882671150447E-15</v>
      </c>
      <c r="V239">
        <f t="shared" si="78"/>
        <v>1.0108324006725671E-15</v>
      </c>
      <c r="W239">
        <f t="shared" si="79"/>
        <v>0</v>
      </c>
      <c r="X239">
        <f t="shared" si="71"/>
        <v>265144.03770779254</v>
      </c>
      <c r="Y239" s="6">
        <f t="shared" si="80"/>
        <v>29413.36942345669</v>
      </c>
      <c r="Z239" s="6">
        <f t="shared" si="81"/>
        <v>47.079210742430341</v>
      </c>
      <c r="AA239" s="6">
        <f t="shared" si="82"/>
        <v>7.4876474123893839E-16</v>
      </c>
      <c r="AB239">
        <f t="shared" si="83"/>
        <v>0</v>
      </c>
      <c r="AD239" s="6">
        <f t="shared" si="72"/>
        <v>112811.3475706106</v>
      </c>
      <c r="AG239">
        <f t="shared" si="84"/>
        <v>81429.298497944925</v>
      </c>
      <c r="AH239">
        <f t="shared" si="85"/>
        <v>1921.6004384665473</v>
      </c>
      <c r="AI239">
        <f t="shared" si="86"/>
        <v>1.7970353789734533E-13</v>
      </c>
      <c r="AL239">
        <f t="shared" si="73"/>
        <v>0.98201495447330567</v>
      </c>
      <c r="AM239">
        <f t="shared" si="89"/>
        <v>0.86777959669700455</v>
      </c>
      <c r="AO239">
        <v>237</v>
      </c>
      <c r="AP239">
        <v>0.98491666583148696</v>
      </c>
      <c r="AQ239">
        <v>0.86276671443890895</v>
      </c>
    </row>
    <row r="240" spans="14:43" x14ac:dyDescent="0.35">
      <c r="N240">
        <f t="shared" si="90"/>
        <v>238</v>
      </c>
      <c r="O240" s="6">
        <f t="shared" si="70"/>
        <v>264707.08879487013</v>
      </c>
      <c r="P240">
        <f t="shared" si="74"/>
        <v>13.235354439743507</v>
      </c>
      <c r="Q240">
        <f t="shared" si="75"/>
        <v>0</v>
      </c>
      <c r="R240" s="6">
        <f t="shared" si="87"/>
        <v>421.17061930178255</v>
      </c>
      <c r="S240">
        <f t="shared" si="76"/>
        <v>2.5270237158106954</v>
      </c>
      <c r="T240">
        <f t="shared" si="77"/>
        <v>0</v>
      </c>
      <c r="U240" s="6">
        <f t="shared" si="88"/>
        <v>5.7280502704778797E-15</v>
      </c>
      <c r="V240">
        <f t="shared" si="78"/>
        <v>8.5920754057168194E-16</v>
      </c>
      <c r="W240">
        <f t="shared" si="79"/>
        <v>0</v>
      </c>
      <c r="X240">
        <f t="shared" si="71"/>
        <v>265128.25941417192</v>
      </c>
      <c r="Y240" s="6">
        <f t="shared" si="80"/>
        <v>29411.898754985516</v>
      </c>
      <c r="Z240" s="6">
        <f t="shared" si="81"/>
        <v>46.796735477975758</v>
      </c>
      <c r="AA240" s="6">
        <f t="shared" si="82"/>
        <v>6.3645003005309765E-16</v>
      </c>
      <c r="AB240">
        <f t="shared" si="83"/>
        <v>0</v>
      </c>
      <c r="AD240" s="6">
        <f t="shared" si="72"/>
        <v>112793.99335931927</v>
      </c>
      <c r="AG240">
        <f t="shared" si="84"/>
        <v>81425.227033020026</v>
      </c>
      <c r="AH240">
        <f t="shared" si="85"/>
        <v>1910.0708358357481</v>
      </c>
      <c r="AI240">
        <f t="shared" si="86"/>
        <v>1.5274800721274353E-13</v>
      </c>
      <c r="AL240">
        <f t="shared" si="73"/>
        <v>0.98195651634878489</v>
      </c>
      <c r="AM240">
        <f t="shared" si="89"/>
        <v>0.86764610276399434</v>
      </c>
      <c r="AO240">
        <v>238</v>
      </c>
      <c r="AP240">
        <v>0.98483982935621095</v>
      </c>
      <c r="AQ240">
        <v>0.86255624931097696</v>
      </c>
    </row>
    <row r="241" spans="14:43" x14ac:dyDescent="0.35">
      <c r="N241">
        <f t="shared" si="90"/>
        <v>239</v>
      </c>
      <c r="O241" s="6">
        <f t="shared" si="70"/>
        <v>264693.85344043036</v>
      </c>
      <c r="P241">
        <f t="shared" si="74"/>
        <v>13.234692672021518</v>
      </c>
      <c r="Q241">
        <f t="shared" si="75"/>
        <v>0</v>
      </c>
      <c r="R241" s="6">
        <f t="shared" si="87"/>
        <v>418.64359558597187</v>
      </c>
      <c r="S241">
        <f t="shared" si="76"/>
        <v>2.5118615735158314</v>
      </c>
      <c r="T241">
        <f t="shared" si="77"/>
        <v>0</v>
      </c>
      <c r="U241" s="6">
        <f t="shared" si="88"/>
        <v>4.8688427299061981E-15</v>
      </c>
      <c r="V241">
        <f t="shared" si="78"/>
        <v>7.3032640948592965E-16</v>
      </c>
      <c r="W241">
        <f t="shared" si="79"/>
        <v>0</v>
      </c>
      <c r="X241">
        <f t="shared" si="71"/>
        <v>265112.49703601631</v>
      </c>
      <c r="Y241" s="6">
        <f t="shared" si="80"/>
        <v>29410.428160047766</v>
      </c>
      <c r="Z241" s="6">
        <f t="shared" si="81"/>
        <v>46.515955065107903</v>
      </c>
      <c r="AA241" s="6">
        <f t="shared" si="82"/>
        <v>5.4098252554513297E-16</v>
      </c>
      <c r="AB241">
        <f t="shared" si="83"/>
        <v>0</v>
      </c>
      <c r="AD241" s="6">
        <f t="shared" si="72"/>
        <v>112776.71029760198</v>
      </c>
      <c r="AG241">
        <f t="shared" si="84"/>
        <v>81421.155771668375</v>
      </c>
      <c r="AH241">
        <f t="shared" si="85"/>
        <v>1898.6104108207337</v>
      </c>
      <c r="AI241">
        <f t="shared" si="86"/>
        <v>1.29835806130832E-13</v>
      </c>
      <c r="AL241">
        <f t="shared" si="73"/>
        <v>0.98189813717043084</v>
      </c>
      <c r="AM241">
        <f t="shared" si="89"/>
        <v>0.86751315613539981</v>
      </c>
      <c r="AO241">
        <v>239</v>
      </c>
      <c r="AP241">
        <v>0.98476299288093405</v>
      </c>
      <c r="AQ241">
        <v>0.86229567343829805</v>
      </c>
    </row>
    <row r="242" spans="14:43" x14ac:dyDescent="0.35">
      <c r="N242">
        <f t="shared" si="90"/>
        <v>240</v>
      </c>
      <c r="O242" s="6">
        <f t="shared" si="70"/>
        <v>264680.61874775833</v>
      </c>
      <c r="P242">
        <f t="shared" si="74"/>
        <v>13.234030937387917</v>
      </c>
      <c r="Q242">
        <f t="shared" si="75"/>
        <v>0</v>
      </c>
      <c r="R242" s="6">
        <f t="shared" si="87"/>
        <v>416.13173401245604</v>
      </c>
      <c r="S242">
        <f t="shared" si="76"/>
        <v>2.4967904040747362</v>
      </c>
      <c r="T242">
        <f t="shared" si="77"/>
        <v>0</v>
      </c>
      <c r="U242" s="6">
        <f t="shared" si="88"/>
        <v>4.1385163204202687E-15</v>
      </c>
      <c r="V242">
        <f t="shared" si="78"/>
        <v>6.2077744806304027E-16</v>
      </c>
      <c r="W242">
        <f t="shared" si="79"/>
        <v>0</v>
      </c>
      <c r="X242">
        <f t="shared" si="71"/>
        <v>265096.75048177078</v>
      </c>
      <c r="Y242" s="6">
        <f t="shared" si="80"/>
        <v>29408.957638639764</v>
      </c>
      <c r="Z242" s="6">
        <f t="shared" si="81"/>
        <v>46.236859334717252</v>
      </c>
      <c r="AA242" s="6">
        <f t="shared" si="82"/>
        <v>4.5983514671336297E-16</v>
      </c>
      <c r="AB242">
        <f t="shared" si="83"/>
        <v>0</v>
      </c>
      <c r="AD242" s="6">
        <f t="shared" si="72"/>
        <v>112759.49796021008</v>
      </c>
      <c r="AG242">
        <f t="shared" si="84"/>
        <v>81417.084713879798</v>
      </c>
      <c r="AH242">
        <f t="shared" si="85"/>
        <v>1887.2187483558093</v>
      </c>
      <c r="AI242">
        <f t="shared" si="86"/>
        <v>1.1036043521120721E-13</v>
      </c>
      <c r="AL242">
        <f t="shared" si="73"/>
        <v>0.98183981659915109</v>
      </c>
      <c r="AM242">
        <f t="shared" si="89"/>
        <v>0.86738075354007749</v>
      </c>
      <c r="AO242">
        <v>240</v>
      </c>
      <c r="AP242">
        <v>0.98470285998723905</v>
      </c>
      <c r="AQ242">
        <v>0.86201505326772099</v>
      </c>
    </row>
    <row r="243" spans="14:43" x14ac:dyDescent="0.35">
      <c r="N243">
        <f t="shared" si="90"/>
        <v>241</v>
      </c>
      <c r="O243" s="6">
        <f t="shared" si="70"/>
        <v>264667.38471682096</v>
      </c>
      <c r="P243">
        <f t="shared" si="74"/>
        <v>13.23336923584105</v>
      </c>
      <c r="Q243">
        <f t="shared" si="75"/>
        <v>0</v>
      </c>
      <c r="R243" s="6">
        <f t="shared" si="87"/>
        <v>413.63494360838132</v>
      </c>
      <c r="S243">
        <f t="shared" si="76"/>
        <v>2.481809661650288</v>
      </c>
      <c r="T243">
        <f t="shared" si="77"/>
        <v>0</v>
      </c>
      <c r="U243" s="6">
        <f t="shared" si="88"/>
        <v>3.5177388723572285E-15</v>
      </c>
      <c r="V243">
        <f t="shared" si="78"/>
        <v>5.2766083085358421E-16</v>
      </c>
      <c r="W243">
        <f t="shared" si="79"/>
        <v>0</v>
      </c>
      <c r="X243">
        <f t="shared" si="71"/>
        <v>265081.01966042933</v>
      </c>
      <c r="Y243" s="6">
        <f t="shared" si="80"/>
        <v>29407.487190757831</v>
      </c>
      <c r="Z243" s="6">
        <f t="shared" si="81"/>
        <v>45.95943817870895</v>
      </c>
      <c r="AA243" s="6">
        <f t="shared" si="82"/>
        <v>3.9085987470635854E-16</v>
      </c>
      <c r="AB243">
        <f t="shared" si="83"/>
        <v>0</v>
      </c>
      <c r="AD243" s="6">
        <f t="shared" si="72"/>
        <v>112742.35592444632</v>
      </c>
      <c r="AG243">
        <f t="shared" si="84"/>
        <v>81413.01385964411</v>
      </c>
      <c r="AH243">
        <f t="shared" si="85"/>
        <v>1875.8954358656745</v>
      </c>
      <c r="AI243">
        <f t="shared" si="86"/>
        <v>9.3806369929526124E-14</v>
      </c>
      <c r="AL243">
        <f t="shared" si="73"/>
        <v>0.98178155429788638</v>
      </c>
      <c r="AM243">
        <f t="shared" si="89"/>
        <v>0.86724889172651021</v>
      </c>
      <c r="AO243">
        <v>241</v>
      </c>
      <c r="AP243">
        <v>0.98466611210775801</v>
      </c>
      <c r="AQ243">
        <v>0.86181461028873796</v>
      </c>
    </row>
    <row r="244" spans="14:43" x14ac:dyDescent="0.35">
      <c r="N244">
        <f t="shared" si="90"/>
        <v>242</v>
      </c>
      <c r="O244" s="6">
        <f t="shared" ref="O244:O307" si="91">O243-(P243-Q243)</f>
        <v>264654.15134758514</v>
      </c>
      <c r="P244">
        <f t="shared" si="74"/>
        <v>13.232707567379258</v>
      </c>
      <c r="Q244">
        <f t="shared" si="75"/>
        <v>0</v>
      </c>
      <c r="R244" s="6">
        <f t="shared" si="87"/>
        <v>411.15313394673103</v>
      </c>
      <c r="S244">
        <f t="shared" si="76"/>
        <v>2.4669188036803864</v>
      </c>
      <c r="T244">
        <f t="shared" si="77"/>
        <v>0</v>
      </c>
      <c r="U244" s="6">
        <f t="shared" si="88"/>
        <v>2.990078041503644E-15</v>
      </c>
      <c r="V244">
        <f t="shared" si="78"/>
        <v>4.4851170622554655E-16</v>
      </c>
      <c r="W244">
        <f t="shared" si="79"/>
        <v>0</v>
      </c>
      <c r="X244">
        <f t="shared" ref="X244:X307" si="92">O244+R244+U244-$J$57</f>
        <v>265065.30448153184</v>
      </c>
      <c r="Y244" s="6">
        <f t="shared" si="80"/>
        <v>29406.016816398293</v>
      </c>
      <c r="Z244" s="6">
        <f t="shared" si="81"/>
        <v>45.683681549636695</v>
      </c>
      <c r="AA244" s="6">
        <f t="shared" si="82"/>
        <v>3.3223089350040477E-16</v>
      </c>
      <c r="AB244">
        <f t="shared" si="83"/>
        <v>0</v>
      </c>
      <c r="AD244" s="6">
        <f t="shared" ref="AD244:AD307" si="93">Y244+Z244+AA244+AG244+AH244+AI244-AB244+$M$59</f>
        <v>112725.28377014953</v>
      </c>
      <c r="AG244">
        <f t="shared" si="84"/>
        <v>81408.943208951125</v>
      </c>
      <c r="AH244">
        <f t="shared" si="85"/>
        <v>1864.6400632504804</v>
      </c>
      <c r="AI244">
        <f t="shared" si="86"/>
        <v>7.9735414440097208E-14</v>
      </c>
      <c r="AL244">
        <f t="shared" ref="AL244:AL307" si="94">X244/$X$2</f>
        <v>0.98172334993159938</v>
      </c>
      <c r="AM244">
        <f t="shared" si="89"/>
        <v>0.86711756746268864</v>
      </c>
      <c r="AO244">
        <v>242</v>
      </c>
      <c r="AP244">
        <v>0.98460263849774599</v>
      </c>
      <c r="AQ244">
        <v>0.86155403441605904</v>
      </c>
    </row>
    <row r="245" spans="14:43" x14ac:dyDescent="0.35">
      <c r="N245">
        <f t="shared" si="90"/>
        <v>243</v>
      </c>
      <c r="O245" s="6">
        <f t="shared" si="91"/>
        <v>264640.91864001774</v>
      </c>
      <c r="P245">
        <f t="shared" si="74"/>
        <v>13.232045932000888</v>
      </c>
      <c r="Q245">
        <f t="shared" si="75"/>
        <v>0</v>
      </c>
      <c r="R245" s="6">
        <f t="shared" si="87"/>
        <v>408.68621514305062</v>
      </c>
      <c r="S245">
        <f t="shared" si="76"/>
        <v>2.4521172908583035</v>
      </c>
      <c r="T245">
        <f t="shared" si="77"/>
        <v>0</v>
      </c>
      <c r="U245" s="6">
        <f t="shared" si="88"/>
        <v>2.5415663352780974E-15</v>
      </c>
      <c r="V245">
        <f t="shared" si="78"/>
        <v>3.8123495029171458E-16</v>
      </c>
      <c r="W245">
        <f t="shared" si="79"/>
        <v>0</v>
      </c>
      <c r="X245">
        <f t="shared" si="92"/>
        <v>265049.60485516081</v>
      </c>
      <c r="Y245" s="6">
        <f t="shared" si="80"/>
        <v>29404.546515557471</v>
      </c>
      <c r="Z245" s="6">
        <f t="shared" si="81"/>
        <v>45.409579460338875</v>
      </c>
      <c r="AA245" s="6">
        <f t="shared" si="82"/>
        <v>2.8239625947534404E-16</v>
      </c>
      <c r="AB245">
        <f t="shared" si="83"/>
        <v>0</v>
      </c>
      <c r="AD245" s="6">
        <f t="shared" si="93"/>
        <v>112708.28107967948</v>
      </c>
      <c r="AG245">
        <f t="shared" si="84"/>
        <v>81404.872761790684</v>
      </c>
      <c r="AH245">
        <f t="shared" si="85"/>
        <v>1853.4522228709775</v>
      </c>
      <c r="AI245">
        <f t="shared" si="86"/>
        <v>6.7775102274082629E-14</v>
      </c>
      <c r="AL245">
        <f t="shared" si="94"/>
        <v>0.98166520316726225</v>
      </c>
      <c r="AM245">
        <f t="shared" si="89"/>
        <v>0.86698677753599596</v>
      </c>
      <c r="AO245">
        <v>243</v>
      </c>
      <c r="AP245">
        <v>0.98451577987352101</v>
      </c>
      <c r="AQ245">
        <v>0.86138365788392302</v>
      </c>
    </row>
    <row r="246" spans="14:43" x14ac:dyDescent="0.35">
      <c r="N246">
        <f t="shared" si="90"/>
        <v>244</v>
      </c>
      <c r="O246" s="6">
        <f t="shared" si="91"/>
        <v>264627.68659408577</v>
      </c>
      <c r="P246">
        <f t="shared" si="74"/>
        <v>13.231384329704289</v>
      </c>
      <c r="Q246">
        <f t="shared" si="75"/>
        <v>0</v>
      </c>
      <c r="R246" s="6">
        <f t="shared" si="87"/>
        <v>406.23409785219229</v>
      </c>
      <c r="S246">
        <f t="shared" si="76"/>
        <v>2.437404587113154</v>
      </c>
      <c r="T246">
        <f t="shared" si="77"/>
        <v>0</v>
      </c>
      <c r="U246" s="6">
        <f t="shared" si="88"/>
        <v>2.160331384986383E-15</v>
      </c>
      <c r="V246">
        <f t="shared" si="78"/>
        <v>3.2404970774795744E-16</v>
      </c>
      <c r="W246">
        <f t="shared" si="79"/>
        <v>0</v>
      </c>
      <c r="X246">
        <f t="shared" si="92"/>
        <v>265033.92069193796</v>
      </c>
      <c r="Y246" s="6">
        <f t="shared" si="80"/>
        <v>29403.076288231692</v>
      </c>
      <c r="Z246" s="6">
        <f t="shared" si="81"/>
        <v>45.13712198357684</v>
      </c>
      <c r="AA246" s="6">
        <f t="shared" si="82"/>
        <v>2.4003682055404244E-16</v>
      </c>
      <c r="AB246">
        <f t="shared" si="83"/>
        <v>0</v>
      </c>
      <c r="AD246" s="6">
        <f t="shared" si="93"/>
        <v>112691.3474379016</v>
      </c>
      <c r="AG246">
        <f t="shared" si="84"/>
        <v>81400.802518152588</v>
      </c>
      <c r="AH246">
        <f t="shared" si="85"/>
        <v>1842.3315095337516</v>
      </c>
      <c r="AI246">
        <f t="shared" si="86"/>
        <v>5.7608836932970231E-14</v>
      </c>
      <c r="AL246">
        <f t="shared" si="94"/>
        <v>0.98160711367384434</v>
      </c>
      <c r="AM246">
        <f t="shared" si="89"/>
        <v>0.86685651875308922</v>
      </c>
      <c r="AO246">
        <v>244</v>
      </c>
      <c r="AP246">
        <v>0.98440219551876296</v>
      </c>
      <c r="AQ246">
        <v>0.86117319275599102</v>
      </c>
    </row>
    <row r="247" spans="14:43" x14ac:dyDescent="0.35">
      <c r="N247">
        <f t="shared" si="90"/>
        <v>245</v>
      </c>
      <c r="O247" s="6">
        <f t="shared" si="91"/>
        <v>264614.45520975604</v>
      </c>
      <c r="P247">
        <f t="shared" si="74"/>
        <v>13.230722760487803</v>
      </c>
      <c r="Q247">
        <f t="shared" si="75"/>
        <v>0</v>
      </c>
      <c r="R247" s="6">
        <f t="shared" si="87"/>
        <v>403.79669326507911</v>
      </c>
      <c r="S247">
        <f t="shared" si="76"/>
        <v>2.4227801595904745</v>
      </c>
      <c r="T247">
        <f t="shared" si="77"/>
        <v>0</v>
      </c>
      <c r="U247" s="6">
        <f t="shared" si="88"/>
        <v>1.8362816772384256E-15</v>
      </c>
      <c r="V247">
        <f t="shared" si="78"/>
        <v>2.7544225158576384E-16</v>
      </c>
      <c r="W247">
        <f t="shared" si="79"/>
        <v>0</v>
      </c>
      <c r="X247">
        <f t="shared" si="92"/>
        <v>265018.25190302113</v>
      </c>
      <c r="Y247" s="6">
        <f t="shared" si="80"/>
        <v>29401.606134417281</v>
      </c>
      <c r="Z247" s="6">
        <f t="shared" si="81"/>
        <v>44.866299251675379</v>
      </c>
      <c r="AA247" s="6">
        <f t="shared" si="82"/>
        <v>2.0403129747093607E-16</v>
      </c>
      <c r="AB247">
        <f t="shared" si="83"/>
        <v>0</v>
      </c>
      <c r="AD247" s="6">
        <f t="shared" si="93"/>
        <v>112674.48243217218</v>
      </c>
      <c r="AG247">
        <f t="shared" si="84"/>
        <v>81396.732478026679</v>
      </c>
      <c r="AH247">
        <f t="shared" si="85"/>
        <v>1831.2775204765492</v>
      </c>
      <c r="AI247">
        <f t="shared" si="86"/>
        <v>4.8967511393024695E-14</v>
      </c>
      <c r="AL247">
        <f t="shared" si="94"/>
        <v>0.98154908112230044</v>
      </c>
      <c r="AM247">
        <f t="shared" si="89"/>
        <v>0.86672678793978597</v>
      </c>
      <c r="AO247">
        <v>245</v>
      </c>
      <c r="AP247">
        <v>0.98429863331295397</v>
      </c>
      <c r="AQ247">
        <v>0.860852483989617</v>
      </c>
    </row>
    <row r="248" spans="14:43" x14ac:dyDescent="0.35">
      <c r="N248">
        <f t="shared" si="90"/>
        <v>246</v>
      </c>
      <c r="O248" s="6">
        <f t="shared" si="91"/>
        <v>264601.22448699555</v>
      </c>
      <c r="P248">
        <f t="shared" si="74"/>
        <v>13.230061224349779</v>
      </c>
      <c r="Q248">
        <f t="shared" si="75"/>
        <v>0</v>
      </c>
      <c r="R248" s="6">
        <f t="shared" si="87"/>
        <v>401.37391310548861</v>
      </c>
      <c r="S248">
        <f t="shared" si="76"/>
        <v>2.4082434786329316</v>
      </c>
      <c r="T248">
        <f t="shared" si="77"/>
        <v>0</v>
      </c>
      <c r="U248" s="6">
        <f t="shared" si="88"/>
        <v>1.5608394256526617E-15</v>
      </c>
      <c r="V248">
        <f t="shared" si="78"/>
        <v>2.3412591384789923E-16</v>
      </c>
      <c r="W248">
        <f t="shared" si="79"/>
        <v>0</v>
      </c>
      <c r="X248">
        <f t="shared" si="92"/>
        <v>265002.59840010101</v>
      </c>
      <c r="Y248" s="6">
        <f t="shared" si="80"/>
        <v>29400.136054110561</v>
      </c>
      <c r="Z248" s="6">
        <f t="shared" si="81"/>
        <v>44.597101456165326</v>
      </c>
      <c r="AA248" s="6">
        <f t="shared" si="82"/>
        <v>1.7342660285029567E-16</v>
      </c>
      <c r="AB248">
        <f t="shared" si="83"/>
        <v>0</v>
      </c>
      <c r="AD248" s="6">
        <f t="shared" si="93"/>
        <v>112657.6856523232</v>
      </c>
      <c r="AG248">
        <f t="shared" si="84"/>
        <v>81392.662641402771</v>
      </c>
      <c r="AH248">
        <f t="shared" si="85"/>
        <v>1820.28985535369</v>
      </c>
      <c r="AI248">
        <f t="shared" si="86"/>
        <v>4.1622384684070992E-14</v>
      </c>
      <c r="AL248">
        <f t="shared" si="94"/>
        <v>0.98149110518555926</v>
      </c>
      <c r="AM248">
        <f t="shared" si="89"/>
        <v>0.86659758194094771</v>
      </c>
      <c r="AO248">
        <v>246</v>
      </c>
      <c r="AP248">
        <v>0.98421511540504603</v>
      </c>
      <c r="AQ248">
        <v>0.86069212960643005</v>
      </c>
    </row>
    <row r="249" spans="14:43" x14ac:dyDescent="0.35">
      <c r="N249">
        <f t="shared" si="90"/>
        <v>247</v>
      </c>
      <c r="O249" s="6">
        <f t="shared" si="91"/>
        <v>264587.99442577118</v>
      </c>
      <c r="P249">
        <f t="shared" si="74"/>
        <v>13.229399721288559</v>
      </c>
      <c r="Q249">
        <f t="shared" si="75"/>
        <v>0</v>
      </c>
      <c r="R249" s="6">
        <f t="shared" si="87"/>
        <v>398.96566962685569</v>
      </c>
      <c r="S249">
        <f t="shared" si="76"/>
        <v>2.3937940177611341</v>
      </c>
      <c r="T249">
        <f t="shared" si="77"/>
        <v>0</v>
      </c>
      <c r="U249" s="6">
        <f t="shared" si="88"/>
        <v>1.3267135118047625E-15</v>
      </c>
      <c r="V249">
        <f t="shared" si="78"/>
        <v>1.9900702677071436E-16</v>
      </c>
      <c r="W249">
        <f t="shared" si="79"/>
        <v>0</v>
      </c>
      <c r="X249">
        <f t="shared" si="92"/>
        <v>264986.96009539801</v>
      </c>
      <c r="Y249" s="6">
        <f t="shared" si="80"/>
        <v>29398.666047307855</v>
      </c>
      <c r="Z249" s="6">
        <f t="shared" si="81"/>
        <v>44.329518847428332</v>
      </c>
      <c r="AA249" s="6">
        <f t="shared" si="82"/>
        <v>1.4741261242275132E-16</v>
      </c>
      <c r="AB249">
        <f t="shared" si="83"/>
        <v>0</v>
      </c>
      <c r="AD249" s="6">
        <f t="shared" si="93"/>
        <v>112640.95669064755</v>
      </c>
      <c r="AG249">
        <f t="shared" si="84"/>
        <v>81388.593008270705</v>
      </c>
      <c r="AH249">
        <f t="shared" si="85"/>
        <v>1809.3681162215678</v>
      </c>
      <c r="AI249">
        <f t="shared" si="86"/>
        <v>3.5379026981460344E-14</v>
      </c>
      <c r="AL249">
        <f t="shared" si="94"/>
        <v>0.98143318553851111</v>
      </c>
      <c r="AM249">
        <f t="shared" si="89"/>
        <v>0.86646889762036583</v>
      </c>
      <c r="AO249">
        <v>247</v>
      </c>
      <c r="AP249">
        <v>0.98416166394398297</v>
      </c>
      <c r="AQ249">
        <v>0.86044157588270098</v>
      </c>
    </row>
    <row r="250" spans="14:43" x14ac:dyDescent="0.35">
      <c r="N250">
        <f t="shared" si="90"/>
        <v>248</v>
      </c>
      <c r="O250" s="6">
        <f t="shared" si="91"/>
        <v>264574.76502604986</v>
      </c>
      <c r="P250">
        <f t="shared" si="74"/>
        <v>13.228738251302493</v>
      </c>
      <c r="Q250">
        <f t="shared" si="75"/>
        <v>0</v>
      </c>
      <c r="R250" s="6">
        <f t="shared" si="87"/>
        <v>396.57187560909455</v>
      </c>
      <c r="S250">
        <f t="shared" si="76"/>
        <v>2.3794312536545674</v>
      </c>
      <c r="T250">
        <f t="shared" si="77"/>
        <v>0</v>
      </c>
      <c r="U250" s="6">
        <f t="shared" si="88"/>
        <v>1.1277064850340482E-15</v>
      </c>
      <c r="V250">
        <f t="shared" si="78"/>
        <v>1.6915597275510722E-16</v>
      </c>
      <c r="W250">
        <f t="shared" si="79"/>
        <v>0</v>
      </c>
      <c r="X250">
        <f t="shared" si="92"/>
        <v>264971.33690165897</v>
      </c>
      <c r="Y250" s="6">
        <f t="shared" si="80"/>
        <v>29397.196114005492</v>
      </c>
      <c r="Z250" s="6">
        <f t="shared" si="81"/>
        <v>44.063541734343765</v>
      </c>
      <c r="AA250" s="6">
        <f t="shared" si="82"/>
        <v>1.2530072055933862E-16</v>
      </c>
      <c r="AB250">
        <f t="shared" si="83"/>
        <v>0</v>
      </c>
      <c r="AD250" s="6">
        <f t="shared" si="93"/>
        <v>112624.29514188437</v>
      </c>
      <c r="AG250">
        <f t="shared" si="84"/>
        <v>81384.523578620297</v>
      </c>
      <c r="AH250">
        <f t="shared" si="85"/>
        <v>1798.5119075242383</v>
      </c>
      <c r="AI250">
        <f t="shared" si="86"/>
        <v>3.0072172934241292E-14</v>
      </c>
      <c r="AL250">
        <f t="shared" si="94"/>
        <v>0.98137532185799614</v>
      </c>
      <c r="AM250">
        <f t="shared" si="89"/>
        <v>0.86634073186064897</v>
      </c>
      <c r="AO250">
        <v>248</v>
      </c>
      <c r="AP250">
        <v>0.98407146460343997</v>
      </c>
      <c r="AQ250">
        <v>0.860140911414225</v>
      </c>
    </row>
    <row r="251" spans="14:43" x14ac:dyDescent="0.35">
      <c r="N251">
        <f t="shared" si="90"/>
        <v>249</v>
      </c>
      <c r="O251" s="6">
        <f t="shared" si="91"/>
        <v>264561.53628779855</v>
      </c>
      <c r="P251">
        <f t="shared" si="74"/>
        <v>13.228076814389928</v>
      </c>
      <c r="Q251">
        <f t="shared" si="75"/>
        <v>0</v>
      </c>
      <c r="R251" s="6">
        <f t="shared" si="87"/>
        <v>394.19244435543999</v>
      </c>
      <c r="S251">
        <f t="shared" si="76"/>
        <v>2.3651546661326401</v>
      </c>
      <c r="T251">
        <f t="shared" si="77"/>
        <v>0</v>
      </c>
      <c r="U251" s="6">
        <f t="shared" si="88"/>
        <v>9.5855051227894093E-16</v>
      </c>
      <c r="V251">
        <f t="shared" si="78"/>
        <v>1.4378257684184114E-16</v>
      </c>
      <c r="W251">
        <f t="shared" si="79"/>
        <v>0</v>
      </c>
      <c r="X251">
        <f t="shared" si="92"/>
        <v>264955.72873215401</v>
      </c>
      <c r="Y251" s="6">
        <f t="shared" si="80"/>
        <v>29395.726254199792</v>
      </c>
      <c r="Z251" s="6">
        <f t="shared" si="81"/>
        <v>43.799160483937705</v>
      </c>
      <c r="AA251" s="6">
        <f t="shared" si="82"/>
        <v>1.0650561247543783E-16</v>
      </c>
      <c r="AB251">
        <f t="shared" si="83"/>
        <v>0</v>
      </c>
      <c r="AD251" s="6">
        <f t="shared" si="93"/>
        <v>112607.70060320418</v>
      </c>
      <c r="AG251">
        <f t="shared" si="84"/>
        <v>81380.45435244136</v>
      </c>
      <c r="AH251">
        <f t="shared" si="85"/>
        <v>1787.7208360790928</v>
      </c>
      <c r="AI251">
        <f t="shared" si="86"/>
        <v>2.5561346994105099E-14</v>
      </c>
      <c r="AL251">
        <f t="shared" si="94"/>
        <v>0.98131751382279264</v>
      </c>
      <c r="AM251">
        <f t="shared" si="89"/>
        <v>0.86621308156310906</v>
      </c>
      <c r="AO251">
        <v>249</v>
      </c>
      <c r="AP251">
        <v>0.98401801314237802</v>
      </c>
      <c r="AQ251">
        <v>0.85996051273314</v>
      </c>
    </row>
    <row r="252" spans="14:43" x14ac:dyDescent="0.35">
      <c r="N252">
        <f t="shared" si="90"/>
        <v>250</v>
      </c>
      <c r="O252" s="6">
        <f t="shared" si="91"/>
        <v>264548.30821098416</v>
      </c>
      <c r="P252">
        <f t="shared" si="74"/>
        <v>13.227415410549209</v>
      </c>
      <c r="Q252">
        <f t="shared" si="75"/>
        <v>0</v>
      </c>
      <c r="R252" s="6">
        <f t="shared" si="87"/>
        <v>391.82728968930735</v>
      </c>
      <c r="S252">
        <f t="shared" si="76"/>
        <v>2.3509637381358441</v>
      </c>
      <c r="T252">
        <f t="shared" si="77"/>
        <v>0</v>
      </c>
      <c r="U252" s="6">
        <f t="shared" si="88"/>
        <v>8.1476793543709974E-16</v>
      </c>
      <c r="V252">
        <f t="shared" si="78"/>
        <v>1.2221519031556497E-16</v>
      </c>
      <c r="W252">
        <f t="shared" si="79"/>
        <v>0</v>
      </c>
      <c r="X252">
        <f t="shared" si="92"/>
        <v>264940.1355006735</v>
      </c>
      <c r="Y252" s="6">
        <f t="shared" si="80"/>
        <v>29394.25646788708</v>
      </c>
      <c r="Z252" s="6">
        <f t="shared" si="81"/>
        <v>43.536365521034078</v>
      </c>
      <c r="AA252" s="6">
        <f t="shared" si="82"/>
        <v>9.0529770604122161E-17</v>
      </c>
      <c r="AB252">
        <f t="shared" si="83"/>
        <v>0</v>
      </c>
      <c r="AD252" s="6">
        <f t="shared" si="93"/>
        <v>112591.17267419446</v>
      </c>
      <c r="AG252">
        <f t="shared" si="84"/>
        <v>81376.385329723737</v>
      </c>
      <c r="AH252">
        <f t="shared" si="85"/>
        <v>1776.9945110626184</v>
      </c>
      <c r="AI252">
        <f t="shared" si="86"/>
        <v>2.1727144944989336E-14</v>
      </c>
      <c r="AL252">
        <f t="shared" si="94"/>
        <v>0.98125976111360558</v>
      </c>
      <c r="AM252">
        <f t="shared" si="89"/>
        <v>0.86608594364764968</v>
      </c>
      <c r="AO252">
        <v>250</v>
      </c>
      <c r="AP252">
        <v>0.98392113236920198</v>
      </c>
      <c r="AQ252">
        <v>0.85983022479680005</v>
      </c>
    </row>
    <row r="253" spans="14:43" x14ac:dyDescent="0.35">
      <c r="N253">
        <f t="shared" si="90"/>
        <v>251</v>
      </c>
      <c r="O253" s="6">
        <f t="shared" si="91"/>
        <v>264535.08079557359</v>
      </c>
      <c r="P253">
        <f t="shared" si="74"/>
        <v>13.22675403977868</v>
      </c>
      <c r="Q253">
        <f t="shared" si="75"/>
        <v>0</v>
      </c>
      <c r="R253" s="6">
        <f t="shared" si="87"/>
        <v>389.47632595117153</v>
      </c>
      <c r="S253">
        <f t="shared" si="76"/>
        <v>2.3368579557070293</v>
      </c>
      <c r="T253">
        <f t="shared" si="77"/>
        <v>0</v>
      </c>
      <c r="U253" s="6">
        <f t="shared" si="88"/>
        <v>6.9255274512153475E-16</v>
      </c>
      <c r="V253">
        <f t="shared" si="78"/>
        <v>1.0388291176823021E-16</v>
      </c>
      <c r="W253">
        <f t="shared" si="79"/>
        <v>0</v>
      </c>
      <c r="X253">
        <f t="shared" si="92"/>
        <v>264924.55712152476</v>
      </c>
      <c r="Y253" s="6">
        <f t="shared" si="80"/>
        <v>29392.786755063687</v>
      </c>
      <c r="Z253" s="6">
        <f t="shared" si="81"/>
        <v>43.275147327907874</v>
      </c>
      <c r="AA253" s="6">
        <f t="shared" si="82"/>
        <v>7.6950305013503837E-17</v>
      </c>
      <c r="AB253">
        <f t="shared" si="83"/>
        <v>0</v>
      </c>
      <c r="AD253" s="6">
        <f t="shared" si="93"/>
        <v>112574.71095684508</v>
      </c>
      <c r="AG253">
        <f t="shared" si="84"/>
        <v>81372.316510457254</v>
      </c>
      <c r="AH253">
        <f t="shared" si="85"/>
        <v>1766.3325439962427</v>
      </c>
      <c r="AI253">
        <f t="shared" si="86"/>
        <v>1.8468073203240936E-14</v>
      </c>
      <c r="AL253">
        <f t="shared" si="94"/>
        <v>0.98120206341305471</v>
      </c>
      <c r="AM253">
        <f t="shared" si="89"/>
        <v>0.86595931505265444</v>
      </c>
      <c r="AO253">
        <v>251</v>
      </c>
      <c r="AP253">
        <v>0.98381088873076095</v>
      </c>
      <c r="AQ253">
        <v>0.85953958247727402</v>
      </c>
    </row>
    <row r="254" spans="14:43" x14ac:dyDescent="0.35">
      <c r="N254">
        <f t="shared" si="90"/>
        <v>252</v>
      </c>
      <c r="O254" s="6">
        <f t="shared" si="91"/>
        <v>264521.85404153384</v>
      </c>
      <c r="P254">
        <f t="shared" si="74"/>
        <v>13.226092702076693</v>
      </c>
      <c r="Q254">
        <f t="shared" si="75"/>
        <v>0</v>
      </c>
      <c r="R254" s="6">
        <f t="shared" si="87"/>
        <v>387.13946799546449</v>
      </c>
      <c r="S254">
        <f t="shared" si="76"/>
        <v>2.322836807972787</v>
      </c>
      <c r="T254">
        <f t="shared" si="77"/>
        <v>0</v>
      </c>
      <c r="U254" s="6">
        <f t="shared" si="88"/>
        <v>5.8866983335330452E-16</v>
      </c>
      <c r="V254">
        <f t="shared" si="78"/>
        <v>8.8300475002995675E-17</v>
      </c>
      <c r="W254">
        <f t="shared" si="79"/>
        <v>0</v>
      </c>
      <c r="X254">
        <f t="shared" si="92"/>
        <v>264908.99350952927</v>
      </c>
      <c r="Y254" s="6">
        <f t="shared" si="80"/>
        <v>29391.317115725935</v>
      </c>
      <c r="Z254" s="6">
        <f t="shared" si="81"/>
        <v>43.015496443940428</v>
      </c>
      <c r="AA254" s="6">
        <f t="shared" si="82"/>
        <v>6.5407759261478265E-17</v>
      </c>
      <c r="AB254">
        <f t="shared" si="83"/>
        <v>0</v>
      </c>
      <c r="AD254" s="6">
        <f t="shared" si="93"/>
        <v>112558.31505553387</v>
      </c>
      <c r="AG254">
        <f t="shared" si="84"/>
        <v>81368.247894631728</v>
      </c>
      <c r="AH254">
        <f t="shared" si="85"/>
        <v>1755.7345487322652</v>
      </c>
      <c r="AI254">
        <f t="shared" si="86"/>
        <v>1.5697862222754796E-14</v>
      </c>
      <c r="AL254">
        <f t="shared" si="94"/>
        <v>0.98114442040566396</v>
      </c>
      <c r="AM254">
        <f t="shared" si="89"/>
        <v>0.86583319273487591</v>
      </c>
      <c r="AO254">
        <v>252</v>
      </c>
      <c r="AP254">
        <v>0.98371734867390204</v>
      </c>
      <c r="AQ254">
        <v>0.85936920594513799</v>
      </c>
    </row>
    <row r="255" spans="14:43" x14ac:dyDescent="0.35">
      <c r="N255">
        <f t="shared" si="90"/>
        <v>253</v>
      </c>
      <c r="O255" s="6">
        <f t="shared" si="91"/>
        <v>264508.62794883177</v>
      </c>
      <c r="P255">
        <f t="shared" si="74"/>
        <v>13.225431397441589</v>
      </c>
      <c r="Q255">
        <f t="shared" si="75"/>
        <v>0</v>
      </c>
      <c r="R255" s="6">
        <f t="shared" si="87"/>
        <v>384.81663118749168</v>
      </c>
      <c r="S255">
        <f t="shared" si="76"/>
        <v>2.3088997871249499</v>
      </c>
      <c r="T255">
        <f t="shared" si="77"/>
        <v>0</v>
      </c>
      <c r="U255" s="6">
        <f t="shared" si="88"/>
        <v>5.0036935835030883E-16</v>
      </c>
      <c r="V255">
        <f t="shared" si="78"/>
        <v>7.5055403752546327E-17</v>
      </c>
      <c r="W255">
        <f t="shared" si="79"/>
        <v>0</v>
      </c>
      <c r="X255">
        <f t="shared" si="92"/>
        <v>264893.44458001928</v>
      </c>
      <c r="Y255" s="6">
        <f t="shared" si="80"/>
        <v>29389.847549870148</v>
      </c>
      <c r="Z255" s="6">
        <f t="shared" si="81"/>
        <v>42.757403465276788</v>
      </c>
      <c r="AA255" s="6">
        <f t="shared" si="82"/>
        <v>5.5596595372256525E-17</v>
      </c>
      <c r="AB255">
        <f t="shared" si="83"/>
        <v>0</v>
      </c>
      <c r="AD255" s="6">
        <f t="shared" si="93"/>
        <v>112541.98457701229</v>
      </c>
      <c r="AG255">
        <f t="shared" si="84"/>
        <v>81364.179482236999</v>
      </c>
      <c r="AH255">
        <f t="shared" si="85"/>
        <v>1745.2001414398717</v>
      </c>
      <c r="AI255">
        <f t="shared" si="86"/>
        <v>1.3343182889341577E-14</v>
      </c>
      <c r="AL255">
        <f t="shared" si="94"/>
        <v>0.98108683177784917</v>
      </c>
      <c r="AM255">
        <f t="shared" si="89"/>
        <v>0.86570757366932527</v>
      </c>
      <c r="AO255">
        <v>253</v>
      </c>
      <c r="AP255">
        <v>0.98365053434757499</v>
      </c>
      <c r="AQ255">
        <v>0.85908858577456204</v>
      </c>
    </row>
    <row r="256" spans="14:43" x14ac:dyDescent="0.35">
      <c r="N256">
        <f t="shared" si="90"/>
        <v>254</v>
      </c>
      <c r="O256" s="6">
        <f t="shared" si="91"/>
        <v>264495.40251743433</v>
      </c>
      <c r="P256">
        <f t="shared" si="74"/>
        <v>13.224770125871716</v>
      </c>
      <c r="Q256">
        <f t="shared" si="75"/>
        <v>0</v>
      </c>
      <c r="R256" s="6">
        <f t="shared" si="87"/>
        <v>382.50773140036671</v>
      </c>
      <c r="S256">
        <f t="shared" si="76"/>
        <v>2.2950463884022003</v>
      </c>
      <c r="T256">
        <f t="shared" si="77"/>
        <v>0</v>
      </c>
      <c r="U256" s="6">
        <f t="shared" si="88"/>
        <v>4.2531395459776252E-16</v>
      </c>
      <c r="V256">
        <f t="shared" si="78"/>
        <v>6.3797093189664373E-17</v>
      </c>
      <c r="W256">
        <f t="shared" si="79"/>
        <v>0</v>
      </c>
      <c r="X256">
        <f t="shared" si="92"/>
        <v>264877.9102488347</v>
      </c>
      <c r="Y256" s="6">
        <f t="shared" si="80"/>
        <v>29388.378057492653</v>
      </c>
      <c r="Z256" s="6">
        <f t="shared" si="81"/>
        <v>42.500859044485125</v>
      </c>
      <c r="AA256" s="6">
        <f t="shared" si="82"/>
        <v>4.7257106066418046E-17</v>
      </c>
      <c r="AB256">
        <f t="shared" si="83"/>
        <v>0</v>
      </c>
      <c r="AD256" s="6">
        <f t="shared" si="93"/>
        <v>112525.71913039126</v>
      </c>
      <c r="AG256">
        <f t="shared" si="84"/>
        <v>81360.111273262883</v>
      </c>
      <c r="AH256">
        <f t="shared" si="85"/>
        <v>1734.7289405912325</v>
      </c>
      <c r="AI256">
        <f t="shared" si="86"/>
        <v>1.134170545594034E-14</v>
      </c>
      <c r="AL256">
        <f t="shared" si="94"/>
        <v>0.98102929721790633</v>
      </c>
      <c r="AM256">
        <f t="shared" si="89"/>
        <v>0.86558245484916352</v>
      </c>
      <c r="AO256">
        <v>254</v>
      </c>
      <c r="AP256">
        <v>0.98358372002124705</v>
      </c>
      <c r="AQ256">
        <v>0.85887812064662805</v>
      </c>
    </row>
    <row r="257" spans="14:43" x14ac:dyDescent="0.35">
      <c r="N257">
        <f t="shared" si="90"/>
        <v>255</v>
      </c>
      <c r="O257" s="6">
        <f t="shared" si="91"/>
        <v>264482.17774730845</v>
      </c>
      <c r="P257">
        <f t="shared" si="74"/>
        <v>13.224108887365423</v>
      </c>
      <c r="Q257">
        <f t="shared" si="75"/>
        <v>0</v>
      </c>
      <c r="R257" s="6">
        <f t="shared" si="87"/>
        <v>380.21268501196448</v>
      </c>
      <c r="S257">
        <f t="shared" si="76"/>
        <v>2.2812761100717869</v>
      </c>
      <c r="T257">
        <f t="shared" si="77"/>
        <v>0</v>
      </c>
      <c r="U257" s="6">
        <f t="shared" si="88"/>
        <v>3.6151686140809816E-16</v>
      </c>
      <c r="V257">
        <f t="shared" si="78"/>
        <v>5.4227529211214723E-17</v>
      </c>
      <c r="W257">
        <f t="shared" si="79"/>
        <v>0</v>
      </c>
      <c r="X257">
        <f t="shared" si="92"/>
        <v>264862.39043232042</v>
      </c>
      <c r="Y257" s="6">
        <f t="shared" si="80"/>
        <v>29386.908638589779</v>
      </c>
      <c r="Z257" s="6">
        <f t="shared" si="81"/>
        <v>42.245853890218214</v>
      </c>
      <c r="AA257" s="6">
        <f t="shared" si="82"/>
        <v>4.0168540156455337E-17</v>
      </c>
      <c r="AB257">
        <f t="shared" si="83"/>
        <v>0</v>
      </c>
      <c r="AD257" s="6">
        <f t="shared" si="93"/>
        <v>112509.51832712691</v>
      </c>
      <c r="AG257">
        <f t="shared" si="84"/>
        <v>81356.04326769922</v>
      </c>
      <c r="AH257">
        <f t="shared" si="85"/>
        <v>1724.3205669476852</v>
      </c>
      <c r="AI257">
        <f t="shared" si="86"/>
        <v>9.6404496375492884E-15</v>
      </c>
      <c r="AL257">
        <f t="shared" si="94"/>
        <v>0.98097181641600151</v>
      </c>
      <c r="AM257">
        <f t="shared" si="89"/>
        <v>0.86545783328559156</v>
      </c>
      <c r="AO257">
        <v>255</v>
      </c>
      <c r="AP257">
        <v>0.98348683924807101</v>
      </c>
      <c r="AQ257">
        <v>0.85862756692289899</v>
      </c>
    </row>
    <row r="258" spans="14:43" x14ac:dyDescent="0.35">
      <c r="N258">
        <f t="shared" si="90"/>
        <v>256</v>
      </c>
      <c r="O258" s="6">
        <f t="shared" si="91"/>
        <v>264468.95363842108</v>
      </c>
      <c r="P258">
        <f t="shared" ref="P258:P321" si="95">IF(N258&lt;$H$12,O258*($F$3+$H$3),O258*$F$3)</f>
        <v>13.223447681921055</v>
      </c>
      <c r="Q258">
        <f t="shared" ref="Q258:Q321" si="96">IF(N258&lt;$H$12,P258*$I$3,0)</f>
        <v>0</v>
      </c>
      <c r="R258" s="6">
        <f t="shared" si="87"/>
        <v>377.93140890189267</v>
      </c>
      <c r="S258">
        <f t="shared" ref="S258:S321" si="97">IF(N258&lt;$H$12,R258*($F$4+$H$4),R258*$F$4)</f>
        <v>2.267588453411356</v>
      </c>
      <c r="T258">
        <f t="shared" ref="T258:T321" si="98">IF(N258&lt;$H$12,S258*$I$4,0)</f>
        <v>0</v>
      </c>
      <c r="U258" s="6">
        <f t="shared" si="88"/>
        <v>3.0728933219688343E-16</v>
      </c>
      <c r="V258">
        <f t="shared" ref="V258:V321" si="99">IF(N258&lt;$H$12,U258*($F$5+$H$5),U258*$F$5)</f>
        <v>4.6093399829532513E-17</v>
      </c>
      <c r="W258">
        <f t="shared" ref="W258:W321" si="100">IF(N258&lt;$H$12,V258*$I$5,0)</f>
        <v>0</v>
      </c>
      <c r="X258">
        <f t="shared" si="92"/>
        <v>264846.88504732295</v>
      </c>
      <c r="Y258" s="6">
        <f t="shared" si="80"/>
        <v>29385.439293157848</v>
      </c>
      <c r="Z258" s="6">
        <f t="shared" si="81"/>
        <v>41.992378766876904</v>
      </c>
      <c r="AA258" s="6">
        <f t="shared" si="82"/>
        <v>3.4143259132987036E-17</v>
      </c>
      <c r="AB258">
        <f t="shared" si="83"/>
        <v>0</v>
      </c>
      <c r="AD258" s="6">
        <f t="shared" si="93"/>
        <v>112493.38178100657</v>
      </c>
      <c r="AG258">
        <f t="shared" si="84"/>
        <v>81351.975465535841</v>
      </c>
      <c r="AH258">
        <f t="shared" si="85"/>
        <v>1713.974643545999</v>
      </c>
      <c r="AI258">
        <f t="shared" si="86"/>
        <v>8.194382191916895E-15</v>
      </c>
      <c r="AL258">
        <f t="shared" si="94"/>
        <v>0.98091438906415906</v>
      </c>
      <c r="AM258">
        <f t="shared" si="89"/>
        <v>0.86533370600774284</v>
      </c>
      <c r="AO258">
        <v>256</v>
      </c>
      <c r="AP258">
        <v>0.98338661775858005</v>
      </c>
      <c r="AQ258">
        <v>0.85836699105021996</v>
      </c>
    </row>
    <row r="259" spans="14:43" x14ac:dyDescent="0.35">
      <c r="N259">
        <f t="shared" si="90"/>
        <v>257</v>
      </c>
      <c r="O259" s="6">
        <f t="shared" si="91"/>
        <v>264455.73019073915</v>
      </c>
      <c r="P259">
        <f t="shared" si="95"/>
        <v>13.222786509536958</v>
      </c>
      <c r="Q259">
        <f t="shared" si="96"/>
        <v>0</v>
      </c>
      <c r="R259" s="6">
        <f t="shared" si="87"/>
        <v>375.66382044848132</v>
      </c>
      <c r="S259">
        <f t="shared" si="97"/>
        <v>2.2539829226908878</v>
      </c>
      <c r="T259">
        <f t="shared" si="98"/>
        <v>0</v>
      </c>
      <c r="U259" s="6">
        <f t="shared" si="88"/>
        <v>2.611959323673509E-16</v>
      </c>
      <c r="V259">
        <f t="shared" si="99"/>
        <v>3.9179389855102634E-17</v>
      </c>
      <c r="W259">
        <f t="shared" si="100"/>
        <v>0</v>
      </c>
      <c r="X259">
        <f t="shared" si="92"/>
        <v>264831.39401118766</v>
      </c>
      <c r="Y259" s="6">
        <f t="shared" ref="Y259:Y322" si="101">Y258-Y258*$F$3-Q259</f>
        <v>29383.970021193189</v>
      </c>
      <c r="Z259" s="6">
        <f t="shared" ref="Z259:Z322" si="102">Z258-Z258*$F$4</f>
        <v>41.740424494275643</v>
      </c>
      <c r="AA259" s="6">
        <f t="shared" ref="AA259:AA322" si="103">AA258-AA258*$F$5</f>
        <v>2.9021770263038979E-17</v>
      </c>
      <c r="AB259">
        <f t="shared" ref="AB259:AB322" si="104">Q259+T259+W259</f>
        <v>0</v>
      </c>
      <c r="AD259" s="6">
        <f t="shared" si="93"/>
        <v>112477.30910813475</v>
      </c>
      <c r="AG259">
        <f t="shared" ref="AG259:AG322" si="105">IF(N258&lt;$H$12,AG258-AG258*($F$7+$H$7),AG258-AG258*$F$7)</f>
        <v>81347.907866762558</v>
      </c>
      <c r="AH259">
        <f t="shared" ref="AH259:AH322" si="106">IF(N258&lt;$H$12,AH258-AH258*($F$8+$H$8),AH258-AH258*$F$8)</f>
        <v>1703.6907956847231</v>
      </c>
      <c r="AI259">
        <f t="shared" ref="AI259:AI322" si="107">IF(N258&lt;$H$12,AI258-AI258*($F$9+$H$9),AI258-AI258*$F$9)</f>
        <v>6.9652248631293606E-15</v>
      </c>
      <c r="AL259">
        <f t="shared" si="94"/>
        <v>0.98085701485625054</v>
      </c>
      <c r="AM259">
        <f t="shared" si="89"/>
        <v>0.865210070062575</v>
      </c>
      <c r="AO259">
        <v>257</v>
      </c>
      <c r="AP259">
        <v>0.98329975913435297</v>
      </c>
      <c r="AQ259">
        <v>0.85820663666703301</v>
      </c>
    </row>
    <row r="260" spans="14:43" x14ac:dyDescent="0.35">
      <c r="N260">
        <f t="shared" si="90"/>
        <v>258</v>
      </c>
      <c r="O260" s="6">
        <f t="shared" si="91"/>
        <v>264442.5074042296</v>
      </c>
      <c r="P260">
        <f t="shared" si="95"/>
        <v>13.222125370211481</v>
      </c>
      <c r="Q260">
        <f t="shared" si="96"/>
        <v>0</v>
      </c>
      <c r="R260" s="6">
        <f t="shared" ref="R260:R323" si="108">R259-(S259-T259)</f>
        <v>373.40983752579041</v>
      </c>
      <c r="S260">
        <f t="shared" si="97"/>
        <v>2.2404590251547427</v>
      </c>
      <c r="T260">
        <f t="shared" si="98"/>
        <v>0</v>
      </c>
      <c r="U260" s="6">
        <f t="shared" ref="U260:U323" si="109">U259-(V259-W259)</f>
        <v>2.2201654251224826E-16</v>
      </c>
      <c r="V260">
        <f t="shared" si="99"/>
        <v>3.3302481376837238E-17</v>
      </c>
      <c r="W260">
        <f t="shared" si="100"/>
        <v>0</v>
      </c>
      <c r="X260">
        <f t="shared" si="92"/>
        <v>264815.91724175541</v>
      </c>
      <c r="Y260" s="6">
        <f t="shared" si="101"/>
        <v>29382.500822692127</v>
      </c>
      <c r="Z260" s="6">
        <f t="shared" si="102"/>
        <v>41.489981947309992</v>
      </c>
      <c r="AA260" s="6">
        <f t="shared" si="103"/>
        <v>2.4668504723583133E-17</v>
      </c>
      <c r="AB260">
        <f t="shared" si="104"/>
        <v>0</v>
      </c>
      <c r="AD260" s="6">
        <f t="shared" si="93"/>
        <v>112461.29992691927</v>
      </c>
      <c r="AG260">
        <f t="shared" si="105"/>
        <v>81343.840471369214</v>
      </c>
      <c r="AH260">
        <f t="shared" si="106"/>
        <v>1693.4686509106148</v>
      </c>
      <c r="AI260">
        <f t="shared" si="107"/>
        <v>5.9204411336599567E-15</v>
      </c>
      <c r="AL260">
        <f t="shared" si="94"/>
        <v>0.98079969348798302</v>
      </c>
      <c r="AM260">
        <f t="shared" ref="AM260:AM323" si="110">IF(AD260/$AD$2&lt;AM259,AD260/$AD$2,AM259)</f>
        <v>0.8650869225147636</v>
      </c>
      <c r="AO260">
        <v>258</v>
      </c>
      <c r="AP260">
        <v>0.98322960409170901</v>
      </c>
      <c r="AQ260">
        <v>0.85808637087964301</v>
      </c>
    </row>
    <row r="261" spans="14:43" x14ac:dyDescent="0.35">
      <c r="N261">
        <f t="shared" si="90"/>
        <v>259</v>
      </c>
      <c r="O261" s="6">
        <f t="shared" si="91"/>
        <v>264429.28527885937</v>
      </c>
      <c r="P261">
        <f t="shared" si="95"/>
        <v>13.22146426394297</v>
      </c>
      <c r="Q261">
        <f t="shared" si="96"/>
        <v>0</v>
      </c>
      <c r="R261" s="6">
        <f t="shared" si="108"/>
        <v>371.16937850063567</v>
      </c>
      <c r="S261">
        <f t="shared" si="97"/>
        <v>2.2270162710038139</v>
      </c>
      <c r="T261">
        <f t="shared" si="98"/>
        <v>0</v>
      </c>
      <c r="U261" s="6">
        <f t="shared" si="109"/>
        <v>1.8871406113541102E-16</v>
      </c>
      <c r="V261">
        <f t="shared" si="99"/>
        <v>2.8307109170311655E-17</v>
      </c>
      <c r="W261">
        <f t="shared" si="100"/>
        <v>0</v>
      </c>
      <c r="X261">
        <f t="shared" si="92"/>
        <v>264800.45465736004</v>
      </c>
      <c r="Y261" s="6">
        <f t="shared" si="101"/>
        <v>29381.031697650993</v>
      </c>
      <c r="Z261" s="6">
        <f t="shared" si="102"/>
        <v>41.241042055626131</v>
      </c>
      <c r="AA261" s="6">
        <f t="shared" si="103"/>
        <v>2.0968229015045662E-17</v>
      </c>
      <c r="AB261">
        <f t="shared" si="104"/>
        <v>0</v>
      </c>
      <c r="AD261" s="6">
        <f t="shared" si="93"/>
        <v>112445.35385805742</v>
      </c>
      <c r="AG261">
        <f t="shared" si="105"/>
        <v>81339.773279345653</v>
      </c>
      <c r="AH261">
        <f t="shared" si="106"/>
        <v>1683.307839005151</v>
      </c>
      <c r="AI261">
        <f t="shared" si="107"/>
        <v>5.0323749636109635E-15</v>
      </c>
      <c r="AL261">
        <f t="shared" si="94"/>
        <v>0.98074242465688899</v>
      </c>
      <c r="AM261">
        <f t="shared" si="110"/>
        <v>0.86496426044659558</v>
      </c>
      <c r="AO261">
        <v>259</v>
      </c>
      <c r="AP261">
        <v>0.98315944904906605</v>
      </c>
      <c r="AQ261">
        <v>0.85783581715591395</v>
      </c>
    </row>
    <row r="262" spans="14:43" x14ac:dyDescent="0.35">
      <c r="N262">
        <f t="shared" si="90"/>
        <v>260</v>
      </c>
      <c r="O262" s="6">
        <f t="shared" si="91"/>
        <v>264416.06381459546</v>
      </c>
      <c r="P262">
        <f t="shared" si="95"/>
        <v>13.220803190729773</v>
      </c>
      <c r="Q262">
        <f t="shared" si="96"/>
        <v>0</v>
      </c>
      <c r="R262" s="6">
        <f t="shared" si="108"/>
        <v>368.94236222963184</v>
      </c>
      <c r="S262">
        <f t="shared" si="97"/>
        <v>2.2136541733777912</v>
      </c>
      <c r="T262">
        <f t="shared" si="98"/>
        <v>0</v>
      </c>
      <c r="U262" s="6">
        <f t="shared" si="109"/>
        <v>1.6040695196509936E-16</v>
      </c>
      <c r="V262">
        <f t="shared" si="99"/>
        <v>2.4061042794764903E-17</v>
      </c>
      <c r="W262">
        <f t="shared" si="100"/>
        <v>0</v>
      </c>
      <c r="X262">
        <f t="shared" si="92"/>
        <v>264785.00617682509</v>
      </c>
      <c r="Y262" s="6">
        <f t="shared" si="101"/>
        <v>29379.562646066111</v>
      </c>
      <c r="Z262" s="6">
        <f t="shared" si="102"/>
        <v>40.993595803292372</v>
      </c>
      <c r="AA262" s="6">
        <f t="shared" si="103"/>
        <v>1.7822994662788814E-17</v>
      </c>
      <c r="AB262">
        <f t="shared" si="104"/>
        <v>0</v>
      </c>
      <c r="AD262" s="6">
        <f t="shared" si="93"/>
        <v>112429.47052452221</v>
      </c>
      <c r="AG262">
        <f t="shared" si="105"/>
        <v>81335.706290681686</v>
      </c>
      <c r="AH262">
        <f t="shared" si="106"/>
        <v>1673.20799197112</v>
      </c>
      <c r="AI262">
        <f t="shared" si="107"/>
        <v>4.2775187190693188E-15</v>
      </c>
      <c r="AL262">
        <f t="shared" si="94"/>
        <v>0.98068520806231518</v>
      </c>
      <c r="AM262">
        <f t="shared" si="110"/>
        <v>0.86484208095786319</v>
      </c>
      <c r="AO262">
        <v>260</v>
      </c>
      <c r="AP262">
        <v>0.98306590899220703</v>
      </c>
      <c r="AQ262">
        <v>0.85769550707062603</v>
      </c>
    </row>
    <row r="263" spans="14:43" x14ac:dyDescent="0.35">
      <c r="N263">
        <f t="shared" si="90"/>
        <v>261</v>
      </c>
      <c r="O263" s="6">
        <f t="shared" si="91"/>
        <v>264402.84301140474</v>
      </c>
      <c r="P263">
        <f t="shared" si="95"/>
        <v>13.220142150570238</v>
      </c>
      <c r="Q263">
        <f t="shared" si="96"/>
        <v>0</v>
      </c>
      <c r="R263" s="6">
        <f t="shared" si="108"/>
        <v>366.72870805625405</v>
      </c>
      <c r="S263">
        <f t="shared" si="97"/>
        <v>2.2003722483375245</v>
      </c>
      <c r="T263">
        <f t="shared" si="98"/>
        <v>0</v>
      </c>
      <c r="U263" s="6">
        <f t="shared" si="109"/>
        <v>1.3634590917033446E-16</v>
      </c>
      <c r="V263">
        <f t="shared" si="99"/>
        <v>2.0451886375550169E-17</v>
      </c>
      <c r="W263">
        <f t="shared" si="100"/>
        <v>0</v>
      </c>
      <c r="X263">
        <f t="shared" si="92"/>
        <v>264769.571719461</v>
      </c>
      <c r="Y263" s="6">
        <f t="shared" si="101"/>
        <v>29378.093667933808</v>
      </c>
      <c r="Z263" s="6">
        <f t="shared" si="102"/>
        <v>40.74763422847262</v>
      </c>
      <c r="AA263" s="6">
        <f t="shared" si="103"/>
        <v>1.5149545463370491E-17</v>
      </c>
      <c r="AB263">
        <f t="shared" si="104"/>
        <v>0</v>
      </c>
      <c r="AD263" s="6">
        <f t="shared" si="93"/>
        <v>112413.64955154873</v>
      </c>
      <c r="AG263">
        <f t="shared" si="105"/>
        <v>81331.639505367159</v>
      </c>
      <c r="AH263">
        <f t="shared" si="106"/>
        <v>1663.1687440192934</v>
      </c>
      <c r="AI263">
        <f t="shared" si="107"/>
        <v>3.6358909112089213E-15</v>
      </c>
      <c r="AL263">
        <f t="shared" si="94"/>
        <v>0.9806280434054111</v>
      </c>
      <c r="AM263">
        <f t="shared" si="110"/>
        <v>0.86472038116575944</v>
      </c>
      <c r="AO263">
        <v>261</v>
      </c>
      <c r="AP263">
        <v>0.98299241323324504</v>
      </c>
      <c r="AQ263">
        <v>0.85747501979374396</v>
      </c>
    </row>
    <row r="264" spans="14:43" x14ac:dyDescent="0.35">
      <c r="N264">
        <f t="shared" si="90"/>
        <v>262</v>
      </c>
      <c r="O264" s="6">
        <f t="shared" si="91"/>
        <v>264389.62286925415</v>
      </c>
      <c r="P264">
        <f t="shared" si="95"/>
        <v>13.219481143462708</v>
      </c>
      <c r="Q264">
        <f t="shared" si="96"/>
        <v>0</v>
      </c>
      <c r="R264" s="6">
        <f t="shared" si="108"/>
        <v>364.52833580791651</v>
      </c>
      <c r="S264">
        <f t="shared" si="97"/>
        <v>2.1871700148474993</v>
      </c>
      <c r="T264">
        <f t="shared" si="98"/>
        <v>0</v>
      </c>
      <c r="U264" s="6">
        <f t="shared" si="109"/>
        <v>1.1589402279478429E-16</v>
      </c>
      <c r="V264">
        <f t="shared" si="99"/>
        <v>1.7384103419217642E-17</v>
      </c>
      <c r="W264">
        <f t="shared" si="100"/>
        <v>0</v>
      </c>
      <c r="X264">
        <f t="shared" si="92"/>
        <v>264754.15120506205</v>
      </c>
      <c r="Y264" s="6">
        <f t="shared" si="101"/>
        <v>29376.624763250413</v>
      </c>
      <c r="Z264" s="6">
        <f t="shared" si="102"/>
        <v>40.503148423101784</v>
      </c>
      <c r="AA264" s="6">
        <f t="shared" si="103"/>
        <v>1.2877113643864917E-17</v>
      </c>
      <c r="AB264">
        <f t="shared" si="104"/>
        <v>0</v>
      </c>
      <c r="AD264" s="6">
        <f t="shared" si="93"/>
        <v>112397.89056662058</v>
      </c>
      <c r="AG264">
        <f t="shared" si="105"/>
        <v>81327.572923391897</v>
      </c>
      <c r="AH264">
        <f t="shared" si="106"/>
        <v>1653.1897315551776</v>
      </c>
      <c r="AI264">
        <f t="shared" si="107"/>
        <v>3.0905072745275831E-15</v>
      </c>
      <c r="AL264">
        <f t="shared" si="94"/>
        <v>0.98057093038911869</v>
      </c>
      <c r="AM264">
        <f t="shared" si="110"/>
        <v>0.86459915820477373</v>
      </c>
      <c r="AO264">
        <v>262</v>
      </c>
      <c r="AP264">
        <v>0.98287882887848899</v>
      </c>
      <c r="AQ264">
        <v>0.85725453251686101</v>
      </c>
    </row>
    <row r="265" spans="14:43" x14ac:dyDescent="0.35">
      <c r="N265">
        <f t="shared" si="90"/>
        <v>263</v>
      </c>
      <c r="O265" s="6">
        <f t="shared" si="91"/>
        <v>264376.40338811069</v>
      </c>
      <c r="P265">
        <f t="shared" si="95"/>
        <v>13.218820169405536</v>
      </c>
      <c r="Q265">
        <f t="shared" si="96"/>
        <v>0</v>
      </c>
      <c r="R265" s="6">
        <f t="shared" si="108"/>
        <v>362.34116579306902</v>
      </c>
      <c r="S265">
        <f t="shared" si="97"/>
        <v>2.174046994758414</v>
      </c>
      <c r="T265">
        <f t="shared" si="98"/>
        <v>0</v>
      </c>
      <c r="U265" s="6">
        <f t="shared" si="109"/>
        <v>9.8509919375566648E-17</v>
      </c>
      <c r="V265">
        <f t="shared" si="99"/>
        <v>1.4776487906334996E-17</v>
      </c>
      <c r="W265">
        <f t="shared" si="100"/>
        <v>0</v>
      </c>
      <c r="X265">
        <f t="shared" si="92"/>
        <v>264738.74455390376</v>
      </c>
      <c r="Y265" s="6">
        <f t="shared" si="101"/>
        <v>29375.155932012251</v>
      </c>
      <c r="Z265" s="6">
        <f t="shared" si="102"/>
        <v>40.260129532563177</v>
      </c>
      <c r="AA265" s="6">
        <f t="shared" si="103"/>
        <v>1.0945546597285179E-17</v>
      </c>
      <c r="AB265">
        <f t="shared" si="104"/>
        <v>0</v>
      </c>
      <c r="AD265" s="6">
        <f t="shared" si="93"/>
        <v>112382.19319945639</v>
      </c>
      <c r="AG265">
        <f t="shared" si="105"/>
        <v>81323.506544745731</v>
      </c>
      <c r="AH265">
        <f t="shared" si="106"/>
        <v>1643.2705931658465</v>
      </c>
      <c r="AI265">
        <f t="shared" si="107"/>
        <v>2.6269311833484456E-15</v>
      </c>
      <c r="AL265">
        <f t="shared" si="94"/>
        <v>0.98051386871816204</v>
      </c>
      <c r="AM265">
        <f t="shared" si="110"/>
        <v>0.86447840922658759</v>
      </c>
      <c r="AO265">
        <v>263</v>
      </c>
      <c r="AP265">
        <v>0.98276858524004695</v>
      </c>
      <c r="AQ265">
        <v>0.85702402309103098</v>
      </c>
    </row>
    <row r="266" spans="14:43" x14ac:dyDescent="0.35">
      <c r="N266">
        <f t="shared" si="90"/>
        <v>264</v>
      </c>
      <c r="O266" s="6">
        <f t="shared" si="91"/>
        <v>264363.18456794129</v>
      </c>
      <c r="P266">
        <f t="shared" si="95"/>
        <v>13.218159228397065</v>
      </c>
      <c r="Q266">
        <f t="shared" si="96"/>
        <v>0</v>
      </c>
      <c r="R266" s="6">
        <f t="shared" si="108"/>
        <v>360.16711879831058</v>
      </c>
      <c r="S266">
        <f t="shared" si="97"/>
        <v>2.1610027127898634</v>
      </c>
      <c r="T266">
        <f t="shared" si="98"/>
        <v>0</v>
      </c>
      <c r="U266" s="6">
        <f t="shared" si="109"/>
        <v>8.3733431469231649E-17</v>
      </c>
      <c r="V266">
        <f t="shared" si="99"/>
        <v>1.2560014720384747E-17</v>
      </c>
      <c r="W266">
        <f t="shared" si="100"/>
        <v>0</v>
      </c>
      <c r="X266">
        <f t="shared" si="92"/>
        <v>264723.3516867396</v>
      </c>
      <c r="Y266" s="6">
        <f t="shared" si="101"/>
        <v>29373.687174215651</v>
      </c>
      <c r="Z266" s="6">
        <f t="shared" si="102"/>
        <v>40.018568755367795</v>
      </c>
      <c r="AA266" s="6">
        <f t="shared" si="103"/>
        <v>9.3037146076924025E-18</v>
      </c>
      <c r="AB266">
        <f t="shared" si="104"/>
        <v>0</v>
      </c>
      <c r="AD266" s="6">
        <f t="shared" si="93"/>
        <v>112366.55708199636</v>
      </c>
      <c r="AG266">
        <f t="shared" si="105"/>
        <v>81319.440369418488</v>
      </c>
      <c r="AH266">
        <f t="shared" si="106"/>
        <v>1633.4109696068515</v>
      </c>
      <c r="AI266">
        <f t="shared" si="107"/>
        <v>2.2328915058461788E-15</v>
      </c>
      <c r="AL266">
        <f t="shared" si="94"/>
        <v>0.98045685809903549</v>
      </c>
      <c r="AM266">
        <f t="shared" si="110"/>
        <v>0.86435813139997197</v>
      </c>
      <c r="AO266">
        <v>264</v>
      </c>
      <c r="AP266">
        <v>0.98269508948108797</v>
      </c>
      <c r="AQ266">
        <v>0.85677346936730203</v>
      </c>
    </row>
    <row r="267" spans="14:43" x14ac:dyDescent="0.35">
      <c r="N267">
        <f t="shared" si="90"/>
        <v>265</v>
      </c>
      <c r="O267" s="6">
        <f t="shared" si="91"/>
        <v>264349.96640871291</v>
      </c>
      <c r="P267">
        <f t="shared" si="95"/>
        <v>13.217498320435645</v>
      </c>
      <c r="Q267">
        <f t="shared" si="96"/>
        <v>0</v>
      </c>
      <c r="R267" s="6">
        <f t="shared" si="108"/>
        <v>358.00611608552072</v>
      </c>
      <c r="S267">
        <f t="shared" si="97"/>
        <v>2.1480366965131243</v>
      </c>
      <c r="T267">
        <f t="shared" si="98"/>
        <v>0</v>
      </c>
      <c r="U267" s="6">
        <f t="shared" si="109"/>
        <v>7.1173416748846899E-17</v>
      </c>
      <c r="V267">
        <f t="shared" si="99"/>
        <v>1.0676012512327035E-17</v>
      </c>
      <c r="W267">
        <f t="shared" si="100"/>
        <v>0</v>
      </c>
      <c r="X267">
        <f t="shared" si="92"/>
        <v>264707.97252479842</v>
      </c>
      <c r="Y267" s="6">
        <f t="shared" si="101"/>
        <v>29372.218489856939</v>
      </c>
      <c r="Z267" s="6">
        <f t="shared" si="102"/>
        <v>39.778457342835587</v>
      </c>
      <c r="AA267" s="6">
        <f t="shared" si="103"/>
        <v>7.9081574165385416E-18</v>
      </c>
      <c r="AB267">
        <f t="shared" si="104"/>
        <v>0</v>
      </c>
      <c r="AD267" s="6">
        <f t="shared" si="93"/>
        <v>112350.981848389</v>
      </c>
      <c r="AG267">
        <f t="shared" si="105"/>
        <v>81315.37439740001</v>
      </c>
      <c r="AH267">
        <f t="shared" si="106"/>
        <v>1623.6105037892105</v>
      </c>
      <c r="AI267">
        <f t="shared" si="107"/>
        <v>1.897957779969252E-15</v>
      </c>
      <c r="AL267">
        <f t="shared" si="94"/>
        <v>0.98039989823999418</v>
      </c>
      <c r="AM267">
        <f t="shared" si="110"/>
        <v>0.86423832191068461</v>
      </c>
      <c r="AO267">
        <v>265</v>
      </c>
      <c r="AP267">
        <v>0.98262159372212599</v>
      </c>
      <c r="AQ267">
        <v>0.856603092835166</v>
      </c>
    </row>
    <row r="268" spans="14:43" x14ac:dyDescent="0.35">
      <c r="N268">
        <f t="shared" si="90"/>
        <v>266</v>
      </c>
      <c r="O268" s="6">
        <f t="shared" si="91"/>
        <v>264336.74891039246</v>
      </c>
      <c r="P268">
        <f t="shared" si="95"/>
        <v>13.216837445519623</v>
      </c>
      <c r="Q268">
        <f t="shared" si="96"/>
        <v>0</v>
      </c>
      <c r="R268" s="6">
        <f t="shared" si="108"/>
        <v>355.85807938900757</v>
      </c>
      <c r="S268">
        <f t="shared" si="97"/>
        <v>2.1351484763340456</v>
      </c>
      <c r="T268">
        <f t="shared" si="98"/>
        <v>0</v>
      </c>
      <c r="U268" s="6">
        <f t="shared" si="109"/>
        <v>6.0497404236519864E-17</v>
      </c>
      <c r="V268">
        <f t="shared" si="99"/>
        <v>9.0746106354779794E-18</v>
      </c>
      <c r="W268">
        <f t="shared" si="100"/>
        <v>0</v>
      </c>
      <c r="X268">
        <f t="shared" si="92"/>
        <v>264692.60698978149</v>
      </c>
      <c r="Y268" s="6">
        <f t="shared" si="101"/>
        <v>29370.749878932445</v>
      </c>
      <c r="Z268" s="6">
        <f t="shared" si="102"/>
        <v>39.539786598778576</v>
      </c>
      <c r="AA268" s="6">
        <f t="shared" si="103"/>
        <v>6.7219338040577602E-18</v>
      </c>
      <c r="AB268">
        <f t="shared" si="104"/>
        <v>0</v>
      </c>
      <c r="AD268" s="6">
        <f t="shared" si="93"/>
        <v>112335.46713497784</v>
      </c>
      <c r="AG268">
        <f t="shared" si="105"/>
        <v>81311.308628680141</v>
      </c>
      <c r="AH268">
        <f t="shared" si="106"/>
        <v>1613.8688407664752</v>
      </c>
      <c r="AI268">
        <f t="shared" si="107"/>
        <v>1.6132641129738642E-15</v>
      </c>
      <c r="AL268">
        <f t="shared" si="94"/>
        <v>0.98034298885104254</v>
      </c>
      <c r="AM268">
        <f t="shared" si="110"/>
        <v>0.86411897796136794</v>
      </c>
      <c r="AO268">
        <v>266</v>
      </c>
      <c r="AP268">
        <v>0.98255812011211496</v>
      </c>
      <c r="AQ268">
        <v>0.85639262770723201</v>
      </c>
    </row>
    <row r="269" spans="14:43" x14ac:dyDescent="0.35">
      <c r="N269">
        <f t="shared" si="90"/>
        <v>267</v>
      </c>
      <c r="O269" s="6">
        <f t="shared" si="91"/>
        <v>264323.53207294695</v>
      </c>
      <c r="P269">
        <f t="shared" si="95"/>
        <v>13.216176603647348</v>
      </c>
      <c r="Q269">
        <f t="shared" si="96"/>
        <v>0</v>
      </c>
      <c r="R269" s="6">
        <f t="shared" si="108"/>
        <v>353.72293091267352</v>
      </c>
      <c r="S269">
        <f t="shared" si="97"/>
        <v>2.1223375854760413</v>
      </c>
      <c r="T269">
        <f t="shared" si="98"/>
        <v>0</v>
      </c>
      <c r="U269" s="6">
        <f t="shared" si="109"/>
        <v>5.1422793601041887E-17</v>
      </c>
      <c r="V269">
        <f t="shared" si="99"/>
        <v>7.7134190401562827E-18</v>
      </c>
      <c r="W269">
        <f t="shared" si="100"/>
        <v>0</v>
      </c>
      <c r="X269">
        <f t="shared" si="92"/>
        <v>264677.25500385964</v>
      </c>
      <c r="Y269" s="6">
        <f t="shared" si="101"/>
        <v>29369.281341438498</v>
      </c>
      <c r="Z269" s="6">
        <f t="shared" si="102"/>
        <v>39.302547879185902</v>
      </c>
      <c r="AA269" s="6">
        <f t="shared" si="103"/>
        <v>5.7136437334490958E-18</v>
      </c>
      <c r="AB269">
        <f t="shared" si="104"/>
        <v>0</v>
      </c>
      <c r="AD269" s="6">
        <f t="shared" si="93"/>
        <v>112320.01258028827</v>
      </c>
      <c r="AG269">
        <f t="shared" si="105"/>
        <v>81307.243063248708</v>
      </c>
      <c r="AH269">
        <f t="shared" si="106"/>
        <v>1604.1856277218762</v>
      </c>
      <c r="AI269">
        <f t="shared" si="107"/>
        <v>1.3712744960277847E-15</v>
      </c>
      <c r="AL269">
        <f t="shared" si="94"/>
        <v>0.98028612964392459</v>
      </c>
      <c r="AM269">
        <f t="shared" si="110"/>
        <v>0.86400009677144818</v>
      </c>
      <c r="AO269">
        <v>267</v>
      </c>
      <c r="AP269">
        <v>0.98243451360840806</v>
      </c>
      <c r="AQ269">
        <v>0.85623227332404594</v>
      </c>
    </row>
    <row r="270" spans="14:43" x14ac:dyDescent="0.35">
      <c r="N270">
        <f t="shared" si="90"/>
        <v>268</v>
      </c>
      <c r="O270" s="6">
        <f t="shared" si="91"/>
        <v>264310.31589634332</v>
      </c>
      <c r="P270">
        <f t="shared" si="95"/>
        <v>13.215515794817167</v>
      </c>
      <c r="Q270">
        <f t="shared" si="96"/>
        <v>0</v>
      </c>
      <c r="R270" s="6">
        <f t="shared" si="108"/>
        <v>351.60059332719749</v>
      </c>
      <c r="S270">
        <f t="shared" si="97"/>
        <v>2.109603559963185</v>
      </c>
      <c r="T270">
        <f t="shared" si="98"/>
        <v>0</v>
      </c>
      <c r="U270" s="6">
        <f t="shared" si="109"/>
        <v>4.3709374560885607E-17</v>
      </c>
      <c r="V270">
        <f t="shared" si="99"/>
        <v>6.5564061841328404E-18</v>
      </c>
      <c r="W270">
        <f t="shared" si="100"/>
        <v>0</v>
      </c>
      <c r="X270">
        <f t="shared" si="92"/>
        <v>264661.91648967052</v>
      </c>
      <c r="Y270" s="6">
        <f t="shared" si="101"/>
        <v>29367.812877371427</v>
      </c>
      <c r="Z270" s="6">
        <f t="shared" si="102"/>
        <v>39.066732591910785</v>
      </c>
      <c r="AA270" s="6">
        <f t="shared" si="103"/>
        <v>4.8565971734317317E-18</v>
      </c>
      <c r="AB270">
        <f t="shared" si="104"/>
        <v>0</v>
      </c>
      <c r="AD270" s="6">
        <f t="shared" si="93"/>
        <v>112304.61782501441</v>
      </c>
      <c r="AG270">
        <f t="shared" si="105"/>
        <v>81303.177701095541</v>
      </c>
      <c r="AH270">
        <f t="shared" si="106"/>
        <v>1594.560513955545</v>
      </c>
      <c r="AI270">
        <f t="shared" si="107"/>
        <v>1.165583321623617E-15</v>
      </c>
      <c r="AL270">
        <f t="shared" si="94"/>
        <v>0.98022932033211307</v>
      </c>
      <c r="AM270">
        <f t="shared" si="110"/>
        <v>0.86388167557703399</v>
      </c>
      <c r="AO270">
        <v>268</v>
      </c>
      <c r="AP270">
        <v>0.98239108429629496</v>
      </c>
      <c r="AQ270">
        <v>0.85598171960031699</v>
      </c>
    </row>
    <row r="271" spans="14:43" x14ac:dyDescent="0.35">
      <c r="N271">
        <f t="shared" si="90"/>
        <v>269</v>
      </c>
      <c r="O271" s="6">
        <f t="shared" si="91"/>
        <v>264297.10038054851</v>
      </c>
      <c r="P271">
        <f t="shared" si="95"/>
        <v>13.214855019027427</v>
      </c>
      <c r="Q271">
        <f t="shared" si="96"/>
        <v>0</v>
      </c>
      <c r="R271" s="6">
        <f t="shared" si="108"/>
        <v>349.49098976723428</v>
      </c>
      <c r="S271">
        <f t="shared" si="97"/>
        <v>2.0969459386034059</v>
      </c>
      <c r="T271">
        <f t="shared" si="98"/>
        <v>0</v>
      </c>
      <c r="U271" s="6">
        <f t="shared" si="109"/>
        <v>3.7152968376752767E-17</v>
      </c>
      <c r="V271">
        <f t="shared" si="99"/>
        <v>5.5729452565129147E-18</v>
      </c>
      <c r="W271">
        <f t="shared" si="100"/>
        <v>0</v>
      </c>
      <c r="X271">
        <f t="shared" si="92"/>
        <v>264646.59137031576</v>
      </c>
      <c r="Y271" s="6">
        <f t="shared" si="101"/>
        <v>29366.344486727558</v>
      </c>
      <c r="Z271" s="6">
        <f t="shared" si="102"/>
        <v>38.832332196359317</v>
      </c>
      <c r="AA271" s="6">
        <f t="shared" si="103"/>
        <v>4.1281075974169723E-18</v>
      </c>
      <c r="AB271">
        <f t="shared" si="104"/>
        <v>0</v>
      </c>
      <c r="AD271" s="6">
        <f t="shared" si="93"/>
        <v>112289.28251200622</v>
      </c>
      <c r="AG271">
        <f t="shared" si="105"/>
        <v>81299.112542210481</v>
      </c>
      <c r="AH271">
        <f t="shared" si="106"/>
        <v>1584.9931508718118</v>
      </c>
      <c r="AI271">
        <f t="shared" si="107"/>
        <v>9.9074582338007447E-16</v>
      </c>
      <c r="AL271">
        <f t="shared" si="94"/>
        <v>0.98017256063079905</v>
      </c>
      <c r="AM271">
        <f t="shared" si="110"/>
        <v>0.86376371163081711</v>
      </c>
      <c r="AO271">
        <v>269</v>
      </c>
      <c r="AP271">
        <v>0.982320929253651</v>
      </c>
      <c r="AQ271">
        <v>0.85578127662133296</v>
      </c>
    </row>
    <row r="272" spans="14:43" x14ac:dyDescent="0.35">
      <c r="N272">
        <f t="shared" si="90"/>
        <v>270</v>
      </c>
      <c r="O272" s="6">
        <f t="shared" si="91"/>
        <v>264283.88552552951</v>
      </c>
      <c r="P272">
        <f t="shared" si="95"/>
        <v>13.214194276276476</v>
      </c>
      <c r="Q272">
        <f t="shared" si="96"/>
        <v>0</v>
      </c>
      <c r="R272" s="6">
        <f t="shared" si="108"/>
        <v>347.39404382863086</v>
      </c>
      <c r="S272">
        <f t="shared" si="97"/>
        <v>2.0843642629717851</v>
      </c>
      <c r="T272">
        <f t="shared" si="98"/>
        <v>0</v>
      </c>
      <c r="U272" s="6">
        <f t="shared" si="109"/>
        <v>3.1580023120239849E-17</v>
      </c>
      <c r="V272">
        <f t="shared" si="99"/>
        <v>4.7370034680359772E-18</v>
      </c>
      <c r="W272">
        <f t="shared" si="100"/>
        <v>0</v>
      </c>
      <c r="X272">
        <f t="shared" si="92"/>
        <v>264631.27956935816</v>
      </c>
      <c r="Y272" s="6">
        <f t="shared" si="101"/>
        <v>29364.876169503223</v>
      </c>
      <c r="Z272" s="6">
        <f t="shared" si="102"/>
        <v>38.599338203181162</v>
      </c>
      <c r="AA272" s="6">
        <f t="shared" si="103"/>
        <v>3.5088914578044266E-18</v>
      </c>
      <c r="AB272">
        <f t="shared" si="104"/>
        <v>0</v>
      </c>
      <c r="AD272" s="6">
        <f t="shared" si="93"/>
        <v>112274.00628625635</v>
      </c>
      <c r="AG272">
        <f t="shared" si="105"/>
        <v>81295.047586583372</v>
      </c>
      <c r="AH272">
        <f t="shared" si="106"/>
        <v>1575.483191966581</v>
      </c>
      <c r="AI272">
        <f t="shared" si="107"/>
        <v>8.4213394987306332E-16</v>
      </c>
      <c r="AL272">
        <f t="shared" si="94"/>
        <v>0.98011585025688208</v>
      </c>
      <c r="AM272">
        <f t="shared" si="110"/>
        <v>0.86364620220197197</v>
      </c>
      <c r="AO272">
        <v>270</v>
      </c>
      <c r="AP272">
        <v>0.98225411492732195</v>
      </c>
      <c r="AQ272">
        <v>0.85558083364234805</v>
      </c>
    </row>
    <row r="273" spans="14:43" x14ac:dyDescent="0.35">
      <c r="N273">
        <f t="shared" si="90"/>
        <v>271</v>
      </c>
      <c r="O273" s="6">
        <f t="shared" si="91"/>
        <v>264270.67133125325</v>
      </c>
      <c r="P273">
        <f t="shared" si="95"/>
        <v>13.213533566562663</v>
      </c>
      <c r="Q273">
        <f t="shared" si="96"/>
        <v>0</v>
      </c>
      <c r="R273" s="6">
        <f t="shared" si="108"/>
        <v>345.30967956565905</v>
      </c>
      <c r="S273">
        <f t="shared" si="97"/>
        <v>2.0718580773939546</v>
      </c>
      <c r="T273">
        <f t="shared" si="98"/>
        <v>0</v>
      </c>
      <c r="U273" s="6">
        <f t="shared" si="109"/>
        <v>2.6843019652203871E-17</v>
      </c>
      <c r="V273">
        <f t="shared" si="99"/>
        <v>4.0264529478305806E-18</v>
      </c>
      <c r="W273">
        <f t="shared" si="100"/>
        <v>0</v>
      </c>
      <c r="X273">
        <f t="shared" si="92"/>
        <v>264615.98101081891</v>
      </c>
      <c r="Y273" s="6">
        <f t="shared" si="101"/>
        <v>29363.407925694748</v>
      </c>
      <c r="Z273" s="6">
        <f t="shared" si="102"/>
        <v>38.367742173962078</v>
      </c>
      <c r="AA273" s="6">
        <f t="shared" si="103"/>
        <v>2.9825577391337627E-18</v>
      </c>
      <c r="AB273">
        <f t="shared" si="104"/>
        <v>0</v>
      </c>
      <c r="AD273" s="6">
        <f t="shared" si="93"/>
        <v>112258.78879488754</v>
      </c>
      <c r="AG273">
        <f t="shared" si="105"/>
        <v>81290.982834204042</v>
      </c>
      <c r="AH273">
        <f t="shared" si="106"/>
        <v>1566.0302928147814</v>
      </c>
      <c r="AI273">
        <f t="shared" si="107"/>
        <v>7.1581385739210383E-16</v>
      </c>
      <c r="AL273">
        <f t="shared" si="94"/>
        <v>0.98005918892895894</v>
      </c>
      <c r="AM273">
        <f t="shared" si="110"/>
        <v>0.86352914457605801</v>
      </c>
      <c r="AO273">
        <v>271</v>
      </c>
      <c r="AP273">
        <v>0.98216725630309698</v>
      </c>
      <c r="AQ273">
        <v>0.85533027991861998</v>
      </c>
    </row>
    <row r="274" spans="14:43" x14ac:dyDescent="0.35">
      <c r="N274">
        <f t="shared" si="90"/>
        <v>272</v>
      </c>
      <c r="O274" s="6">
        <f t="shared" si="91"/>
        <v>264257.45779768669</v>
      </c>
      <c r="P274">
        <f t="shared" si="95"/>
        <v>13.212872889884334</v>
      </c>
      <c r="Q274">
        <f t="shared" si="96"/>
        <v>0</v>
      </c>
      <c r="R274" s="6">
        <f t="shared" si="108"/>
        <v>343.23782148826513</v>
      </c>
      <c r="S274">
        <f t="shared" si="97"/>
        <v>2.0594269289295908</v>
      </c>
      <c r="T274">
        <f t="shared" si="98"/>
        <v>0</v>
      </c>
      <c r="U274" s="6">
        <f t="shared" si="109"/>
        <v>2.2816566704373289E-17</v>
      </c>
      <c r="V274">
        <f t="shared" si="99"/>
        <v>3.4224850056559933E-18</v>
      </c>
      <c r="W274">
        <f t="shared" si="100"/>
        <v>0</v>
      </c>
      <c r="X274">
        <f t="shared" si="92"/>
        <v>264600.69561917498</v>
      </c>
      <c r="Y274" s="6">
        <f t="shared" si="101"/>
        <v>29361.939755298463</v>
      </c>
      <c r="Z274" s="6">
        <f t="shared" si="102"/>
        <v>38.137535720918308</v>
      </c>
      <c r="AA274" s="6">
        <f t="shared" si="103"/>
        <v>2.5351740782636983E-18</v>
      </c>
      <c r="AB274">
        <f t="shared" si="104"/>
        <v>0</v>
      </c>
      <c r="AD274" s="6">
        <f t="shared" si="93"/>
        <v>112243.6296871396</v>
      </c>
      <c r="AG274">
        <f t="shared" si="105"/>
        <v>81286.918285062333</v>
      </c>
      <c r="AH274">
        <f t="shared" si="106"/>
        <v>1556.6341110578928</v>
      </c>
      <c r="AI274">
        <f t="shared" si="107"/>
        <v>6.0844177878328831E-16</v>
      </c>
      <c r="AL274">
        <f t="shared" si="94"/>
        <v>0.98000257636731469</v>
      </c>
      <c r="AM274">
        <f t="shared" si="110"/>
        <v>0.86341253605492008</v>
      </c>
      <c r="AO274">
        <v>272</v>
      </c>
      <c r="AP274">
        <v>0.98207705696255398</v>
      </c>
      <c r="AQ274">
        <v>0.85507972619489103</v>
      </c>
    </row>
    <row r="275" spans="14:43" x14ac:dyDescent="0.35">
      <c r="N275">
        <f t="shared" si="90"/>
        <v>273</v>
      </c>
      <c r="O275" s="6">
        <f t="shared" si="91"/>
        <v>264244.2449247968</v>
      </c>
      <c r="P275">
        <f t="shared" si="95"/>
        <v>13.21221224623984</v>
      </c>
      <c r="Q275">
        <f t="shared" si="96"/>
        <v>0</v>
      </c>
      <c r="R275" s="6">
        <f t="shared" si="108"/>
        <v>341.17839455933552</v>
      </c>
      <c r="S275">
        <f t="shared" si="97"/>
        <v>2.0470703673560133</v>
      </c>
      <c r="T275">
        <f t="shared" si="98"/>
        <v>0</v>
      </c>
      <c r="U275" s="6">
        <f t="shared" si="109"/>
        <v>1.9394081698717297E-17</v>
      </c>
      <c r="V275">
        <f t="shared" si="99"/>
        <v>2.9091122548075945E-18</v>
      </c>
      <c r="W275">
        <f t="shared" si="100"/>
        <v>0</v>
      </c>
      <c r="X275">
        <f t="shared" si="92"/>
        <v>264585.42331935617</v>
      </c>
      <c r="Y275" s="6">
        <f t="shared" si="101"/>
        <v>29360.471658310697</v>
      </c>
      <c r="Z275" s="6">
        <f t="shared" si="102"/>
        <v>37.908710506592797</v>
      </c>
      <c r="AA275" s="6">
        <f t="shared" si="103"/>
        <v>2.1548979665241434E-18</v>
      </c>
      <c r="AB275">
        <f t="shared" si="104"/>
        <v>0</v>
      </c>
      <c r="AD275" s="6">
        <f t="shared" si="93"/>
        <v>112228.52861435691</v>
      </c>
      <c r="AG275">
        <f t="shared" si="105"/>
        <v>81282.853939148074</v>
      </c>
      <c r="AH275">
        <f t="shared" si="106"/>
        <v>1547.2943063915454</v>
      </c>
      <c r="AI275">
        <f t="shared" si="107"/>
        <v>5.171755119657951E-16</v>
      </c>
      <c r="AL275">
        <f t="shared" si="94"/>
        <v>0.97994601229391176</v>
      </c>
      <c r="AM275">
        <f t="shared" si="110"/>
        <v>0.86329637395659165</v>
      </c>
      <c r="AO275">
        <v>273</v>
      </c>
      <c r="AP275">
        <v>0.98201358335254396</v>
      </c>
      <c r="AQ275">
        <v>0.85492939396065304</v>
      </c>
    </row>
    <row r="276" spans="14:43" x14ac:dyDescent="0.35">
      <c r="N276">
        <f t="shared" si="90"/>
        <v>274</v>
      </c>
      <c r="O276" s="6">
        <f t="shared" si="91"/>
        <v>264231.03271255054</v>
      </c>
      <c r="P276">
        <f t="shared" si="95"/>
        <v>13.211551635627528</v>
      </c>
      <c r="Q276">
        <f t="shared" si="96"/>
        <v>0</v>
      </c>
      <c r="R276" s="6">
        <f t="shared" si="108"/>
        <v>339.1313241919795</v>
      </c>
      <c r="S276">
        <f t="shared" si="97"/>
        <v>2.0347879451518769</v>
      </c>
      <c r="T276">
        <f t="shared" si="98"/>
        <v>0</v>
      </c>
      <c r="U276" s="6">
        <f t="shared" si="109"/>
        <v>1.6484969443909703E-17</v>
      </c>
      <c r="V276">
        <f t="shared" si="99"/>
        <v>2.4727454165864554E-18</v>
      </c>
      <c r="W276">
        <f t="shared" si="100"/>
        <v>0</v>
      </c>
      <c r="X276">
        <f t="shared" si="92"/>
        <v>264570.16403674253</v>
      </c>
      <c r="Y276" s="6">
        <f t="shared" si="101"/>
        <v>29359.003634727782</v>
      </c>
      <c r="Z276" s="6">
        <f t="shared" si="102"/>
        <v>37.681258243553238</v>
      </c>
      <c r="AA276" s="6">
        <f t="shared" si="103"/>
        <v>1.8316632715455218E-18</v>
      </c>
      <c r="AB276">
        <f t="shared" si="104"/>
        <v>0</v>
      </c>
      <c r="AD276" s="6">
        <f t="shared" si="93"/>
        <v>112213.48522997565</v>
      </c>
      <c r="AG276">
        <f t="shared" si="105"/>
        <v>81278.789796451121</v>
      </c>
      <c r="AH276">
        <f t="shared" si="106"/>
        <v>1538.0105405531961</v>
      </c>
      <c r="AI276">
        <f t="shared" si="107"/>
        <v>4.3959918517092583E-16</v>
      </c>
      <c r="AL276">
        <f t="shared" si="94"/>
        <v>0.97988949643237977</v>
      </c>
      <c r="AM276">
        <f t="shared" si="110"/>
        <v>0.8631806556151973</v>
      </c>
      <c r="AO276">
        <v>274</v>
      </c>
      <c r="AP276">
        <v>0.98194008759358098</v>
      </c>
      <c r="AQ276">
        <v>0.85478908387536401</v>
      </c>
    </row>
    <row r="277" spans="14:43" x14ac:dyDescent="0.35">
      <c r="N277">
        <f t="shared" si="90"/>
        <v>275</v>
      </c>
      <c r="O277" s="6">
        <f t="shared" si="91"/>
        <v>264217.8211609149</v>
      </c>
      <c r="P277">
        <f t="shared" si="95"/>
        <v>13.210891058045746</v>
      </c>
      <c r="Q277">
        <f t="shared" si="96"/>
        <v>0</v>
      </c>
      <c r="R277" s="6">
        <f t="shared" si="108"/>
        <v>337.09653624682761</v>
      </c>
      <c r="S277">
        <f t="shared" si="97"/>
        <v>2.0225792174809656</v>
      </c>
      <c r="T277">
        <f t="shared" si="98"/>
        <v>0</v>
      </c>
      <c r="U277" s="6">
        <f t="shared" si="109"/>
        <v>1.4012224027323249E-17</v>
      </c>
      <c r="V277">
        <f t="shared" si="99"/>
        <v>2.1018336040984873E-18</v>
      </c>
      <c r="W277">
        <f t="shared" si="100"/>
        <v>0</v>
      </c>
      <c r="X277">
        <f t="shared" si="92"/>
        <v>264554.91769716173</v>
      </c>
      <c r="Y277" s="6">
        <f t="shared" si="101"/>
        <v>29357.535684546045</v>
      </c>
      <c r="Z277" s="6">
        <f t="shared" si="102"/>
        <v>37.455170694091919</v>
      </c>
      <c r="AA277" s="6">
        <f t="shared" si="103"/>
        <v>1.5569137808136935E-18</v>
      </c>
      <c r="AB277">
        <f t="shared" si="104"/>
        <v>0</v>
      </c>
      <c r="AD277" s="6">
        <f t="shared" si="93"/>
        <v>112198.49918951132</v>
      </c>
      <c r="AG277">
        <f t="shared" si="105"/>
        <v>81274.725856961304</v>
      </c>
      <c r="AH277">
        <f t="shared" si="106"/>
        <v>1528.7824773098769</v>
      </c>
      <c r="AI277">
        <f t="shared" si="107"/>
        <v>3.7365930739528697E-16</v>
      </c>
      <c r="AL277">
        <f t="shared" si="94"/>
        <v>0.97983302850800635</v>
      </c>
      <c r="AM277">
        <f t="shared" si="110"/>
        <v>0.86306537838085629</v>
      </c>
      <c r="AO277">
        <v>275</v>
      </c>
      <c r="AP277">
        <v>0.98185322896935601</v>
      </c>
      <c r="AQ277">
        <v>0.85465879593902405</v>
      </c>
    </row>
    <row r="278" spans="14:43" x14ac:dyDescent="0.35">
      <c r="N278">
        <f t="shared" si="90"/>
        <v>276</v>
      </c>
      <c r="O278" s="6">
        <f t="shared" si="91"/>
        <v>264204.61026985687</v>
      </c>
      <c r="P278">
        <f t="shared" si="95"/>
        <v>13.210230513492844</v>
      </c>
      <c r="Q278">
        <f t="shared" si="96"/>
        <v>0</v>
      </c>
      <c r="R278" s="6">
        <f t="shared" si="108"/>
        <v>335.07395702934667</v>
      </c>
      <c r="S278">
        <f t="shared" si="97"/>
        <v>2.0104437421760801</v>
      </c>
      <c r="T278">
        <f t="shared" si="98"/>
        <v>0</v>
      </c>
      <c r="U278" s="6">
        <f t="shared" si="109"/>
        <v>1.1910390423224761E-17</v>
      </c>
      <c r="V278">
        <f t="shared" si="99"/>
        <v>1.7865585634837143E-18</v>
      </c>
      <c r="W278">
        <f t="shared" si="100"/>
        <v>0</v>
      </c>
      <c r="X278">
        <f t="shared" si="92"/>
        <v>264539.68422688619</v>
      </c>
      <c r="Y278" s="6">
        <f t="shared" si="101"/>
        <v>29356.067807761818</v>
      </c>
      <c r="Z278" s="6">
        <f t="shared" si="102"/>
        <v>37.230439669927364</v>
      </c>
      <c r="AA278" s="6">
        <f t="shared" si="103"/>
        <v>1.3233767136916395E-18</v>
      </c>
      <c r="AB278">
        <f t="shared" si="104"/>
        <v>0</v>
      </c>
      <c r="AD278" s="6">
        <f t="shared" si="93"/>
        <v>112183.57015054622</v>
      </c>
      <c r="AG278">
        <f t="shared" si="105"/>
        <v>81270.66212066845</v>
      </c>
      <c r="AH278">
        <f t="shared" si="106"/>
        <v>1519.6097824460176</v>
      </c>
      <c r="AI278">
        <f t="shared" si="107"/>
        <v>3.1761041128599392E-16</v>
      </c>
      <c r="AL278">
        <f t="shared" si="94"/>
        <v>0.97977660824772661</v>
      </c>
      <c r="AM278">
        <f t="shared" si="110"/>
        <v>0.86295053961958634</v>
      </c>
      <c r="AO278">
        <v>276</v>
      </c>
      <c r="AP278">
        <v>0.98175968891249599</v>
      </c>
      <c r="AQ278">
        <v>0.85454855230058402</v>
      </c>
    </row>
    <row r="279" spans="14:43" x14ac:dyDescent="0.35">
      <c r="N279">
        <f t="shared" si="90"/>
        <v>277</v>
      </c>
      <c r="O279" s="6">
        <f t="shared" si="91"/>
        <v>264191.4000393434</v>
      </c>
      <c r="P279">
        <f t="shared" si="95"/>
        <v>13.209570001967171</v>
      </c>
      <c r="Q279">
        <f t="shared" si="96"/>
        <v>0</v>
      </c>
      <c r="R279" s="6">
        <f t="shared" si="108"/>
        <v>333.06351328717057</v>
      </c>
      <c r="S279">
        <f t="shared" si="97"/>
        <v>1.9983810797230235</v>
      </c>
      <c r="T279">
        <f t="shared" si="98"/>
        <v>0</v>
      </c>
      <c r="U279" s="6">
        <f t="shared" si="109"/>
        <v>1.0123831859741047E-17</v>
      </c>
      <c r="V279">
        <f t="shared" si="99"/>
        <v>1.518574778961157E-18</v>
      </c>
      <c r="W279">
        <f t="shared" si="100"/>
        <v>0</v>
      </c>
      <c r="X279">
        <f t="shared" si="92"/>
        <v>264524.46355263056</v>
      </c>
      <c r="Y279" s="6">
        <f t="shared" si="101"/>
        <v>29354.60000437143</v>
      </c>
      <c r="Z279" s="6">
        <f t="shared" si="102"/>
        <v>37.007057031907799</v>
      </c>
      <c r="AA279" s="6">
        <f t="shared" si="103"/>
        <v>1.1248702066378937E-18</v>
      </c>
      <c r="AB279">
        <f t="shared" si="104"/>
        <v>0</v>
      </c>
      <c r="AD279" s="6">
        <f t="shared" si="93"/>
        <v>112168.6977727171</v>
      </c>
      <c r="AG279">
        <f t="shared" si="105"/>
        <v>81266.598587562417</v>
      </c>
      <c r="AH279">
        <f t="shared" si="106"/>
        <v>1510.4921237513415</v>
      </c>
      <c r="AI279">
        <f t="shared" si="107"/>
        <v>2.6996884959309483E-16</v>
      </c>
      <c r="AL279">
        <f t="shared" si="94"/>
        <v>0.97972023538011321</v>
      </c>
      <c r="AM279">
        <f t="shared" si="110"/>
        <v>0.86283613671320847</v>
      </c>
      <c r="AO279">
        <v>277</v>
      </c>
      <c r="AP279">
        <v>0.98165946742300603</v>
      </c>
      <c r="AQ279">
        <v>0.85433808717265103</v>
      </c>
    </row>
    <row r="280" spans="14:43" x14ac:dyDescent="0.35">
      <c r="N280">
        <f t="shared" si="90"/>
        <v>278</v>
      </c>
      <c r="O280" s="6">
        <f t="shared" si="91"/>
        <v>264178.19046934141</v>
      </c>
      <c r="P280">
        <f t="shared" si="95"/>
        <v>13.208909523467071</v>
      </c>
      <c r="Q280">
        <f t="shared" si="96"/>
        <v>0</v>
      </c>
      <c r="R280" s="6">
        <f t="shared" si="108"/>
        <v>331.06513220744756</v>
      </c>
      <c r="S280">
        <f t="shared" si="97"/>
        <v>1.9863907932446854</v>
      </c>
      <c r="T280">
        <f t="shared" si="98"/>
        <v>0</v>
      </c>
      <c r="U280" s="6">
        <f t="shared" si="109"/>
        <v>8.6052570807798892E-18</v>
      </c>
      <c r="V280">
        <f t="shared" si="99"/>
        <v>1.2907885621169834E-18</v>
      </c>
      <c r="W280">
        <f t="shared" si="100"/>
        <v>0</v>
      </c>
      <c r="X280">
        <f t="shared" si="92"/>
        <v>264509.25560154888</v>
      </c>
      <c r="Y280" s="6">
        <f t="shared" si="101"/>
        <v>29353.132274371212</v>
      </c>
      <c r="Z280" s="6">
        <f t="shared" si="102"/>
        <v>36.785014689716348</v>
      </c>
      <c r="AA280" s="6">
        <f t="shared" si="103"/>
        <v>9.5613967564220961E-19</v>
      </c>
      <c r="AB280">
        <f t="shared" si="104"/>
        <v>0</v>
      </c>
      <c r="AD280" s="6">
        <f t="shared" si="93"/>
        <v>112153.8817177028</v>
      </c>
      <c r="AG280">
        <f t="shared" si="105"/>
        <v>81262.535257633033</v>
      </c>
      <c r="AH280">
        <f t="shared" si="106"/>
        <v>1501.4291710088335</v>
      </c>
      <c r="AI280">
        <f t="shared" si="107"/>
        <v>2.2947352215413061E-16</v>
      </c>
      <c r="AL280">
        <f t="shared" si="94"/>
        <v>0.9796639096353662</v>
      </c>
      <c r="AM280">
        <f t="shared" si="110"/>
        <v>0.86272216705925231</v>
      </c>
      <c r="AO280">
        <v>278</v>
      </c>
      <c r="AP280">
        <v>0.98156926808246303</v>
      </c>
      <c r="AQ280">
        <v>0.85412762204471904</v>
      </c>
    </row>
    <row r="281" spans="14:43" x14ac:dyDescent="0.35">
      <c r="N281">
        <f t="shared" si="90"/>
        <v>279</v>
      </c>
      <c r="O281" s="6">
        <f t="shared" si="91"/>
        <v>264164.98155981797</v>
      </c>
      <c r="P281">
        <f t="shared" si="95"/>
        <v>13.208249077990899</v>
      </c>
      <c r="Q281">
        <f t="shared" si="96"/>
        <v>0</v>
      </c>
      <c r="R281" s="6">
        <f t="shared" si="108"/>
        <v>329.07874141420285</v>
      </c>
      <c r="S281">
        <f t="shared" si="97"/>
        <v>1.9744724484852172</v>
      </c>
      <c r="T281">
        <f t="shared" si="98"/>
        <v>0</v>
      </c>
      <c r="U281" s="6">
        <f t="shared" si="109"/>
        <v>7.314468518662905E-18</v>
      </c>
      <c r="V281">
        <f t="shared" si="99"/>
        <v>1.0971702777994357E-18</v>
      </c>
      <c r="W281">
        <f t="shared" si="100"/>
        <v>0</v>
      </c>
      <c r="X281">
        <f t="shared" si="92"/>
        <v>264494.06030123215</v>
      </c>
      <c r="Y281" s="6">
        <f t="shared" si="101"/>
        <v>29351.664617757495</v>
      </c>
      <c r="Z281" s="6">
        <f t="shared" si="102"/>
        <v>36.564304601578051</v>
      </c>
      <c r="AA281" s="6">
        <f t="shared" si="103"/>
        <v>8.1271872429587819E-19</v>
      </c>
      <c r="AB281">
        <f t="shared" si="104"/>
        <v>0</v>
      </c>
      <c r="AD281" s="6">
        <f t="shared" si="93"/>
        <v>112139.12164921201</v>
      </c>
      <c r="AG281">
        <f t="shared" si="105"/>
        <v>81258.472130870156</v>
      </c>
      <c r="AH281">
        <f t="shared" si="106"/>
        <v>1492.4205959827805</v>
      </c>
      <c r="AI281">
        <f t="shared" si="107"/>
        <v>1.9505249383101101E-16</v>
      </c>
      <c r="AL281">
        <f t="shared" si="94"/>
        <v>0.97960763074530421</v>
      </c>
      <c r="AM281">
        <f t="shared" si="110"/>
        <v>0.86260862807086169</v>
      </c>
      <c r="AO281">
        <v>279</v>
      </c>
      <c r="AP281">
        <v>0.98146904659296996</v>
      </c>
      <c r="AQ281">
        <v>0.85398731195942901</v>
      </c>
    </row>
    <row r="282" spans="14:43" x14ac:dyDescent="0.35">
      <c r="N282">
        <f t="shared" si="90"/>
        <v>280</v>
      </c>
      <c r="O282" s="6">
        <f t="shared" si="91"/>
        <v>264151.77331073995</v>
      </c>
      <c r="P282">
        <f t="shared" si="95"/>
        <v>13.207588665536999</v>
      </c>
      <c r="Q282">
        <f t="shared" si="96"/>
        <v>0</v>
      </c>
      <c r="R282" s="6">
        <f t="shared" si="108"/>
        <v>327.10426896571761</v>
      </c>
      <c r="S282">
        <f t="shared" si="97"/>
        <v>1.9626256137943057</v>
      </c>
      <c r="T282">
        <f t="shared" si="98"/>
        <v>0</v>
      </c>
      <c r="U282" s="6">
        <f t="shared" si="109"/>
        <v>6.2172982408634697E-18</v>
      </c>
      <c r="V282">
        <f t="shared" si="99"/>
        <v>9.3259473612952035E-19</v>
      </c>
      <c r="W282">
        <f t="shared" si="100"/>
        <v>0</v>
      </c>
      <c r="X282">
        <f t="shared" si="92"/>
        <v>264478.87757970567</v>
      </c>
      <c r="Y282" s="6">
        <f t="shared" si="101"/>
        <v>29350.197034526605</v>
      </c>
      <c r="Z282" s="6">
        <f t="shared" si="102"/>
        <v>36.34491877396858</v>
      </c>
      <c r="AA282" s="6">
        <f t="shared" si="103"/>
        <v>6.9081091565149649E-19</v>
      </c>
      <c r="AB282">
        <f t="shared" si="104"/>
        <v>0</v>
      </c>
      <c r="AD282" s="6">
        <f t="shared" si="93"/>
        <v>112124.41723297107</v>
      </c>
      <c r="AG282">
        <f t="shared" si="105"/>
        <v>81254.409207263612</v>
      </c>
      <c r="AH282">
        <f t="shared" si="106"/>
        <v>1483.4660724068838</v>
      </c>
      <c r="AI282">
        <f t="shared" si="107"/>
        <v>1.6579461975635936E-16</v>
      </c>
      <c r="AL282">
        <f t="shared" si="94"/>
        <v>0.97955139844335437</v>
      </c>
      <c r="AM282">
        <f t="shared" si="110"/>
        <v>0.86249551717670059</v>
      </c>
      <c r="AO282">
        <v>280</v>
      </c>
      <c r="AP282">
        <v>0.98138886940137604</v>
      </c>
      <c r="AQ282">
        <v>0.85375680253359998</v>
      </c>
    </row>
    <row r="283" spans="14:43" x14ac:dyDescent="0.35">
      <c r="N283">
        <f t="shared" si="90"/>
        <v>281</v>
      </c>
      <c r="O283" s="6">
        <f t="shared" si="91"/>
        <v>264138.56572207442</v>
      </c>
      <c r="P283">
        <f t="shared" si="95"/>
        <v>13.206928286103722</v>
      </c>
      <c r="Q283">
        <f t="shared" si="96"/>
        <v>0</v>
      </c>
      <c r="R283" s="6">
        <f t="shared" si="108"/>
        <v>325.14164335192328</v>
      </c>
      <c r="S283">
        <f t="shared" si="97"/>
        <v>1.9508498601115396</v>
      </c>
      <c r="T283">
        <f t="shared" si="98"/>
        <v>0</v>
      </c>
      <c r="U283" s="6">
        <f t="shared" si="109"/>
        <v>5.2847035047339496E-18</v>
      </c>
      <c r="V283">
        <f t="shared" si="99"/>
        <v>7.9270552571009244E-19</v>
      </c>
      <c r="W283">
        <f t="shared" si="100"/>
        <v>0</v>
      </c>
      <c r="X283">
        <f t="shared" si="92"/>
        <v>264463.70736542635</v>
      </c>
      <c r="Y283" s="6">
        <f t="shared" si="101"/>
        <v>29348.72952467488</v>
      </c>
      <c r="Z283" s="6">
        <f t="shared" si="102"/>
        <v>36.126849261324772</v>
      </c>
      <c r="AA283" s="6">
        <f t="shared" si="103"/>
        <v>5.87189278303772E-19</v>
      </c>
      <c r="AB283">
        <f t="shared" si="104"/>
        <v>0</v>
      </c>
      <c r="AD283" s="6">
        <f t="shared" si="93"/>
        <v>112109.76813671189</v>
      </c>
      <c r="AG283">
        <f t="shared" si="105"/>
        <v>81250.346486803246</v>
      </c>
      <c r="AH283">
        <f t="shared" si="106"/>
        <v>1474.5652759724426</v>
      </c>
      <c r="AI283">
        <f t="shared" si="107"/>
        <v>1.4092542679290545E-16</v>
      </c>
      <c r="AL283">
        <f t="shared" si="94"/>
        <v>0.97949521246454208</v>
      </c>
      <c r="AM283">
        <f t="shared" si="110"/>
        <v>0.86238283182086073</v>
      </c>
      <c r="AO283">
        <v>281</v>
      </c>
      <c r="AP283">
        <v>0.98130535149346698</v>
      </c>
      <c r="AQ283">
        <v>0.85360647029936199</v>
      </c>
    </row>
    <row r="284" spans="14:43" x14ac:dyDescent="0.35">
      <c r="N284">
        <f t="shared" si="90"/>
        <v>282</v>
      </c>
      <c r="O284" s="6">
        <f t="shared" si="91"/>
        <v>264125.3587937883</v>
      </c>
      <c r="P284">
        <f t="shared" si="95"/>
        <v>13.206267939689415</v>
      </c>
      <c r="Q284">
        <f t="shared" si="96"/>
        <v>0</v>
      </c>
      <c r="R284" s="6">
        <f t="shared" si="108"/>
        <v>323.19079349181175</v>
      </c>
      <c r="S284">
        <f t="shared" si="97"/>
        <v>1.9391447609508705</v>
      </c>
      <c r="T284">
        <f t="shared" si="98"/>
        <v>0</v>
      </c>
      <c r="U284" s="6">
        <f t="shared" si="109"/>
        <v>4.4919979790238571E-18</v>
      </c>
      <c r="V284">
        <f t="shared" si="99"/>
        <v>6.7379969685357853E-19</v>
      </c>
      <c r="W284">
        <f t="shared" si="100"/>
        <v>0</v>
      </c>
      <c r="X284">
        <f t="shared" si="92"/>
        <v>264448.54958728008</v>
      </c>
      <c r="Y284" s="6">
        <f t="shared" si="101"/>
        <v>29347.262088198648</v>
      </c>
      <c r="Z284" s="6">
        <f t="shared" si="102"/>
        <v>35.910088165756825</v>
      </c>
      <c r="AA284" s="6">
        <f t="shared" si="103"/>
        <v>4.9911088655820624E-19</v>
      </c>
      <c r="AB284">
        <f t="shared" si="104"/>
        <v>0</v>
      </c>
      <c r="AD284" s="6">
        <f t="shared" si="93"/>
        <v>112095.17403015991</v>
      </c>
      <c r="AG284">
        <f t="shared" si="105"/>
        <v>81246.2839694789</v>
      </c>
      <c r="AH284">
        <f t="shared" si="106"/>
        <v>1465.717884316608</v>
      </c>
      <c r="AI284">
        <f t="shared" si="107"/>
        <v>1.1978661277396963E-16</v>
      </c>
      <c r="AL284">
        <f t="shared" si="94"/>
        <v>0.97943907254548179</v>
      </c>
      <c r="AM284">
        <f t="shared" si="110"/>
        <v>0.86227056946276848</v>
      </c>
      <c r="AO284">
        <v>282</v>
      </c>
      <c r="AP284">
        <v>0.98122517430187295</v>
      </c>
      <c r="AQ284">
        <v>0.85341604946932603</v>
      </c>
    </row>
    <row r="285" spans="14:43" x14ac:dyDescent="0.35">
      <c r="N285">
        <f t="shared" si="90"/>
        <v>283</v>
      </c>
      <c r="O285" s="6">
        <f t="shared" si="91"/>
        <v>264112.15252584859</v>
      </c>
      <c r="P285">
        <f t="shared" si="95"/>
        <v>13.20560762629243</v>
      </c>
      <c r="Q285">
        <f t="shared" si="96"/>
        <v>0</v>
      </c>
      <c r="R285" s="6">
        <f t="shared" si="108"/>
        <v>321.25164873086089</v>
      </c>
      <c r="S285">
        <f t="shared" si="97"/>
        <v>1.9275098923851655</v>
      </c>
      <c r="T285">
        <f t="shared" si="98"/>
        <v>0</v>
      </c>
      <c r="U285" s="6">
        <f t="shared" si="109"/>
        <v>3.8181982821702784E-18</v>
      </c>
      <c r="V285">
        <f t="shared" si="99"/>
        <v>5.7272974232554171E-19</v>
      </c>
      <c r="W285">
        <f t="shared" si="100"/>
        <v>0</v>
      </c>
      <c r="X285">
        <f t="shared" si="92"/>
        <v>264433.40417457948</v>
      </c>
      <c r="Y285" s="6">
        <f t="shared" si="101"/>
        <v>29345.794725094238</v>
      </c>
      <c r="Z285" s="6">
        <f t="shared" si="102"/>
        <v>35.694627636762284</v>
      </c>
      <c r="AA285" s="6">
        <f t="shared" si="103"/>
        <v>4.2424425357447532E-19</v>
      </c>
      <c r="AB285">
        <f t="shared" si="104"/>
        <v>0</v>
      </c>
      <c r="AD285" s="6">
        <f t="shared" si="93"/>
        <v>112080.63458502214</v>
      </c>
      <c r="AG285">
        <f t="shared" si="105"/>
        <v>81242.221655280431</v>
      </c>
      <c r="AH285">
        <f t="shared" si="106"/>
        <v>1456.9235770107084</v>
      </c>
      <c r="AI285">
        <f t="shared" si="107"/>
        <v>1.0181862085787419E-16</v>
      </c>
      <c r="AL285">
        <f t="shared" si="94"/>
        <v>0.9793829784243685</v>
      </c>
      <c r="AM285">
        <f t="shared" si="110"/>
        <v>0.86215872757709344</v>
      </c>
      <c r="AO285">
        <v>283</v>
      </c>
      <c r="AP285">
        <v>0.98116504140817895</v>
      </c>
      <c r="AQ285">
        <v>0.85326571723508904</v>
      </c>
    </row>
    <row r="286" spans="14:43" x14ac:dyDescent="0.35">
      <c r="N286">
        <f t="shared" si="90"/>
        <v>284</v>
      </c>
      <c r="O286" s="6">
        <f t="shared" si="91"/>
        <v>264098.9469182223</v>
      </c>
      <c r="P286">
        <f t="shared" si="95"/>
        <v>13.204947345911116</v>
      </c>
      <c r="Q286">
        <f t="shared" si="96"/>
        <v>0</v>
      </c>
      <c r="R286" s="6">
        <f t="shared" si="108"/>
        <v>319.32413883847573</v>
      </c>
      <c r="S286">
        <f t="shared" si="97"/>
        <v>1.9159448330308544</v>
      </c>
      <c r="T286">
        <f t="shared" si="98"/>
        <v>0</v>
      </c>
      <c r="U286" s="6">
        <f t="shared" si="109"/>
        <v>3.2454685398447366E-18</v>
      </c>
      <c r="V286">
        <f t="shared" si="99"/>
        <v>4.8682028097671049E-19</v>
      </c>
      <c r="W286">
        <f t="shared" si="100"/>
        <v>0</v>
      </c>
      <c r="X286">
        <f t="shared" si="92"/>
        <v>264418.27105706075</v>
      </c>
      <c r="Y286" s="6">
        <f t="shared" si="101"/>
        <v>29344.327435357984</v>
      </c>
      <c r="Z286" s="6">
        <f t="shared" si="102"/>
        <v>35.480459870941708</v>
      </c>
      <c r="AA286" s="6">
        <f t="shared" si="103"/>
        <v>3.6060761553830405E-19</v>
      </c>
      <c r="AB286">
        <f t="shared" si="104"/>
        <v>0</v>
      </c>
      <c r="AD286" s="6">
        <f t="shared" si="93"/>
        <v>112066.14947497523</v>
      </c>
      <c r="AG286">
        <f t="shared" si="105"/>
        <v>81238.159544197668</v>
      </c>
      <c r="AH286">
        <f t="shared" si="106"/>
        <v>1448.1820355486441</v>
      </c>
      <c r="AI286">
        <f t="shared" si="107"/>
        <v>8.6545827729193067E-17</v>
      </c>
      <c r="AL286">
        <f t="shared" si="94"/>
        <v>0.9793269298409657</v>
      </c>
      <c r="AM286">
        <f t="shared" si="110"/>
        <v>0.86204730365365567</v>
      </c>
      <c r="AO286">
        <v>284</v>
      </c>
      <c r="AP286">
        <v>0.98108486421658503</v>
      </c>
      <c r="AQ286">
        <v>0.85305525210715605</v>
      </c>
    </row>
    <row r="287" spans="14:43" x14ac:dyDescent="0.35">
      <c r="N287">
        <f t="shared" si="90"/>
        <v>285</v>
      </c>
      <c r="O287" s="6">
        <f t="shared" si="91"/>
        <v>264085.74197087641</v>
      </c>
      <c r="P287">
        <f t="shared" si="95"/>
        <v>13.204287098543821</v>
      </c>
      <c r="Q287">
        <f t="shared" si="96"/>
        <v>0</v>
      </c>
      <c r="R287" s="6">
        <f t="shared" si="108"/>
        <v>317.4081940054449</v>
      </c>
      <c r="S287">
        <f t="shared" si="97"/>
        <v>1.9044491640326695</v>
      </c>
      <c r="T287">
        <f t="shared" si="98"/>
        <v>0</v>
      </c>
      <c r="U287" s="6">
        <f t="shared" si="109"/>
        <v>2.7586482588680261E-18</v>
      </c>
      <c r="V287">
        <f t="shared" si="99"/>
        <v>4.137972388302039E-19</v>
      </c>
      <c r="W287">
        <f t="shared" si="100"/>
        <v>0</v>
      </c>
      <c r="X287">
        <f t="shared" si="92"/>
        <v>264403.15016488184</v>
      </c>
      <c r="Y287" s="6">
        <f t="shared" si="101"/>
        <v>29342.860218986214</v>
      </c>
      <c r="Z287" s="6">
        <f t="shared" si="102"/>
        <v>35.267577111716058</v>
      </c>
      <c r="AA287" s="6">
        <f t="shared" si="103"/>
        <v>3.0651647320755847E-19</v>
      </c>
      <c r="AB287">
        <f t="shared" si="104"/>
        <v>0</v>
      </c>
      <c r="AD287" s="6">
        <f t="shared" si="93"/>
        <v>112051.71837565374</v>
      </c>
      <c r="AG287">
        <f t="shared" si="105"/>
        <v>81234.097636220453</v>
      </c>
      <c r="AH287">
        <f t="shared" si="106"/>
        <v>1439.4929433353523</v>
      </c>
      <c r="AI287">
        <f t="shared" si="107"/>
        <v>7.3563953569814108E-17</v>
      </c>
      <c r="AL287">
        <f t="shared" si="94"/>
        <v>0.97927092653659942</v>
      </c>
      <c r="AM287">
        <f t="shared" si="110"/>
        <v>0.8619362951973365</v>
      </c>
      <c r="AO287">
        <v>285</v>
      </c>
      <c r="AP287">
        <v>0.98100802774130902</v>
      </c>
      <c r="AQ287">
        <v>0.85290491987291905</v>
      </c>
    </row>
    <row r="288" spans="14:43" x14ac:dyDescent="0.35">
      <c r="N288">
        <f t="shared" si="90"/>
        <v>286</v>
      </c>
      <c r="O288" s="6">
        <f t="shared" si="91"/>
        <v>264072.53768377786</v>
      </c>
      <c r="P288">
        <f t="shared" si="95"/>
        <v>13.203626884188894</v>
      </c>
      <c r="Q288">
        <f t="shared" si="96"/>
        <v>0</v>
      </c>
      <c r="R288" s="6">
        <f t="shared" si="108"/>
        <v>315.50374484141224</v>
      </c>
      <c r="S288">
        <f t="shared" si="97"/>
        <v>1.8930224690484736</v>
      </c>
      <c r="T288">
        <f t="shared" si="98"/>
        <v>0</v>
      </c>
      <c r="U288" s="6">
        <f t="shared" si="109"/>
        <v>2.3448510200378221E-18</v>
      </c>
      <c r="V288">
        <f t="shared" si="99"/>
        <v>3.5172765300567332E-19</v>
      </c>
      <c r="W288">
        <f t="shared" si="100"/>
        <v>0</v>
      </c>
      <c r="X288">
        <f t="shared" si="92"/>
        <v>264388.0414286193</v>
      </c>
      <c r="Y288" s="6">
        <f t="shared" si="101"/>
        <v>29341.393075975266</v>
      </c>
      <c r="Z288" s="6">
        <f t="shared" si="102"/>
        <v>35.055971649045759</v>
      </c>
      <c r="AA288" s="6">
        <f t="shared" si="103"/>
        <v>2.6053900222642471E-19</v>
      </c>
      <c r="AB288">
        <f t="shared" si="104"/>
        <v>0</v>
      </c>
      <c r="AD288" s="6">
        <f t="shared" si="93"/>
        <v>112037.34096463829</v>
      </c>
      <c r="AG288">
        <f t="shared" si="105"/>
        <v>81230.035931338643</v>
      </c>
      <c r="AH288">
        <f t="shared" si="106"/>
        <v>1430.8559856753402</v>
      </c>
      <c r="AI288">
        <f t="shared" si="107"/>
        <v>6.2529360534341991E-17</v>
      </c>
      <c r="AL288">
        <f t="shared" si="94"/>
        <v>0.97921496825414556</v>
      </c>
      <c r="AM288">
        <f t="shared" si="110"/>
        <v>0.86182569972798684</v>
      </c>
      <c r="AO288">
        <v>286</v>
      </c>
      <c r="AP288">
        <v>0.98092785054971399</v>
      </c>
      <c r="AQ288">
        <v>0.85280469838342698</v>
      </c>
    </row>
    <row r="289" spans="14:43" x14ac:dyDescent="0.35">
      <c r="N289">
        <f t="shared" si="90"/>
        <v>287</v>
      </c>
      <c r="O289" s="6">
        <f t="shared" si="91"/>
        <v>264059.33405689365</v>
      </c>
      <c r="P289">
        <f t="shared" si="95"/>
        <v>13.202966702844684</v>
      </c>
      <c r="Q289">
        <f t="shared" si="96"/>
        <v>0</v>
      </c>
      <c r="R289" s="6">
        <f t="shared" si="108"/>
        <v>313.6107223723638</v>
      </c>
      <c r="S289">
        <f t="shared" si="97"/>
        <v>1.8816643342341828</v>
      </c>
      <c r="T289">
        <f t="shared" si="98"/>
        <v>0</v>
      </c>
      <c r="U289" s="6">
        <f t="shared" si="109"/>
        <v>1.9931233670321487E-18</v>
      </c>
      <c r="V289">
        <f t="shared" si="99"/>
        <v>2.9896850505482229E-19</v>
      </c>
      <c r="W289">
        <f t="shared" si="100"/>
        <v>0</v>
      </c>
      <c r="X289">
        <f t="shared" si="92"/>
        <v>264372.94477926602</v>
      </c>
      <c r="Y289" s="6">
        <f t="shared" si="101"/>
        <v>29339.926006321468</v>
      </c>
      <c r="Z289" s="6">
        <f t="shared" si="102"/>
        <v>34.845635819151482</v>
      </c>
      <c r="AA289" s="6">
        <f t="shared" si="103"/>
        <v>2.2145815189246101E-19</v>
      </c>
      <c r="AB289">
        <f t="shared" si="104"/>
        <v>0</v>
      </c>
      <c r="AD289" s="6">
        <f t="shared" si="93"/>
        <v>112023.016921444</v>
      </c>
      <c r="AG289">
        <f t="shared" si="105"/>
        <v>81225.974429542082</v>
      </c>
      <c r="AH289">
        <f t="shared" si="106"/>
        <v>1422.2708497612882</v>
      </c>
      <c r="AI289">
        <f t="shared" si="107"/>
        <v>5.3149956454190692E-17</v>
      </c>
      <c r="AL289">
        <f t="shared" si="94"/>
        <v>0.97915905473802234</v>
      </c>
      <c r="AM289">
        <f t="shared" si="110"/>
        <v>0.86171551478033848</v>
      </c>
      <c r="AO289">
        <v>287</v>
      </c>
      <c r="AP289">
        <v>0.98083431049285597</v>
      </c>
      <c r="AQ289">
        <v>0.85266438829813795</v>
      </c>
    </row>
    <row r="290" spans="14:43" x14ac:dyDescent="0.35">
      <c r="N290">
        <f t="shared" si="90"/>
        <v>288</v>
      </c>
      <c r="O290" s="6">
        <f t="shared" si="91"/>
        <v>264046.13109019079</v>
      </c>
      <c r="P290">
        <f t="shared" si="95"/>
        <v>13.202306554509541</v>
      </c>
      <c r="Q290">
        <f t="shared" si="96"/>
        <v>0</v>
      </c>
      <c r="R290" s="6">
        <f t="shared" si="108"/>
        <v>311.72905803812961</v>
      </c>
      <c r="S290">
        <f t="shared" si="97"/>
        <v>1.8703743482287778</v>
      </c>
      <c r="T290">
        <f t="shared" si="98"/>
        <v>0</v>
      </c>
      <c r="U290" s="6">
        <f t="shared" si="109"/>
        <v>1.6941548619773263E-18</v>
      </c>
      <c r="V290">
        <f t="shared" si="99"/>
        <v>2.5412322929659892E-19</v>
      </c>
      <c r="W290">
        <f t="shared" si="100"/>
        <v>0</v>
      </c>
      <c r="X290">
        <f t="shared" si="92"/>
        <v>264357.86014822894</v>
      </c>
      <c r="Y290" s="6">
        <f t="shared" si="101"/>
        <v>29338.459010021154</v>
      </c>
      <c r="Z290" s="6">
        <f t="shared" si="102"/>
        <v>34.636562004236573</v>
      </c>
      <c r="AA290" s="6">
        <f t="shared" si="103"/>
        <v>1.8823942910859185E-19</v>
      </c>
      <c r="AB290">
        <f t="shared" si="104"/>
        <v>0</v>
      </c>
      <c r="AD290" s="6">
        <f t="shared" si="93"/>
        <v>112008.74592750873</v>
      </c>
      <c r="AG290">
        <f t="shared" si="105"/>
        <v>81221.913130820612</v>
      </c>
      <c r="AH290">
        <f t="shared" si="106"/>
        <v>1413.7372246627206</v>
      </c>
      <c r="AI290">
        <f t="shared" si="107"/>
        <v>4.5177462986062085E-17</v>
      </c>
      <c r="AL290">
        <f t="shared" si="94"/>
        <v>0.9791031857341812</v>
      </c>
      <c r="AM290">
        <f t="shared" si="110"/>
        <v>0.86160573790391337</v>
      </c>
      <c r="AO290">
        <v>288</v>
      </c>
      <c r="AP290">
        <v>0.98073742971968103</v>
      </c>
      <c r="AQ290">
        <v>0.852504033914952</v>
      </c>
    </row>
    <row r="291" spans="14:43" x14ac:dyDescent="0.35">
      <c r="N291">
        <f t="shared" si="90"/>
        <v>289</v>
      </c>
      <c r="O291" s="6">
        <f t="shared" si="91"/>
        <v>264032.92878363625</v>
      </c>
      <c r="P291">
        <f t="shared" si="95"/>
        <v>13.201646439181813</v>
      </c>
      <c r="Q291">
        <f t="shared" si="96"/>
        <v>0</v>
      </c>
      <c r="R291" s="6">
        <f t="shared" si="108"/>
        <v>309.85868368990083</v>
      </c>
      <c r="S291">
        <f t="shared" si="97"/>
        <v>1.8591521021394051</v>
      </c>
      <c r="T291">
        <f t="shared" si="98"/>
        <v>0</v>
      </c>
      <c r="U291" s="6">
        <f t="shared" si="109"/>
        <v>1.4400316326807275E-18</v>
      </c>
      <c r="V291">
        <f t="shared" si="99"/>
        <v>2.1600474490210912E-19</v>
      </c>
      <c r="W291">
        <f t="shared" si="100"/>
        <v>0</v>
      </c>
      <c r="X291">
        <f t="shared" si="92"/>
        <v>264342.78746732615</v>
      </c>
      <c r="Y291" s="6">
        <f t="shared" si="101"/>
        <v>29336.992087070652</v>
      </c>
      <c r="Z291" s="6">
        <f t="shared" si="102"/>
        <v>34.428742632211154</v>
      </c>
      <c r="AA291" s="6">
        <f t="shared" si="103"/>
        <v>1.6000351474230308E-19</v>
      </c>
      <c r="AB291">
        <f t="shared" si="104"/>
        <v>0</v>
      </c>
      <c r="AD291" s="6">
        <f t="shared" si="93"/>
        <v>111994.52766618169</v>
      </c>
      <c r="AG291">
        <f t="shared" si="105"/>
        <v>81217.852035164076</v>
      </c>
      <c r="AH291">
        <f t="shared" si="106"/>
        <v>1405.2548013147443</v>
      </c>
      <c r="AI291">
        <f t="shared" si="107"/>
        <v>3.8400843538152773E-17</v>
      </c>
      <c r="AL291">
        <f t="shared" si="94"/>
        <v>0.97904736099009682</v>
      </c>
      <c r="AM291">
        <f t="shared" si="110"/>
        <v>0.86149636666293605</v>
      </c>
      <c r="AO291">
        <v>289</v>
      </c>
      <c r="AP291">
        <v>0.98067729682598503</v>
      </c>
      <c r="AQ291">
        <v>0.85228354663806905</v>
      </c>
    </row>
    <row r="292" spans="14:43" x14ac:dyDescent="0.35">
      <c r="N292">
        <f t="shared" si="90"/>
        <v>290</v>
      </c>
      <c r="O292" s="6">
        <f t="shared" si="91"/>
        <v>264019.72713719704</v>
      </c>
      <c r="P292">
        <f t="shared" si="95"/>
        <v>13.200986356859852</v>
      </c>
      <c r="Q292">
        <f t="shared" si="96"/>
        <v>0</v>
      </c>
      <c r="R292" s="6">
        <f t="shared" si="108"/>
        <v>307.9995315877614</v>
      </c>
      <c r="S292">
        <f t="shared" si="97"/>
        <v>1.8479971895265683</v>
      </c>
      <c r="T292">
        <f t="shared" si="98"/>
        <v>0</v>
      </c>
      <c r="U292" s="6">
        <f t="shared" si="109"/>
        <v>1.2240268877786183E-18</v>
      </c>
      <c r="V292">
        <f t="shared" si="99"/>
        <v>1.8360403316679274E-19</v>
      </c>
      <c r="W292">
        <f t="shared" si="100"/>
        <v>0</v>
      </c>
      <c r="X292">
        <f t="shared" si="92"/>
        <v>264327.7266687848</v>
      </c>
      <c r="Y292" s="6">
        <f t="shared" si="101"/>
        <v>29335.5252374663</v>
      </c>
      <c r="Z292" s="6">
        <f t="shared" si="102"/>
        <v>34.22217017641789</v>
      </c>
      <c r="AA292" s="6">
        <f t="shared" si="103"/>
        <v>1.360029875309576E-19</v>
      </c>
      <c r="AB292">
        <f t="shared" si="104"/>
        <v>0</v>
      </c>
      <c r="AD292" s="6">
        <f t="shared" si="93"/>
        <v>111980.36182271189</v>
      </c>
      <c r="AG292">
        <f t="shared" si="105"/>
        <v>81213.791142562317</v>
      </c>
      <c r="AH292">
        <f t="shared" si="106"/>
        <v>1396.8232725068558</v>
      </c>
      <c r="AI292">
        <f t="shared" si="107"/>
        <v>3.2640717007429857E-17</v>
      </c>
      <c r="AL292">
        <f t="shared" si="94"/>
        <v>0.97899158025475852</v>
      </c>
      <c r="AM292">
        <f t="shared" si="110"/>
        <v>0.86138739863624525</v>
      </c>
      <c r="AO292">
        <v>290</v>
      </c>
      <c r="AP292">
        <v>0.98058709748544304</v>
      </c>
      <c r="AQ292">
        <v>0.85212319225488398</v>
      </c>
    </row>
    <row r="293" spans="14:43" x14ac:dyDescent="0.35">
      <c r="N293">
        <f t="shared" ref="N293:N356" si="111">N292+1</f>
        <v>291</v>
      </c>
      <c r="O293" s="6">
        <f t="shared" si="91"/>
        <v>264006.52615084016</v>
      </c>
      <c r="P293">
        <f t="shared" si="95"/>
        <v>13.200326307542008</v>
      </c>
      <c r="Q293">
        <f t="shared" si="96"/>
        <v>0</v>
      </c>
      <c r="R293" s="6">
        <f t="shared" si="108"/>
        <v>306.15153439823484</v>
      </c>
      <c r="S293">
        <f t="shared" si="97"/>
        <v>1.836909206389409</v>
      </c>
      <c r="T293">
        <f t="shared" si="98"/>
        <v>0</v>
      </c>
      <c r="U293" s="6">
        <f t="shared" si="109"/>
        <v>1.0404228546118256E-18</v>
      </c>
      <c r="V293">
        <f t="shared" si="99"/>
        <v>1.5606342819177385E-19</v>
      </c>
      <c r="W293">
        <f t="shared" si="100"/>
        <v>0</v>
      </c>
      <c r="X293">
        <f t="shared" si="92"/>
        <v>264312.67768523842</v>
      </c>
      <c r="Y293" s="6">
        <f t="shared" si="101"/>
        <v>29334.058461204426</v>
      </c>
      <c r="Z293" s="6">
        <f t="shared" si="102"/>
        <v>34.016837155359383</v>
      </c>
      <c r="AA293" s="6">
        <f t="shared" si="103"/>
        <v>1.1560253940131396E-19</v>
      </c>
      <c r="AB293">
        <f t="shared" si="104"/>
        <v>0</v>
      </c>
      <c r="AD293" s="6">
        <f t="shared" si="93"/>
        <v>111966.24808423678</v>
      </c>
      <c r="AG293">
        <f t="shared" si="105"/>
        <v>81209.730453005192</v>
      </c>
      <c r="AH293">
        <f t="shared" si="106"/>
        <v>1388.4423328718146</v>
      </c>
      <c r="AI293">
        <f t="shared" si="107"/>
        <v>2.7744609456315379E-17</v>
      </c>
      <c r="AL293">
        <f t="shared" si="94"/>
        <v>0.97893584327866079</v>
      </c>
      <c r="AM293">
        <f t="shared" si="110"/>
        <v>0.86127883141720596</v>
      </c>
      <c r="AO293">
        <v>291</v>
      </c>
      <c r="AP293">
        <v>0.98049355742858402</v>
      </c>
      <c r="AQ293">
        <v>0.85198288216959395</v>
      </c>
    </row>
    <row r="294" spans="14:43" x14ac:dyDescent="0.35">
      <c r="N294">
        <f t="shared" si="111"/>
        <v>292</v>
      </c>
      <c r="O294" s="6">
        <f t="shared" si="91"/>
        <v>263993.3258245326</v>
      </c>
      <c r="P294">
        <f t="shared" si="95"/>
        <v>13.199666291226631</v>
      </c>
      <c r="Q294">
        <f t="shared" si="96"/>
        <v>0</v>
      </c>
      <c r="R294" s="6">
        <f t="shared" si="108"/>
        <v>304.31462519184544</v>
      </c>
      <c r="S294">
        <f t="shared" si="97"/>
        <v>1.8258877511510727</v>
      </c>
      <c r="T294">
        <f t="shared" si="98"/>
        <v>0</v>
      </c>
      <c r="U294" s="6">
        <f t="shared" si="109"/>
        <v>8.843594264200518E-19</v>
      </c>
      <c r="V294">
        <f t="shared" si="99"/>
        <v>1.3265391396300776E-19</v>
      </c>
      <c r="W294">
        <f t="shared" si="100"/>
        <v>0</v>
      </c>
      <c r="X294">
        <f t="shared" si="92"/>
        <v>264297.64044972445</v>
      </c>
      <c r="Y294" s="6">
        <f t="shared" si="101"/>
        <v>29332.591758281367</v>
      </c>
      <c r="Z294" s="6">
        <f t="shared" si="102"/>
        <v>33.812736132427226</v>
      </c>
      <c r="AA294" s="6">
        <f t="shared" si="103"/>
        <v>9.8262158491116865E-20</v>
      </c>
      <c r="AB294">
        <f t="shared" si="104"/>
        <v>0</v>
      </c>
      <c r="AD294" s="6">
        <f t="shared" si="93"/>
        <v>111952.18613977093</v>
      </c>
      <c r="AG294">
        <f t="shared" si="105"/>
        <v>81205.669966482543</v>
      </c>
      <c r="AH294">
        <f t="shared" si="106"/>
        <v>1380.1116788745837</v>
      </c>
      <c r="AI294">
        <f t="shared" si="107"/>
        <v>2.3582918037868074E-17</v>
      </c>
      <c r="AL294">
        <f t="shared" si="94"/>
        <v>0.97888014981379423</v>
      </c>
      <c r="AM294">
        <f t="shared" si="110"/>
        <v>0.86117066261362252</v>
      </c>
      <c r="AO294">
        <v>292</v>
      </c>
      <c r="AP294">
        <v>0.98038999522277503</v>
      </c>
      <c r="AQ294">
        <v>0.85183254993535695</v>
      </c>
    </row>
    <row r="295" spans="14:43" x14ac:dyDescent="0.35">
      <c r="N295">
        <f t="shared" si="111"/>
        <v>293</v>
      </c>
      <c r="O295" s="6">
        <f t="shared" si="91"/>
        <v>263980.12615824136</v>
      </c>
      <c r="P295">
        <f t="shared" si="95"/>
        <v>13.199006307912068</v>
      </c>
      <c r="Q295">
        <f t="shared" si="96"/>
        <v>0</v>
      </c>
      <c r="R295" s="6">
        <f t="shared" si="108"/>
        <v>302.48873744069436</v>
      </c>
      <c r="S295">
        <f t="shared" si="97"/>
        <v>1.8149324246441663</v>
      </c>
      <c r="T295">
        <f t="shared" si="98"/>
        <v>0</v>
      </c>
      <c r="U295" s="6">
        <f t="shared" si="109"/>
        <v>7.5170551245704404E-19</v>
      </c>
      <c r="V295">
        <f t="shared" si="99"/>
        <v>1.1275582686855661E-19</v>
      </c>
      <c r="W295">
        <f t="shared" si="100"/>
        <v>0</v>
      </c>
      <c r="X295">
        <f t="shared" si="92"/>
        <v>264282.61489568203</v>
      </c>
      <c r="Y295" s="6">
        <f t="shared" si="101"/>
        <v>29331.125128693453</v>
      </c>
      <c r="Z295" s="6">
        <f t="shared" si="102"/>
        <v>33.609859715632659</v>
      </c>
      <c r="AA295" s="6">
        <f t="shared" si="103"/>
        <v>8.3522834717449334E-20</v>
      </c>
      <c r="AB295">
        <f t="shared" si="104"/>
        <v>0</v>
      </c>
      <c r="AD295" s="6">
        <f t="shared" si="93"/>
        <v>111938.17568019465</v>
      </c>
      <c r="AG295">
        <f t="shared" si="105"/>
        <v>81201.609682984214</v>
      </c>
      <c r="AH295">
        <f t="shared" si="106"/>
        <v>1371.8310088013363</v>
      </c>
      <c r="AI295">
        <f t="shared" si="107"/>
        <v>2.0045480332187861E-17</v>
      </c>
      <c r="AL295">
        <f t="shared" si="94"/>
        <v>0.97882449961363716</v>
      </c>
      <c r="AM295">
        <f t="shared" si="110"/>
        <v>0.86106288984765111</v>
      </c>
      <c r="AO295">
        <v>293</v>
      </c>
      <c r="AP295">
        <v>0.980309818031182</v>
      </c>
      <c r="AQ295">
        <v>0.85171228414796596</v>
      </c>
    </row>
    <row r="296" spans="14:43" x14ac:dyDescent="0.35">
      <c r="N296">
        <f t="shared" si="111"/>
        <v>294</v>
      </c>
      <c r="O296" s="6">
        <f t="shared" si="91"/>
        <v>263966.92715193343</v>
      </c>
      <c r="P296">
        <f t="shared" si="95"/>
        <v>13.198346357596671</v>
      </c>
      <c r="Q296">
        <f t="shared" si="96"/>
        <v>0</v>
      </c>
      <c r="R296" s="6">
        <f t="shared" si="108"/>
        <v>300.67380501605021</v>
      </c>
      <c r="S296">
        <f t="shared" si="97"/>
        <v>1.8040428300963014</v>
      </c>
      <c r="T296">
        <f t="shared" si="98"/>
        <v>0</v>
      </c>
      <c r="U296" s="6">
        <f t="shared" si="109"/>
        <v>6.3894968558848741E-19</v>
      </c>
      <c r="V296">
        <f t="shared" si="99"/>
        <v>9.5842452838273104E-20</v>
      </c>
      <c r="W296">
        <f t="shared" si="100"/>
        <v>0</v>
      </c>
      <c r="X296">
        <f t="shared" si="92"/>
        <v>264267.60095694946</v>
      </c>
      <c r="Y296" s="6">
        <f t="shared" si="101"/>
        <v>29329.65857243702</v>
      </c>
      <c r="Z296" s="6">
        <f t="shared" si="102"/>
        <v>33.408200557338866</v>
      </c>
      <c r="AA296" s="6">
        <f t="shared" si="103"/>
        <v>7.0994409509831933E-20</v>
      </c>
      <c r="AB296">
        <f t="shared" si="104"/>
        <v>0</v>
      </c>
      <c r="AD296" s="6">
        <f t="shared" si="93"/>
        <v>111924.21639824296</v>
      </c>
      <c r="AG296">
        <f t="shared" si="105"/>
        <v>81197.549602500061</v>
      </c>
      <c r="AH296">
        <f t="shared" si="106"/>
        <v>1363.6000227485283</v>
      </c>
      <c r="AI296">
        <f t="shared" si="107"/>
        <v>1.7038658282359681E-17</v>
      </c>
      <c r="AL296">
        <f t="shared" si="94"/>
        <v>0.97876889243314613</v>
      </c>
      <c r="AM296">
        <f t="shared" si="110"/>
        <v>0.86095551075571508</v>
      </c>
      <c r="AO296">
        <v>294</v>
      </c>
      <c r="AP296">
        <v>0.98022295940695603</v>
      </c>
      <c r="AQ296">
        <v>0.85156195191372797</v>
      </c>
    </row>
    <row r="297" spans="14:43" x14ac:dyDescent="0.35">
      <c r="N297">
        <f t="shared" si="111"/>
        <v>295</v>
      </c>
      <c r="O297" s="6">
        <f t="shared" si="91"/>
        <v>263953.72880557581</v>
      </c>
      <c r="P297">
        <f t="shared" si="95"/>
        <v>13.19768644027879</v>
      </c>
      <c r="Q297">
        <f t="shared" si="96"/>
        <v>0</v>
      </c>
      <c r="R297" s="6">
        <f t="shared" si="108"/>
        <v>298.8697621859539</v>
      </c>
      <c r="S297">
        <f t="shared" si="97"/>
        <v>1.7932185731157235</v>
      </c>
      <c r="T297">
        <f t="shared" si="98"/>
        <v>0</v>
      </c>
      <c r="U297" s="6">
        <f t="shared" si="109"/>
        <v>5.4310723275021427E-19</v>
      </c>
      <c r="V297">
        <f t="shared" si="99"/>
        <v>8.1466084912532136E-20</v>
      </c>
      <c r="W297">
        <f t="shared" si="100"/>
        <v>0</v>
      </c>
      <c r="X297">
        <f t="shared" si="92"/>
        <v>264252.59856776177</v>
      </c>
      <c r="Y297" s="6">
        <f t="shared" si="101"/>
        <v>29328.192089508397</v>
      </c>
      <c r="Z297" s="6">
        <f t="shared" si="102"/>
        <v>33.20775135399483</v>
      </c>
      <c r="AA297" s="6">
        <f t="shared" si="103"/>
        <v>6.0345248083357144E-20</v>
      </c>
      <c r="AB297">
        <f t="shared" si="104"/>
        <v>0</v>
      </c>
      <c r="AD297" s="6">
        <f t="shared" si="93"/>
        <v>111910.30798849437</v>
      </c>
      <c r="AG297">
        <f t="shared" si="105"/>
        <v>81193.489725019943</v>
      </c>
      <c r="AH297">
        <f t="shared" si="106"/>
        <v>1355.4184226120371</v>
      </c>
      <c r="AI297">
        <f t="shared" si="107"/>
        <v>1.4482859540005727E-17</v>
      </c>
      <c r="AL297">
        <f t="shared" si="94"/>
        <v>0.97871332802874733</v>
      </c>
      <c r="AM297">
        <f t="shared" si="110"/>
        <v>0.8608485229884183</v>
      </c>
      <c r="AO297">
        <v>295</v>
      </c>
      <c r="AP297">
        <v>0.98015280436431196</v>
      </c>
      <c r="AQ297">
        <v>0.85143166397739001</v>
      </c>
    </row>
    <row r="298" spans="14:43" x14ac:dyDescent="0.35">
      <c r="N298">
        <f t="shared" si="111"/>
        <v>296</v>
      </c>
      <c r="O298" s="6">
        <f t="shared" si="91"/>
        <v>263940.53111913556</v>
      </c>
      <c r="P298">
        <f t="shared" si="95"/>
        <v>13.197026555956779</v>
      </c>
      <c r="Q298">
        <f t="shared" si="96"/>
        <v>0</v>
      </c>
      <c r="R298" s="6">
        <f t="shared" si="108"/>
        <v>297.07654361283818</v>
      </c>
      <c r="S298">
        <f t="shared" si="97"/>
        <v>1.7824592616770292</v>
      </c>
      <c r="T298">
        <f t="shared" si="98"/>
        <v>0</v>
      </c>
      <c r="U298" s="6">
        <f t="shared" si="109"/>
        <v>4.6164114783768216E-19</v>
      </c>
      <c r="V298">
        <f t="shared" si="99"/>
        <v>6.9246172175652316E-20</v>
      </c>
      <c r="W298">
        <f t="shared" si="100"/>
        <v>0</v>
      </c>
      <c r="X298">
        <f t="shared" si="92"/>
        <v>264237.60766274837</v>
      </c>
      <c r="Y298" s="6">
        <f t="shared" si="101"/>
        <v>29326.725679903921</v>
      </c>
      <c r="Z298" s="6">
        <f t="shared" si="102"/>
        <v>33.00850484587086</v>
      </c>
      <c r="AA298" s="6">
        <f t="shared" si="103"/>
        <v>5.1293460870853576E-20</v>
      </c>
      <c r="AB298">
        <f t="shared" si="104"/>
        <v>0</v>
      </c>
      <c r="AD298" s="6">
        <f t="shared" si="93"/>
        <v>111896.45014735984</v>
      </c>
      <c r="AG298">
        <f t="shared" si="105"/>
        <v>81189.430050533687</v>
      </c>
      <c r="AH298">
        <f t="shared" si="106"/>
        <v>1347.2859120763649</v>
      </c>
      <c r="AI298">
        <f t="shared" si="107"/>
        <v>1.2310430609004868E-17</v>
      </c>
      <c r="AL298">
        <f t="shared" si="94"/>
        <v>0.97865780615832731</v>
      </c>
      <c r="AM298">
        <f t="shared" si="110"/>
        <v>0.86074192421046025</v>
      </c>
      <c r="AO298">
        <v>296</v>
      </c>
      <c r="AP298">
        <v>0.98006594574008599</v>
      </c>
      <c r="AQ298">
        <v>0.85134146463684801</v>
      </c>
    </row>
    <row r="299" spans="14:43" x14ac:dyDescent="0.35">
      <c r="N299">
        <f t="shared" si="111"/>
        <v>297</v>
      </c>
      <c r="O299" s="6">
        <f t="shared" si="91"/>
        <v>263927.33409257961</v>
      </c>
      <c r="P299">
        <f t="shared" si="95"/>
        <v>13.19636670462898</v>
      </c>
      <c r="Q299">
        <f t="shared" si="96"/>
        <v>0</v>
      </c>
      <c r="R299" s="6">
        <f t="shared" si="108"/>
        <v>295.29408435116113</v>
      </c>
      <c r="S299">
        <f t="shared" si="97"/>
        <v>1.7717645061069669</v>
      </c>
      <c r="T299">
        <f t="shared" si="98"/>
        <v>0</v>
      </c>
      <c r="U299" s="6">
        <f t="shared" si="109"/>
        <v>3.9239497566202985E-19</v>
      </c>
      <c r="V299">
        <f t="shared" si="99"/>
        <v>5.8859246349304471E-20</v>
      </c>
      <c r="W299">
        <f t="shared" si="100"/>
        <v>0</v>
      </c>
      <c r="X299">
        <f t="shared" si="92"/>
        <v>264222.62817693077</v>
      </c>
      <c r="Y299" s="6">
        <f t="shared" si="101"/>
        <v>29325.259343619924</v>
      </c>
      <c r="Z299" s="6">
        <f t="shared" si="102"/>
        <v>32.810453816795636</v>
      </c>
      <c r="AA299" s="6">
        <f t="shared" si="103"/>
        <v>4.3599441740225541E-20</v>
      </c>
      <c r="AB299">
        <f t="shared" si="104"/>
        <v>0</v>
      </c>
      <c r="AD299" s="6">
        <f t="shared" si="93"/>
        <v>111882.64257307179</v>
      </c>
      <c r="AG299">
        <f t="shared" si="105"/>
        <v>81185.370579031165</v>
      </c>
      <c r="AH299">
        <f t="shared" si="106"/>
        <v>1339.2021966039067</v>
      </c>
      <c r="AI299">
        <f t="shared" si="107"/>
        <v>1.0463866017654137E-17</v>
      </c>
      <c r="AL299">
        <f t="shared" si="94"/>
        <v>0.97860232658122503</v>
      </c>
      <c r="AM299">
        <f t="shared" si="110"/>
        <v>0.86063571210055223</v>
      </c>
      <c r="AO299">
        <v>297</v>
      </c>
      <c r="AP299">
        <v>0.980022516427973</v>
      </c>
      <c r="AQ299">
        <v>0.85117108810471098</v>
      </c>
    </row>
    <row r="300" spans="14:43" x14ac:dyDescent="0.35">
      <c r="N300">
        <f t="shared" si="111"/>
        <v>298</v>
      </c>
      <c r="O300" s="6">
        <f t="shared" si="91"/>
        <v>263914.13772587496</v>
      </c>
      <c r="P300">
        <f t="shared" si="95"/>
        <v>13.195706886293749</v>
      </c>
      <c r="Q300">
        <f t="shared" si="96"/>
        <v>0</v>
      </c>
      <c r="R300" s="6">
        <f t="shared" si="108"/>
        <v>293.52231984505414</v>
      </c>
      <c r="S300">
        <f t="shared" si="97"/>
        <v>1.7611339190703248</v>
      </c>
      <c r="T300">
        <f t="shared" si="98"/>
        <v>0</v>
      </c>
      <c r="U300" s="6">
        <f t="shared" si="109"/>
        <v>3.3353572931272536E-19</v>
      </c>
      <c r="V300">
        <f t="shared" si="99"/>
        <v>5.0030359396908803E-20</v>
      </c>
      <c r="W300">
        <f t="shared" si="100"/>
        <v>0</v>
      </c>
      <c r="X300">
        <f t="shared" si="92"/>
        <v>264207.66004572</v>
      </c>
      <c r="Y300" s="6">
        <f t="shared" si="101"/>
        <v>29323.793080652744</v>
      </c>
      <c r="Z300" s="6">
        <f t="shared" si="102"/>
        <v>32.613591093894861</v>
      </c>
      <c r="AA300" s="6">
        <f t="shared" si="103"/>
        <v>3.7059525479191706E-20</v>
      </c>
      <c r="AB300">
        <f t="shared" si="104"/>
        <v>0</v>
      </c>
      <c r="AD300" s="6">
        <f t="shared" si="93"/>
        <v>111868.88496567313</v>
      </c>
      <c r="AG300">
        <f t="shared" si="105"/>
        <v>81181.31131050222</v>
      </c>
      <c r="AH300">
        <f t="shared" si="106"/>
        <v>1331.1669834242832</v>
      </c>
      <c r="AI300">
        <f t="shared" si="107"/>
        <v>8.8942861150060173E-18</v>
      </c>
      <c r="AL300">
        <f t="shared" si="94"/>
        <v>0.97854688905822218</v>
      </c>
      <c r="AM300">
        <f t="shared" si="110"/>
        <v>0.86052988435133182</v>
      </c>
      <c r="AO300">
        <v>298</v>
      </c>
      <c r="AP300">
        <v>0.97991561350584799</v>
      </c>
      <c r="AQ300">
        <v>0.85108088876416799</v>
      </c>
    </row>
    <row r="301" spans="14:43" x14ac:dyDescent="0.35">
      <c r="N301">
        <f t="shared" si="111"/>
        <v>299</v>
      </c>
      <c r="O301" s="6">
        <f t="shared" si="91"/>
        <v>263900.94201898866</v>
      </c>
      <c r="P301">
        <f t="shared" si="95"/>
        <v>13.195047100949434</v>
      </c>
      <c r="Q301">
        <f t="shared" si="96"/>
        <v>0</v>
      </c>
      <c r="R301" s="6">
        <f t="shared" si="108"/>
        <v>291.7611859259838</v>
      </c>
      <c r="S301">
        <f t="shared" si="97"/>
        <v>1.7505671155559028</v>
      </c>
      <c r="T301">
        <f t="shared" si="98"/>
        <v>0</v>
      </c>
      <c r="U301" s="6">
        <f t="shared" si="109"/>
        <v>2.8350536991581655E-19</v>
      </c>
      <c r="V301">
        <f t="shared" si="99"/>
        <v>4.2525805487372484E-20</v>
      </c>
      <c r="W301">
        <f t="shared" si="100"/>
        <v>0</v>
      </c>
      <c r="X301">
        <f t="shared" si="92"/>
        <v>264192.70320491464</v>
      </c>
      <c r="Y301" s="6">
        <f t="shared" si="101"/>
        <v>29322.326890998713</v>
      </c>
      <c r="Z301" s="6">
        <f t="shared" si="102"/>
        <v>32.41790954733149</v>
      </c>
      <c r="AA301" s="6">
        <f t="shared" si="103"/>
        <v>3.1500596657312949E-20</v>
      </c>
      <c r="AB301">
        <f t="shared" si="104"/>
        <v>0</v>
      </c>
      <c r="AD301" s="6">
        <f t="shared" si="93"/>
        <v>111855.17702700647</v>
      </c>
      <c r="AG301">
        <f t="shared" si="105"/>
        <v>81177.252244936695</v>
      </c>
      <c r="AH301">
        <f t="shared" si="106"/>
        <v>1323.1799815237375</v>
      </c>
      <c r="AI301">
        <f t="shared" si="107"/>
        <v>7.5601431977551147E-18</v>
      </c>
      <c r="AL301">
        <f t="shared" si="94"/>
        <v>0.97849149335153573</v>
      </c>
      <c r="AM301">
        <f t="shared" si="110"/>
        <v>0.86042443866928053</v>
      </c>
      <c r="AO301">
        <v>299</v>
      </c>
      <c r="AP301">
        <v>0.97983543631425496</v>
      </c>
      <c r="AQ301">
        <v>0.85096062297677799</v>
      </c>
    </row>
    <row r="302" spans="14:43" x14ac:dyDescent="0.35">
      <c r="N302">
        <f t="shared" si="111"/>
        <v>300</v>
      </c>
      <c r="O302" s="6">
        <f t="shared" si="91"/>
        <v>263887.74697188771</v>
      </c>
      <c r="P302">
        <f t="shared" si="95"/>
        <v>13.194387348594386</v>
      </c>
      <c r="Q302">
        <f t="shared" si="96"/>
        <v>0</v>
      </c>
      <c r="R302" s="6">
        <f t="shared" si="108"/>
        <v>290.0106188104279</v>
      </c>
      <c r="S302">
        <f t="shared" si="97"/>
        <v>1.7400637128625673</v>
      </c>
      <c r="T302">
        <f t="shared" si="98"/>
        <v>0</v>
      </c>
      <c r="U302" s="6">
        <f t="shared" si="109"/>
        <v>2.4097956442844407E-19</v>
      </c>
      <c r="V302">
        <f t="shared" si="99"/>
        <v>3.6146934664266611E-20</v>
      </c>
      <c r="W302">
        <f t="shared" si="100"/>
        <v>0</v>
      </c>
      <c r="X302">
        <f t="shared" si="92"/>
        <v>264177.75759069814</v>
      </c>
      <c r="Y302" s="6">
        <f t="shared" si="101"/>
        <v>29320.860774654164</v>
      </c>
      <c r="Z302" s="6">
        <f t="shared" si="102"/>
        <v>32.2234020900475</v>
      </c>
      <c r="AA302" s="6">
        <f t="shared" si="103"/>
        <v>2.6775507158716006E-20</v>
      </c>
      <c r="AB302">
        <f t="shared" si="104"/>
        <v>0</v>
      </c>
      <c r="AD302" s="6">
        <f t="shared" si="93"/>
        <v>111841.51846070326</v>
      </c>
      <c r="AG302">
        <f t="shared" si="105"/>
        <v>81173.193382324447</v>
      </c>
      <c r="AH302">
        <f t="shared" si="106"/>
        <v>1315.240901634595</v>
      </c>
      <c r="AI302">
        <f t="shared" si="107"/>
        <v>6.4261217180918473E-18</v>
      </c>
      <c r="AL302">
        <f t="shared" si="94"/>
        <v>0.97843613922480788</v>
      </c>
      <c r="AM302">
        <f t="shared" si="110"/>
        <v>0.86031937277464043</v>
      </c>
      <c r="AO302">
        <v>300</v>
      </c>
      <c r="AP302">
        <v>0.97973855554107903</v>
      </c>
      <c r="AQ302">
        <v>0.85082031289148996</v>
      </c>
    </row>
    <row r="303" spans="14:43" x14ac:dyDescent="0.35">
      <c r="N303">
        <f t="shared" si="111"/>
        <v>301</v>
      </c>
      <c r="O303" s="6">
        <f t="shared" si="91"/>
        <v>263874.55258453911</v>
      </c>
      <c r="P303">
        <f t="shared" si="95"/>
        <v>13.193727629226956</v>
      </c>
      <c r="Q303">
        <f t="shared" si="96"/>
        <v>0</v>
      </c>
      <c r="R303" s="6">
        <f t="shared" si="108"/>
        <v>288.27055509756531</v>
      </c>
      <c r="S303">
        <f t="shared" si="97"/>
        <v>1.7296233305853919</v>
      </c>
      <c r="T303">
        <f t="shared" si="98"/>
        <v>0</v>
      </c>
      <c r="U303" s="6">
        <f t="shared" si="109"/>
        <v>2.0483262976417745E-19</v>
      </c>
      <c r="V303">
        <f t="shared" si="99"/>
        <v>3.0724894464626619E-20</v>
      </c>
      <c r="W303">
        <f t="shared" si="100"/>
        <v>0</v>
      </c>
      <c r="X303">
        <f t="shared" si="92"/>
        <v>264162.82313963666</v>
      </c>
      <c r="Y303" s="6">
        <f t="shared" si="101"/>
        <v>29319.39473161543</v>
      </c>
      <c r="Z303" s="6">
        <f t="shared" si="102"/>
        <v>32.030061677507213</v>
      </c>
      <c r="AA303" s="6">
        <f t="shared" si="103"/>
        <v>2.2759181084908605E-20</v>
      </c>
      <c r="AB303">
        <f t="shared" si="104"/>
        <v>0</v>
      </c>
      <c r="AD303" s="6">
        <f t="shared" si="93"/>
        <v>111827.90897217306</v>
      </c>
      <c r="AG303">
        <f t="shared" si="105"/>
        <v>81169.134722655333</v>
      </c>
      <c r="AH303">
        <f t="shared" si="106"/>
        <v>1307.3494562247874</v>
      </c>
      <c r="AI303">
        <f t="shared" si="107"/>
        <v>5.4622034603780704E-18</v>
      </c>
      <c r="AL303">
        <f t="shared" si="94"/>
        <v>0.97838082644309876</v>
      </c>
      <c r="AM303">
        <f t="shared" si="110"/>
        <v>0.8602146844013312</v>
      </c>
      <c r="AO303">
        <v>301</v>
      </c>
      <c r="AP303">
        <v>0.97965503763316897</v>
      </c>
      <c r="AQ303">
        <v>0.85071006925304804</v>
      </c>
    </row>
    <row r="304" spans="14:43" x14ac:dyDescent="0.35">
      <c r="N304">
        <f t="shared" si="111"/>
        <v>302</v>
      </c>
      <c r="O304" s="6">
        <f t="shared" si="91"/>
        <v>263861.35885690991</v>
      </c>
      <c r="P304">
        <f t="shared" si="95"/>
        <v>13.193067942845497</v>
      </c>
      <c r="Q304">
        <f t="shared" si="96"/>
        <v>0</v>
      </c>
      <c r="R304" s="6">
        <f t="shared" si="108"/>
        <v>286.5409317669799</v>
      </c>
      <c r="S304">
        <f t="shared" si="97"/>
        <v>1.7192455906018793</v>
      </c>
      <c r="T304">
        <f t="shared" si="98"/>
        <v>0</v>
      </c>
      <c r="U304" s="6">
        <f t="shared" si="109"/>
        <v>1.7410773529955084E-19</v>
      </c>
      <c r="V304">
        <f t="shared" si="99"/>
        <v>2.6116160294932623E-20</v>
      </c>
      <c r="W304">
        <f t="shared" si="100"/>
        <v>0</v>
      </c>
      <c r="X304">
        <f t="shared" si="92"/>
        <v>264147.89978867688</v>
      </c>
      <c r="Y304" s="6">
        <f t="shared" si="101"/>
        <v>29317.928761878848</v>
      </c>
      <c r="Z304" s="6">
        <f t="shared" si="102"/>
        <v>31.837881307442171</v>
      </c>
      <c r="AA304" s="6">
        <f t="shared" si="103"/>
        <v>1.9345303922172313E-20</v>
      </c>
      <c r="AB304">
        <f t="shared" si="104"/>
        <v>0</v>
      </c>
      <c r="AD304" s="6">
        <f t="shared" si="93"/>
        <v>111814.34826859292</v>
      </c>
      <c r="AG304">
        <f t="shared" si="105"/>
        <v>81165.076265919197</v>
      </c>
      <c r="AH304">
        <f t="shared" si="106"/>
        <v>1299.5053594874387</v>
      </c>
      <c r="AI304">
        <f t="shared" si="107"/>
        <v>4.6428729413213599E-18</v>
      </c>
      <c r="AL304">
        <f t="shared" si="94"/>
        <v>0.9783255547728773</v>
      </c>
      <c r="AM304">
        <f t="shared" si="110"/>
        <v>0.86011037129686863</v>
      </c>
      <c r="AO304">
        <v>302</v>
      </c>
      <c r="AP304">
        <v>0.97957820115789196</v>
      </c>
      <c r="AQ304">
        <v>0.85059982561460801</v>
      </c>
    </row>
    <row r="305" spans="14:43" x14ac:dyDescent="0.35">
      <c r="N305">
        <f t="shared" si="111"/>
        <v>303</v>
      </c>
      <c r="O305" s="6">
        <f t="shared" si="91"/>
        <v>263848.16578896705</v>
      </c>
      <c r="P305">
        <f t="shared" si="95"/>
        <v>13.192408289448354</v>
      </c>
      <c r="Q305">
        <f t="shared" si="96"/>
        <v>0</v>
      </c>
      <c r="R305" s="6">
        <f t="shared" si="108"/>
        <v>284.82168617637802</v>
      </c>
      <c r="S305">
        <f t="shared" si="97"/>
        <v>1.7089301170582682</v>
      </c>
      <c r="T305">
        <f t="shared" si="98"/>
        <v>0</v>
      </c>
      <c r="U305" s="6">
        <f t="shared" si="109"/>
        <v>1.4799157500461822E-19</v>
      </c>
      <c r="V305">
        <f t="shared" si="99"/>
        <v>2.2198736250692734E-20</v>
      </c>
      <c r="W305">
        <f t="shared" si="100"/>
        <v>0</v>
      </c>
      <c r="X305">
        <f t="shared" si="92"/>
        <v>264132.9874751434</v>
      </c>
      <c r="Y305" s="6">
        <f t="shared" si="101"/>
        <v>29316.462865440753</v>
      </c>
      <c r="Z305" s="6">
        <f t="shared" si="102"/>
        <v>31.646854019597519</v>
      </c>
      <c r="AA305" s="6">
        <f t="shared" si="103"/>
        <v>1.6443508333846466E-20</v>
      </c>
      <c r="AB305">
        <f t="shared" si="104"/>
        <v>0</v>
      </c>
      <c r="AD305" s="6">
        <f t="shared" si="93"/>
        <v>111800.83605889676</v>
      </c>
      <c r="AG305">
        <f t="shared" si="105"/>
        <v>81161.018012105895</v>
      </c>
      <c r="AH305">
        <f t="shared" si="106"/>
        <v>1291.7083273305141</v>
      </c>
      <c r="AI305">
        <f t="shared" si="107"/>
        <v>3.9464420001231559E-18</v>
      </c>
      <c r="AL305">
        <f t="shared" si="94"/>
        <v>0.97827032398201252</v>
      </c>
      <c r="AM305">
        <f t="shared" si="110"/>
        <v>0.86000643122228282</v>
      </c>
      <c r="AO305">
        <v>303</v>
      </c>
      <c r="AP305">
        <v>0.97950470539893197</v>
      </c>
      <c r="AQ305">
        <v>0.85043947123142105</v>
      </c>
    </row>
    <row r="306" spans="14:43" x14ac:dyDescent="0.35">
      <c r="N306">
        <f t="shared" si="111"/>
        <v>304</v>
      </c>
      <c r="O306" s="6">
        <f t="shared" si="91"/>
        <v>263834.97338067758</v>
      </c>
      <c r="P306">
        <f t="shared" si="95"/>
        <v>13.191748669033879</v>
      </c>
      <c r="Q306">
        <f t="shared" si="96"/>
        <v>0</v>
      </c>
      <c r="R306" s="6">
        <f t="shared" si="108"/>
        <v>283.11275605931974</v>
      </c>
      <c r="S306">
        <f t="shared" si="97"/>
        <v>1.6986765363559184</v>
      </c>
      <c r="T306">
        <f t="shared" si="98"/>
        <v>0</v>
      </c>
      <c r="U306" s="6">
        <f t="shared" si="109"/>
        <v>1.2579283875392548E-19</v>
      </c>
      <c r="V306">
        <f t="shared" si="99"/>
        <v>1.886892581308882E-20</v>
      </c>
      <c r="W306">
        <f t="shared" si="100"/>
        <v>0</v>
      </c>
      <c r="X306">
        <f t="shared" si="92"/>
        <v>264118.08613673691</v>
      </c>
      <c r="Y306" s="6">
        <f t="shared" si="101"/>
        <v>29314.99704229748</v>
      </c>
      <c r="Z306" s="6">
        <f t="shared" si="102"/>
        <v>31.456972895479936</v>
      </c>
      <c r="AA306" s="6">
        <f t="shared" si="103"/>
        <v>1.3976982083769496E-20</v>
      </c>
      <c r="AB306">
        <f t="shared" si="104"/>
        <v>0</v>
      </c>
      <c r="AD306" s="6">
        <f t="shared" si="93"/>
        <v>111787.37205376478</v>
      </c>
      <c r="AG306">
        <f t="shared" si="105"/>
        <v>81156.959961205284</v>
      </c>
      <c r="AH306">
        <f t="shared" si="106"/>
        <v>1283.9580773665309</v>
      </c>
      <c r="AI306">
        <f t="shared" si="107"/>
        <v>3.3544757001046826E-18</v>
      </c>
      <c r="AL306">
        <f t="shared" si="94"/>
        <v>0.97821513383976633</v>
      </c>
      <c r="AM306">
        <f t="shared" si="110"/>
        <v>0.85990286195203669</v>
      </c>
      <c r="AO306">
        <v>304</v>
      </c>
      <c r="AP306">
        <v>0.97942786892365497</v>
      </c>
      <c r="AQ306">
        <v>0.85031920544403095</v>
      </c>
    </row>
    <row r="307" spans="14:43" x14ac:dyDescent="0.35">
      <c r="N307">
        <f t="shared" si="111"/>
        <v>305</v>
      </c>
      <c r="O307" s="6">
        <f t="shared" si="91"/>
        <v>263821.78163200855</v>
      </c>
      <c r="P307">
        <f t="shared" si="95"/>
        <v>13.191089081600428</v>
      </c>
      <c r="Q307">
        <f t="shared" si="96"/>
        <v>0</v>
      </c>
      <c r="R307" s="6">
        <f t="shared" si="108"/>
        <v>281.41407952296385</v>
      </c>
      <c r="S307">
        <f t="shared" si="97"/>
        <v>1.6884844771377832</v>
      </c>
      <c r="T307">
        <f t="shared" si="98"/>
        <v>0</v>
      </c>
      <c r="U307" s="6">
        <f t="shared" si="109"/>
        <v>1.0692391294083665E-19</v>
      </c>
      <c r="V307">
        <f t="shared" si="99"/>
        <v>1.6038586941125496E-20</v>
      </c>
      <c r="W307">
        <f t="shared" si="100"/>
        <v>0</v>
      </c>
      <c r="X307">
        <f t="shared" si="92"/>
        <v>264103.1957115315</v>
      </c>
      <c r="Y307" s="6">
        <f t="shared" si="101"/>
        <v>29313.531292445365</v>
      </c>
      <c r="Z307" s="6">
        <f t="shared" si="102"/>
        <v>31.268231058107055</v>
      </c>
      <c r="AA307" s="6">
        <f t="shared" si="103"/>
        <v>1.1880434771204072E-20</v>
      </c>
      <c r="AB307">
        <f t="shared" si="104"/>
        <v>0</v>
      </c>
      <c r="AD307" s="6">
        <f t="shared" si="93"/>
        <v>111773.95596561303</v>
      </c>
      <c r="AG307">
        <f t="shared" si="105"/>
        <v>81152.902113207223</v>
      </c>
      <c r="AH307">
        <f t="shared" si="106"/>
        <v>1276.2543289023317</v>
      </c>
      <c r="AI307">
        <f t="shared" si="107"/>
        <v>2.8513043450889802E-18</v>
      </c>
      <c r="AL307">
        <f t="shared" si="94"/>
        <v>0.97815998411678329</v>
      </c>
      <c r="AM307">
        <f t="shared" si="110"/>
        <v>0.85979966127394636</v>
      </c>
      <c r="AO307">
        <v>305</v>
      </c>
      <c r="AP307">
        <v>0.97935437316469398</v>
      </c>
      <c r="AQ307">
        <v>0.85018891750769099</v>
      </c>
    </row>
    <row r="308" spans="14:43" x14ac:dyDescent="0.35">
      <c r="N308">
        <f t="shared" si="111"/>
        <v>306</v>
      </c>
      <c r="O308" s="6">
        <f t="shared" ref="O308:O371" si="112">O307-(P307-Q307)</f>
        <v>263808.59054292698</v>
      </c>
      <c r="P308">
        <f t="shared" si="95"/>
        <v>13.19042952714635</v>
      </c>
      <c r="Q308">
        <f t="shared" si="96"/>
        <v>0</v>
      </c>
      <c r="R308" s="6">
        <f t="shared" si="108"/>
        <v>279.72559504582608</v>
      </c>
      <c r="S308">
        <f t="shared" si="97"/>
        <v>1.6783535702749566</v>
      </c>
      <c r="T308">
        <f t="shared" si="98"/>
        <v>0</v>
      </c>
      <c r="U308" s="6">
        <f t="shared" si="109"/>
        <v>9.0885325999711158E-20</v>
      </c>
      <c r="V308">
        <f t="shared" si="99"/>
        <v>1.3632798899956674E-20</v>
      </c>
      <c r="W308">
        <f t="shared" si="100"/>
        <v>0</v>
      </c>
      <c r="X308">
        <f t="shared" ref="X308:X371" si="113">O308+R308+U308-$J$57</f>
        <v>264088.31613797281</v>
      </c>
      <c r="Y308" s="6">
        <f t="shared" si="101"/>
        <v>29312.065615880743</v>
      </c>
      <c r="Z308" s="6">
        <f t="shared" si="102"/>
        <v>31.080621671758411</v>
      </c>
      <c r="AA308" s="6">
        <f t="shared" si="103"/>
        <v>1.0098369555523461E-20</v>
      </c>
      <c r="AB308">
        <f t="shared" si="104"/>
        <v>0</v>
      </c>
      <c r="AD308" s="6">
        <f t="shared" ref="AD308:AD371" si="114">Y308+Z308+AA308+AG308+AH308+AI308-AB308+$M$59</f>
        <v>111760.58750858299</v>
      </c>
      <c r="AG308">
        <f t="shared" si="105"/>
        <v>81148.844468101568</v>
      </c>
      <c r="AH308">
        <f t="shared" si="106"/>
        <v>1268.5968029289177</v>
      </c>
      <c r="AI308">
        <f t="shared" si="107"/>
        <v>2.4236086933256333E-18</v>
      </c>
      <c r="AL308">
        <f t="shared" ref="AL308:AL371" si="115">X308/$X$2</f>
        <v>0.97810487458508444</v>
      </c>
      <c r="AM308">
        <f t="shared" si="110"/>
        <v>0.85969682698909988</v>
      </c>
      <c r="AO308">
        <v>306</v>
      </c>
      <c r="AP308">
        <v>0.97928755883836605</v>
      </c>
      <c r="AQ308">
        <v>0.85005862957135203</v>
      </c>
    </row>
    <row r="309" spans="14:43" x14ac:dyDescent="0.35">
      <c r="N309">
        <f t="shared" si="111"/>
        <v>307</v>
      </c>
      <c r="O309" s="6">
        <f t="shared" si="112"/>
        <v>263795.40011339984</v>
      </c>
      <c r="P309">
        <f t="shared" si="95"/>
        <v>13.189770005669992</v>
      </c>
      <c r="Q309">
        <f t="shared" si="96"/>
        <v>0</v>
      </c>
      <c r="R309" s="6">
        <f t="shared" si="108"/>
        <v>278.04724147555112</v>
      </c>
      <c r="S309">
        <f t="shared" si="97"/>
        <v>1.6682834488533067</v>
      </c>
      <c r="T309">
        <f t="shared" si="98"/>
        <v>0</v>
      </c>
      <c r="U309" s="6">
        <f t="shared" si="109"/>
        <v>7.725252709975449E-20</v>
      </c>
      <c r="V309">
        <f t="shared" si="99"/>
        <v>1.1587879064963173E-20</v>
      </c>
      <c r="W309">
        <f t="shared" si="100"/>
        <v>0</v>
      </c>
      <c r="X309">
        <f t="shared" si="113"/>
        <v>264073.44735487539</v>
      </c>
      <c r="Y309" s="6">
        <f t="shared" si="101"/>
        <v>29310.600012599949</v>
      </c>
      <c r="Z309" s="6">
        <f t="shared" si="102"/>
        <v>30.894137941727863</v>
      </c>
      <c r="AA309" s="6">
        <f t="shared" si="103"/>
        <v>8.5836141221949415E-21</v>
      </c>
      <c r="AB309">
        <f t="shared" si="104"/>
        <v>0</v>
      </c>
      <c r="AD309" s="6">
        <f t="shared" si="114"/>
        <v>111747.26639853118</v>
      </c>
      <c r="AG309">
        <f t="shared" si="105"/>
        <v>81144.787025878162</v>
      </c>
      <c r="AH309">
        <f t="shared" si="106"/>
        <v>1260.9852221113442</v>
      </c>
      <c r="AI309">
        <f t="shared" si="107"/>
        <v>2.0600673893267882E-18</v>
      </c>
      <c r="AL309">
        <f t="shared" si="115"/>
        <v>0.97804980501805705</v>
      </c>
      <c r="AM309">
        <f t="shared" si="110"/>
        <v>0.85959435691177832</v>
      </c>
      <c r="AO309">
        <v>307</v>
      </c>
      <c r="AP309">
        <v>0.97920070021413996</v>
      </c>
      <c r="AQ309">
        <v>0.84989827518816596</v>
      </c>
    </row>
    <row r="310" spans="14:43" x14ac:dyDescent="0.35">
      <c r="N310">
        <f t="shared" si="111"/>
        <v>308</v>
      </c>
      <c r="O310" s="6">
        <f t="shared" si="112"/>
        <v>263782.2103433942</v>
      </c>
      <c r="P310">
        <f t="shared" si="95"/>
        <v>13.189110517169711</v>
      </c>
      <c r="Q310">
        <f t="shared" si="96"/>
        <v>0</v>
      </c>
      <c r="R310" s="6">
        <f t="shared" si="108"/>
        <v>276.37895802669783</v>
      </c>
      <c r="S310">
        <f t="shared" si="97"/>
        <v>1.658273748160187</v>
      </c>
      <c r="T310">
        <f t="shared" si="98"/>
        <v>0</v>
      </c>
      <c r="U310" s="6">
        <f t="shared" si="109"/>
        <v>6.5664648034791322E-20</v>
      </c>
      <c r="V310">
        <f t="shared" si="99"/>
        <v>9.8496972052186986E-21</v>
      </c>
      <c r="W310">
        <f t="shared" si="100"/>
        <v>0</v>
      </c>
      <c r="X310">
        <f t="shared" si="113"/>
        <v>264058.5893014209</v>
      </c>
      <c r="Y310" s="6">
        <f t="shared" si="101"/>
        <v>29309.134482599318</v>
      </c>
      <c r="Z310" s="6">
        <f t="shared" si="102"/>
        <v>30.708773114077495</v>
      </c>
      <c r="AA310" s="6">
        <f t="shared" si="103"/>
        <v>7.2960720038657005E-21</v>
      </c>
      <c r="AB310">
        <f t="shared" si="104"/>
        <v>0</v>
      </c>
      <c r="AD310" s="6">
        <f t="shared" si="114"/>
        <v>111733.99235301893</v>
      </c>
      <c r="AG310">
        <f t="shared" si="105"/>
        <v>81140.729786526863</v>
      </c>
      <c r="AH310">
        <f t="shared" si="106"/>
        <v>1253.4193107786762</v>
      </c>
      <c r="AI310">
        <f t="shared" si="107"/>
        <v>1.7510572809277701E-18</v>
      </c>
      <c r="AL310">
        <f t="shared" si="115"/>
        <v>0.97799477519044775</v>
      </c>
      <c r="AM310">
        <f t="shared" si="110"/>
        <v>0.85949224886937636</v>
      </c>
      <c r="AO310">
        <v>308</v>
      </c>
      <c r="AP310">
        <v>0.97909379729201595</v>
      </c>
      <c r="AQ310">
        <v>0.84972789865602905</v>
      </c>
    </row>
    <row r="311" spans="14:43" x14ac:dyDescent="0.35">
      <c r="N311">
        <f t="shared" si="111"/>
        <v>309</v>
      </c>
      <c r="O311" s="6">
        <f t="shared" si="112"/>
        <v>263769.02123287704</v>
      </c>
      <c r="P311">
        <f t="shared" si="95"/>
        <v>13.188451061643853</v>
      </c>
      <c r="Q311">
        <f t="shared" si="96"/>
        <v>0</v>
      </c>
      <c r="R311" s="6">
        <f t="shared" si="108"/>
        <v>274.72068427853765</v>
      </c>
      <c r="S311">
        <f t="shared" si="97"/>
        <v>1.6483241056712259</v>
      </c>
      <c r="T311">
        <f t="shared" si="98"/>
        <v>0</v>
      </c>
      <c r="U311" s="6">
        <f t="shared" si="109"/>
        <v>5.5814950829572625E-20</v>
      </c>
      <c r="V311">
        <f t="shared" si="99"/>
        <v>8.3722426244358929E-21</v>
      </c>
      <c r="W311">
        <f t="shared" si="100"/>
        <v>0</v>
      </c>
      <c r="X311">
        <f t="shared" si="113"/>
        <v>264043.74191715557</v>
      </c>
      <c r="Y311" s="6">
        <f t="shared" si="101"/>
        <v>29307.669025875188</v>
      </c>
      <c r="Z311" s="6">
        <f t="shared" si="102"/>
        <v>30.524520475393029</v>
      </c>
      <c r="AA311" s="6">
        <f t="shared" si="103"/>
        <v>6.2016612032858454E-21</v>
      </c>
      <c r="AB311">
        <f t="shared" si="104"/>
        <v>0</v>
      </c>
      <c r="AD311" s="6">
        <f t="shared" si="114"/>
        <v>111720.76509130212</v>
      </c>
      <c r="AG311">
        <f t="shared" si="105"/>
        <v>81136.672750037542</v>
      </c>
      <c r="AH311">
        <f t="shared" si="106"/>
        <v>1245.8987949140042</v>
      </c>
      <c r="AI311">
        <f t="shared" si="107"/>
        <v>1.4883986887886046E-18</v>
      </c>
      <c r="AL311">
        <f t="shared" si="115"/>
        <v>0.97793978487835398</v>
      </c>
      <c r="AM311">
        <f t="shared" si="110"/>
        <v>0.85939050070232403</v>
      </c>
      <c r="AO311">
        <v>309</v>
      </c>
      <c r="AP311">
        <v>0.97901027938410501</v>
      </c>
      <c r="AQ311">
        <v>0.84955752212389302</v>
      </c>
    </row>
    <row r="312" spans="14:43" x14ac:dyDescent="0.35">
      <c r="N312">
        <f t="shared" si="111"/>
        <v>310</v>
      </c>
      <c r="O312" s="6">
        <f t="shared" si="112"/>
        <v>263755.83278181538</v>
      </c>
      <c r="P312">
        <f t="shared" si="95"/>
        <v>13.18779163909077</v>
      </c>
      <c r="Q312">
        <f t="shared" si="96"/>
        <v>0</v>
      </c>
      <c r="R312" s="6">
        <f t="shared" si="108"/>
        <v>273.07236017286641</v>
      </c>
      <c r="S312">
        <f t="shared" si="97"/>
        <v>1.6384341610371984</v>
      </c>
      <c r="T312">
        <f t="shared" si="98"/>
        <v>0</v>
      </c>
      <c r="U312" s="6">
        <f t="shared" si="109"/>
        <v>4.7442708205136731E-20</v>
      </c>
      <c r="V312">
        <f t="shared" si="99"/>
        <v>7.1164062307705096E-21</v>
      </c>
      <c r="W312">
        <f t="shared" si="100"/>
        <v>0</v>
      </c>
      <c r="X312">
        <f t="shared" si="113"/>
        <v>264028.90514198825</v>
      </c>
      <c r="Y312" s="6">
        <f t="shared" si="101"/>
        <v>29306.203642423894</v>
      </c>
      <c r="Z312" s="6">
        <f t="shared" si="102"/>
        <v>30.341373352540671</v>
      </c>
      <c r="AA312" s="6">
        <f t="shared" si="103"/>
        <v>5.2714120227929687E-21</v>
      </c>
      <c r="AB312">
        <f t="shared" si="104"/>
        <v>0</v>
      </c>
      <c r="AD312" s="6">
        <f t="shared" si="114"/>
        <v>111707.584334321</v>
      </c>
      <c r="AG312">
        <f t="shared" si="105"/>
        <v>81132.615916400042</v>
      </c>
      <c r="AH312">
        <f t="shared" si="106"/>
        <v>1238.4234021445202</v>
      </c>
      <c r="AI312">
        <f t="shared" si="107"/>
        <v>1.2651388854703139E-18</v>
      </c>
      <c r="AL312">
        <f t="shared" si="115"/>
        <v>0.97788483385921576</v>
      </c>
      <c r="AM312">
        <f t="shared" si="110"/>
        <v>0.85928911026400767</v>
      </c>
      <c r="AO312">
        <v>310</v>
      </c>
      <c r="AP312">
        <v>0.97893010219251297</v>
      </c>
      <c r="AQ312">
        <v>0.84938714559175799</v>
      </c>
    </row>
    <row r="313" spans="14:43" x14ac:dyDescent="0.35">
      <c r="N313">
        <f t="shared" si="111"/>
        <v>311</v>
      </c>
      <c r="O313" s="6">
        <f t="shared" si="112"/>
        <v>263742.64499017631</v>
      </c>
      <c r="P313">
        <f t="shared" si="95"/>
        <v>13.187132249508815</v>
      </c>
      <c r="Q313">
        <f t="shared" si="96"/>
        <v>0</v>
      </c>
      <c r="R313" s="6">
        <f t="shared" si="108"/>
        <v>271.43392601182921</v>
      </c>
      <c r="S313">
        <f t="shared" si="97"/>
        <v>1.6286035560709753</v>
      </c>
      <c r="T313">
        <f t="shared" si="98"/>
        <v>0</v>
      </c>
      <c r="U313" s="6">
        <f t="shared" si="109"/>
        <v>4.0326301974366224E-20</v>
      </c>
      <c r="V313">
        <f t="shared" si="99"/>
        <v>6.0489452961549338E-21</v>
      </c>
      <c r="W313">
        <f t="shared" si="100"/>
        <v>0</v>
      </c>
      <c r="X313">
        <f t="shared" si="113"/>
        <v>264014.07891618815</v>
      </c>
      <c r="Y313" s="6">
        <f t="shared" si="101"/>
        <v>29304.738332241774</v>
      </c>
      <c r="Z313" s="6">
        <f t="shared" si="102"/>
        <v>30.159325112425428</v>
      </c>
      <c r="AA313" s="6">
        <f t="shared" si="103"/>
        <v>4.4807002193740234E-21</v>
      </c>
      <c r="AB313">
        <f t="shared" si="104"/>
        <v>0</v>
      </c>
      <c r="AD313" s="6">
        <f t="shared" si="114"/>
        <v>111694.44980469007</v>
      </c>
      <c r="AG313">
        <f t="shared" si="105"/>
        <v>81128.55928560422</v>
      </c>
      <c r="AH313">
        <f t="shared" si="106"/>
        <v>1230.992861731653</v>
      </c>
      <c r="AI313">
        <f t="shared" si="107"/>
        <v>1.0753680526497667E-18</v>
      </c>
      <c r="AL313">
        <f t="shared" si="115"/>
        <v>0.97782992191180795</v>
      </c>
      <c r="AM313">
        <f t="shared" si="110"/>
        <v>0.85918807542069286</v>
      </c>
      <c r="AO313">
        <v>311</v>
      </c>
      <c r="AP313">
        <v>0.97883990285196898</v>
      </c>
      <c r="AQ313">
        <v>0.84925685765541803</v>
      </c>
    </row>
    <row r="314" spans="14:43" x14ac:dyDescent="0.35">
      <c r="N314">
        <f t="shared" si="111"/>
        <v>312</v>
      </c>
      <c r="O314" s="6">
        <f t="shared" si="112"/>
        <v>263729.45785792678</v>
      </c>
      <c r="P314">
        <f t="shared" si="95"/>
        <v>13.18647289289634</v>
      </c>
      <c r="Q314">
        <f t="shared" si="96"/>
        <v>0</v>
      </c>
      <c r="R314" s="6">
        <f t="shared" si="108"/>
        <v>269.80532245575824</v>
      </c>
      <c r="S314">
        <f t="shared" si="97"/>
        <v>1.6188319347345494</v>
      </c>
      <c r="T314">
        <f t="shared" si="98"/>
        <v>0</v>
      </c>
      <c r="U314" s="6">
        <f t="shared" si="109"/>
        <v>3.4277356678211291E-20</v>
      </c>
      <c r="V314">
        <f t="shared" si="99"/>
        <v>5.1416035017316934E-21</v>
      </c>
      <c r="W314">
        <f t="shared" si="100"/>
        <v>0</v>
      </c>
      <c r="X314">
        <f t="shared" si="113"/>
        <v>263999.26318038255</v>
      </c>
      <c r="Y314" s="6">
        <f t="shared" si="101"/>
        <v>29303.273095325163</v>
      </c>
      <c r="Z314" s="6">
        <f t="shared" si="102"/>
        <v>29.978369161750877</v>
      </c>
      <c r="AA314" s="6">
        <f t="shared" si="103"/>
        <v>3.8085951864679198E-21</v>
      </c>
      <c r="AB314">
        <f t="shared" si="104"/>
        <v>0</v>
      </c>
      <c r="AD314" s="6">
        <f t="shared" si="114"/>
        <v>111681.36122668812</v>
      </c>
      <c r="AG314">
        <f t="shared" si="105"/>
        <v>81124.502857639935</v>
      </c>
      <c r="AH314">
        <f t="shared" si="106"/>
        <v>1223.606904561263</v>
      </c>
      <c r="AI314">
        <f t="shared" si="107"/>
        <v>9.1406284475230171E-19</v>
      </c>
      <c r="AL314">
        <f t="shared" si="115"/>
        <v>0.97777504881623167</v>
      </c>
      <c r="AM314">
        <f t="shared" si="110"/>
        <v>0.85908739405144707</v>
      </c>
      <c r="AO314">
        <v>312</v>
      </c>
      <c r="AP314">
        <v>0.97876974780932502</v>
      </c>
      <c r="AQ314">
        <v>0.84910652542118104</v>
      </c>
    </row>
    <row r="315" spans="14:43" x14ac:dyDescent="0.35">
      <c r="N315">
        <f t="shared" si="111"/>
        <v>313</v>
      </c>
      <c r="O315" s="6">
        <f t="shared" si="112"/>
        <v>263716.27138503391</v>
      </c>
      <c r="P315">
        <f t="shared" si="95"/>
        <v>13.185813569251696</v>
      </c>
      <c r="Q315">
        <f t="shared" si="96"/>
        <v>0</v>
      </c>
      <c r="R315" s="6">
        <f t="shared" si="108"/>
        <v>268.1864905210237</v>
      </c>
      <c r="S315">
        <f t="shared" si="97"/>
        <v>1.6091189431261423</v>
      </c>
      <c r="T315">
        <f t="shared" si="98"/>
        <v>0</v>
      </c>
      <c r="U315" s="6">
        <f t="shared" si="109"/>
        <v>2.9135753176479595E-20</v>
      </c>
      <c r="V315">
        <f t="shared" si="99"/>
        <v>4.3703629764719391E-21</v>
      </c>
      <c r="W315">
        <f t="shared" si="100"/>
        <v>0</v>
      </c>
      <c r="X315">
        <f t="shared" si="113"/>
        <v>263984.45787555492</v>
      </c>
      <c r="Y315" s="6">
        <f t="shared" si="101"/>
        <v>29301.807931670395</v>
      </c>
      <c r="Z315" s="6">
        <f t="shared" si="102"/>
        <v>29.79849894678037</v>
      </c>
      <c r="AA315" s="6">
        <f t="shared" si="103"/>
        <v>3.237305908497732E-21</v>
      </c>
      <c r="AB315">
        <f t="shared" si="104"/>
        <v>0</v>
      </c>
      <c r="AD315" s="6">
        <f t="shared" si="114"/>
        <v>111668.31832624813</v>
      </c>
      <c r="AG315">
        <f t="shared" si="105"/>
        <v>81120.446632497056</v>
      </c>
      <c r="AH315">
        <f t="shared" si="106"/>
        <v>1216.2652631338954</v>
      </c>
      <c r="AI315">
        <f t="shared" si="107"/>
        <v>7.7695341803945647E-19</v>
      </c>
      <c r="AL315">
        <f t="shared" si="115"/>
        <v>0.9777202143539071</v>
      </c>
      <c r="AM315">
        <f t="shared" si="110"/>
        <v>0.85898706404806258</v>
      </c>
      <c r="AO315">
        <v>313</v>
      </c>
      <c r="AP315">
        <v>0.97869959276668095</v>
      </c>
      <c r="AQ315">
        <v>0.84899628178274</v>
      </c>
    </row>
    <row r="316" spans="14:43" x14ac:dyDescent="0.35">
      <c r="N316">
        <f t="shared" si="111"/>
        <v>314</v>
      </c>
      <c r="O316" s="6">
        <f t="shared" si="112"/>
        <v>263703.08557146468</v>
      </c>
      <c r="P316">
        <f t="shared" si="95"/>
        <v>13.185154278573235</v>
      </c>
      <c r="Q316">
        <f t="shared" si="96"/>
        <v>0</v>
      </c>
      <c r="R316" s="6">
        <f t="shared" si="108"/>
        <v>266.57737157789757</v>
      </c>
      <c r="S316">
        <f t="shared" si="97"/>
        <v>1.5994642294673855</v>
      </c>
      <c r="T316">
        <f t="shared" si="98"/>
        <v>0</v>
      </c>
      <c r="U316" s="6">
        <f t="shared" si="109"/>
        <v>2.4765390200007655E-20</v>
      </c>
      <c r="V316">
        <f t="shared" si="99"/>
        <v>3.7148085300011484E-21</v>
      </c>
      <c r="W316">
        <f t="shared" si="100"/>
        <v>0</v>
      </c>
      <c r="X316">
        <f t="shared" si="113"/>
        <v>263969.66294304258</v>
      </c>
      <c r="Y316" s="6">
        <f t="shared" si="101"/>
        <v>29300.34284127381</v>
      </c>
      <c r="Z316" s="6">
        <f t="shared" si="102"/>
        <v>29.619707953099688</v>
      </c>
      <c r="AA316" s="6">
        <f t="shared" si="103"/>
        <v>2.7517100222230721E-21</v>
      </c>
      <c r="AB316">
        <f t="shared" si="104"/>
        <v>0</v>
      </c>
      <c r="AD316" s="6">
        <f t="shared" si="114"/>
        <v>111655.32083094743</v>
      </c>
      <c r="AG316">
        <f t="shared" si="105"/>
        <v>81116.390610165428</v>
      </c>
      <c r="AH316">
        <f t="shared" si="106"/>
        <v>1208.967671555092</v>
      </c>
      <c r="AI316">
        <f t="shared" si="107"/>
        <v>6.6041040533353799E-19</v>
      </c>
      <c r="AL316">
        <f t="shared" si="115"/>
        <v>0.97766541830756515</v>
      </c>
      <c r="AM316">
        <f t="shared" si="110"/>
        <v>0.8588870833149802</v>
      </c>
      <c r="AO316">
        <v>314</v>
      </c>
      <c r="AP316">
        <v>0.97859603056087396</v>
      </c>
      <c r="AQ316">
        <v>0.84884594954850201</v>
      </c>
    </row>
    <row r="317" spans="14:43" x14ac:dyDescent="0.35">
      <c r="N317">
        <f t="shared" si="111"/>
        <v>315</v>
      </c>
      <c r="O317" s="6">
        <f t="shared" si="112"/>
        <v>263689.90041718609</v>
      </c>
      <c r="P317">
        <f t="shared" si="95"/>
        <v>13.184495020859305</v>
      </c>
      <c r="Q317">
        <f t="shared" si="96"/>
        <v>0</v>
      </c>
      <c r="R317" s="6">
        <f t="shared" si="108"/>
        <v>264.97790734843016</v>
      </c>
      <c r="S317">
        <f t="shared" si="97"/>
        <v>1.5898674440905811</v>
      </c>
      <c r="T317">
        <f t="shared" si="98"/>
        <v>0</v>
      </c>
      <c r="U317" s="6">
        <f t="shared" si="109"/>
        <v>2.1050581670006507E-20</v>
      </c>
      <c r="V317">
        <f t="shared" si="99"/>
        <v>3.1575872505009757E-21</v>
      </c>
      <c r="W317">
        <f t="shared" si="100"/>
        <v>0</v>
      </c>
      <c r="X317">
        <f t="shared" si="113"/>
        <v>263954.87832453451</v>
      </c>
      <c r="Y317" s="6">
        <f t="shared" si="101"/>
        <v>29298.877824131745</v>
      </c>
      <c r="Z317" s="6">
        <f t="shared" si="102"/>
        <v>29.44198970538109</v>
      </c>
      <c r="AA317" s="6">
        <f t="shared" si="103"/>
        <v>2.3389535188896114E-21</v>
      </c>
      <c r="AB317">
        <f t="shared" si="104"/>
        <v>0</v>
      </c>
      <c r="AD317" s="6">
        <f t="shared" si="114"/>
        <v>111642.3684699978</v>
      </c>
      <c r="AG317">
        <f t="shared" si="105"/>
        <v>81112.334790634923</v>
      </c>
      <c r="AH317">
        <f t="shared" si="106"/>
        <v>1201.7138655257615</v>
      </c>
      <c r="AI317">
        <f t="shared" si="107"/>
        <v>5.6134884453350734E-19</v>
      </c>
      <c r="AL317">
        <f t="shared" si="115"/>
        <v>0.9776106604612389</v>
      </c>
      <c r="AM317">
        <f t="shared" si="110"/>
        <v>0.85878744976921384</v>
      </c>
      <c r="AO317">
        <v>315</v>
      </c>
      <c r="AP317">
        <v>0.97851919408559596</v>
      </c>
      <c r="AQ317">
        <v>0.84864550656951798</v>
      </c>
    </row>
    <row r="318" spans="14:43" x14ac:dyDescent="0.35">
      <c r="N318">
        <f t="shared" si="111"/>
        <v>316</v>
      </c>
      <c r="O318" s="6">
        <f t="shared" si="112"/>
        <v>263676.71592216525</v>
      </c>
      <c r="P318">
        <f t="shared" si="95"/>
        <v>13.183835796108264</v>
      </c>
      <c r="Q318">
        <f t="shared" si="96"/>
        <v>0</v>
      </c>
      <c r="R318" s="6">
        <f t="shared" si="108"/>
        <v>263.38803990433956</v>
      </c>
      <c r="S318">
        <f t="shared" si="97"/>
        <v>1.5803282394260374</v>
      </c>
      <c r="T318">
        <f t="shared" si="98"/>
        <v>0</v>
      </c>
      <c r="U318" s="6">
        <f t="shared" si="109"/>
        <v>1.789299441950553E-20</v>
      </c>
      <c r="V318">
        <f t="shared" si="99"/>
        <v>2.6839491629258295E-21</v>
      </c>
      <c r="W318">
        <f t="shared" si="100"/>
        <v>0</v>
      </c>
      <c r="X318">
        <f t="shared" si="113"/>
        <v>263940.10396206961</v>
      </c>
      <c r="Y318" s="6">
        <f t="shared" si="101"/>
        <v>29297.412880240539</v>
      </c>
      <c r="Z318" s="6">
        <f t="shared" si="102"/>
        <v>29.265337767148804</v>
      </c>
      <c r="AA318" s="6">
        <f t="shared" si="103"/>
        <v>1.9881104910561698E-21</v>
      </c>
      <c r="AB318">
        <f t="shared" si="104"/>
        <v>0</v>
      </c>
      <c r="AD318" s="6">
        <f t="shared" si="114"/>
        <v>111629.46097423568</v>
      </c>
      <c r="AG318">
        <f t="shared" si="105"/>
        <v>81108.279173895397</v>
      </c>
      <c r="AH318">
        <f t="shared" si="106"/>
        <v>1194.503582332607</v>
      </c>
      <c r="AI318">
        <f t="shared" si="107"/>
        <v>4.771465178534812E-19</v>
      </c>
      <c r="AL318">
        <f t="shared" si="115"/>
        <v>0.97755594060025786</v>
      </c>
      <c r="AM318">
        <f t="shared" si="110"/>
        <v>0.85868816134027448</v>
      </c>
      <c r="AO318">
        <v>316</v>
      </c>
      <c r="AP318">
        <v>0.978418972596105</v>
      </c>
      <c r="AQ318">
        <v>0.84857535152687402</v>
      </c>
    </row>
    <row r="319" spans="14:43" x14ac:dyDescent="0.35">
      <c r="N319">
        <f t="shared" si="111"/>
        <v>317</v>
      </c>
      <c r="O319" s="6">
        <f t="shared" si="112"/>
        <v>263663.53208636917</v>
      </c>
      <c r="P319">
        <f t="shared" si="95"/>
        <v>13.18317660431846</v>
      </c>
      <c r="Q319">
        <f t="shared" si="96"/>
        <v>0</v>
      </c>
      <c r="R319" s="6">
        <f t="shared" si="108"/>
        <v>261.80771166491354</v>
      </c>
      <c r="S319">
        <f t="shared" si="97"/>
        <v>1.5708462699894812</v>
      </c>
      <c r="T319">
        <f t="shared" si="98"/>
        <v>0</v>
      </c>
      <c r="U319" s="6">
        <f t="shared" si="109"/>
        <v>1.52090452565797E-20</v>
      </c>
      <c r="V319">
        <f t="shared" si="99"/>
        <v>2.2813567884869551E-21</v>
      </c>
      <c r="W319">
        <f t="shared" si="100"/>
        <v>0</v>
      </c>
      <c r="X319">
        <f t="shared" si="113"/>
        <v>263925.33979803411</v>
      </c>
      <c r="Y319" s="6">
        <f t="shared" si="101"/>
        <v>29295.948009596526</v>
      </c>
      <c r="Z319" s="6">
        <f t="shared" si="102"/>
        <v>29.089745740545911</v>
      </c>
      <c r="AA319" s="6">
        <f t="shared" si="103"/>
        <v>1.6898939173977444E-21</v>
      </c>
      <c r="AB319">
        <f t="shared" si="104"/>
        <v>0</v>
      </c>
      <c r="AD319" s="6">
        <f t="shared" si="114"/>
        <v>111616.59807611238</v>
      </c>
      <c r="AG319">
        <f t="shared" si="105"/>
        <v>81104.223759936707</v>
      </c>
      <c r="AH319">
        <f t="shared" si="106"/>
        <v>1187.3365608386114</v>
      </c>
      <c r="AI319">
        <f t="shared" si="107"/>
        <v>4.05574540175459E-19</v>
      </c>
      <c r="AL319">
        <f t="shared" si="115"/>
        <v>0.97750125851123748</v>
      </c>
      <c r="AM319">
        <f t="shared" si="110"/>
        <v>0.85858921597009519</v>
      </c>
      <c r="AO319">
        <v>317</v>
      </c>
      <c r="AP319">
        <v>0.97835549898609198</v>
      </c>
      <c r="AQ319">
        <v>0.84839495284578803</v>
      </c>
    </row>
    <row r="320" spans="14:43" x14ac:dyDescent="0.35">
      <c r="N320">
        <f t="shared" si="111"/>
        <v>318</v>
      </c>
      <c r="O320" s="6">
        <f t="shared" si="112"/>
        <v>263650.34890976484</v>
      </c>
      <c r="P320">
        <f t="shared" si="95"/>
        <v>13.182517445488243</v>
      </c>
      <c r="Q320">
        <f t="shared" si="96"/>
        <v>0</v>
      </c>
      <c r="R320" s="6">
        <f t="shared" si="108"/>
        <v>260.23686539492405</v>
      </c>
      <c r="S320">
        <f t="shared" si="97"/>
        <v>1.5614211923695442</v>
      </c>
      <c r="T320">
        <f t="shared" si="98"/>
        <v>0</v>
      </c>
      <c r="U320" s="6">
        <f t="shared" si="109"/>
        <v>1.2927688468092744E-20</v>
      </c>
      <c r="V320">
        <f t="shared" si="99"/>
        <v>1.9391532702139115E-21</v>
      </c>
      <c r="W320">
        <f t="shared" si="100"/>
        <v>0</v>
      </c>
      <c r="X320">
        <f t="shared" si="113"/>
        <v>263910.58577515977</v>
      </c>
      <c r="Y320" s="6">
        <f t="shared" si="101"/>
        <v>29294.483212196046</v>
      </c>
      <c r="Z320" s="6">
        <f t="shared" si="102"/>
        <v>28.915207266102637</v>
      </c>
      <c r="AA320" s="6">
        <f t="shared" si="103"/>
        <v>1.4364098297880828E-21</v>
      </c>
      <c r="AB320">
        <f t="shared" si="104"/>
        <v>0</v>
      </c>
      <c r="AD320" s="6">
        <f t="shared" si="114"/>
        <v>111603.77950968443</v>
      </c>
      <c r="AG320">
        <f t="shared" si="105"/>
        <v>81100.168548748712</v>
      </c>
      <c r="AH320">
        <f t="shared" si="106"/>
        <v>1180.2125414735797</v>
      </c>
      <c r="AI320">
        <f t="shared" si="107"/>
        <v>3.4473835914914014E-19</v>
      </c>
      <c r="AL320">
        <f t="shared" si="115"/>
        <v>0.97744661398207322</v>
      </c>
      <c r="AM320">
        <f t="shared" si="110"/>
        <v>0.85849061161295714</v>
      </c>
      <c r="AO320">
        <v>318</v>
      </c>
      <c r="AP320">
        <v>0.97830538824134705</v>
      </c>
      <c r="AQ320">
        <v>0.848314775654195</v>
      </c>
    </row>
    <row r="321" spans="14:43" x14ac:dyDescent="0.35">
      <c r="N321">
        <f t="shared" si="111"/>
        <v>319</v>
      </c>
      <c r="O321" s="6">
        <f t="shared" si="112"/>
        <v>263637.16639231937</v>
      </c>
      <c r="P321">
        <f t="shared" si="95"/>
        <v>13.181858319615969</v>
      </c>
      <c r="Q321">
        <f t="shared" si="96"/>
        <v>0</v>
      </c>
      <c r="R321" s="6">
        <f t="shared" si="108"/>
        <v>258.6754442025545</v>
      </c>
      <c r="S321">
        <f t="shared" si="97"/>
        <v>1.552052665215327</v>
      </c>
      <c r="T321">
        <f t="shared" si="98"/>
        <v>0</v>
      </c>
      <c r="U321" s="6">
        <f t="shared" si="109"/>
        <v>1.0988535197878832E-20</v>
      </c>
      <c r="V321">
        <f t="shared" si="99"/>
        <v>1.6482802796818247E-21</v>
      </c>
      <c r="W321">
        <f t="shared" si="100"/>
        <v>0</v>
      </c>
      <c r="X321">
        <f t="shared" si="113"/>
        <v>263895.84183652193</v>
      </c>
      <c r="Y321" s="6">
        <f t="shared" si="101"/>
        <v>29293.018488035435</v>
      </c>
      <c r="Z321" s="6">
        <f t="shared" si="102"/>
        <v>28.741716022506022</v>
      </c>
      <c r="AA321" s="6">
        <f t="shared" si="103"/>
        <v>1.2209483553198705E-21</v>
      </c>
      <c r="AB321">
        <f t="shared" si="104"/>
        <v>0</v>
      </c>
      <c r="AD321" s="6">
        <f t="shared" si="114"/>
        <v>111591.00501060394</v>
      </c>
      <c r="AG321">
        <f t="shared" si="105"/>
        <v>81096.113540321268</v>
      </c>
      <c r="AH321">
        <f t="shared" si="106"/>
        <v>1173.1312662247383</v>
      </c>
      <c r="AI321">
        <f t="shared" si="107"/>
        <v>2.9302760527676911E-19</v>
      </c>
      <c r="AL321">
        <f t="shared" si="115"/>
        <v>0.97739200680193306</v>
      </c>
      <c r="AM321">
        <f t="shared" si="110"/>
        <v>0.85839234623541494</v>
      </c>
      <c r="AO321">
        <v>319</v>
      </c>
      <c r="AP321">
        <v>0.97824525534765105</v>
      </c>
      <c r="AQ321">
        <v>0.84820453201575496</v>
      </c>
    </row>
    <row r="322" spans="14:43" x14ac:dyDescent="0.35">
      <c r="N322">
        <f t="shared" si="111"/>
        <v>320</v>
      </c>
      <c r="O322" s="6">
        <f t="shared" si="112"/>
        <v>263623.98453399976</v>
      </c>
      <c r="P322">
        <f t="shared" ref="P322:P385" si="116">IF(N322&lt;$H$12,O322*($F$3+$H$3),O322*$F$3)</f>
        <v>13.181199226699988</v>
      </c>
      <c r="Q322">
        <f t="shared" ref="Q322:Q385" si="117">IF(N322&lt;$H$12,P322*$I$3,0)</f>
        <v>0</v>
      </c>
      <c r="R322" s="6">
        <f t="shared" si="108"/>
        <v>257.12339153733916</v>
      </c>
      <c r="S322">
        <f t="shared" ref="S322:S385" si="118">IF(N322&lt;$H$12,R322*($F$4+$H$4),R322*$F$4)</f>
        <v>1.542740349224035</v>
      </c>
      <c r="T322">
        <f t="shared" ref="T322:T385" si="119">IF(N322&lt;$H$12,S322*$I$4,0)</f>
        <v>0</v>
      </c>
      <c r="U322" s="6">
        <f t="shared" si="109"/>
        <v>9.3402549181970078E-21</v>
      </c>
      <c r="V322">
        <f t="shared" ref="V322:V385" si="120">IF(N322&lt;$H$12,U322*($F$5+$H$5),U322*$F$5)</f>
        <v>1.4010382377295511E-21</v>
      </c>
      <c r="W322">
        <f t="shared" ref="W322:W385" si="121">IF(N322&lt;$H$12,V322*$I$5,0)</f>
        <v>0</v>
      </c>
      <c r="X322">
        <f t="shared" si="113"/>
        <v>263881.1079255371</v>
      </c>
      <c r="Y322" s="6">
        <f t="shared" si="101"/>
        <v>29291.553837111034</v>
      </c>
      <c r="Z322" s="6">
        <f t="shared" si="102"/>
        <v>28.569265726370986</v>
      </c>
      <c r="AA322" s="6">
        <f t="shared" si="103"/>
        <v>1.03780610202189E-21</v>
      </c>
      <c r="AB322">
        <f t="shared" si="104"/>
        <v>0</v>
      </c>
      <c r="AD322" s="6">
        <f t="shared" si="114"/>
        <v>111578.27431610905</v>
      </c>
      <c r="AG322">
        <f t="shared" si="105"/>
        <v>81092.058734644248</v>
      </c>
      <c r="AH322">
        <f t="shared" si="106"/>
        <v>1166.0924786273899</v>
      </c>
      <c r="AI322">
        <f t="shared" si="107"/>
        <v>2.4907346448525375E-19</v>
      </c>
      <c r="AL322">
        <f t="shared" si="115"/>
        <v>0.97733743676124851</v>
      </c>
      <c r="AM322">
        <f t="shared" si="110"/>
        <v>0.8582944178162234</v>
      </c>
      <c r="AO322">
        <v>320</v>
      </c>
      <c r="AP322">
        <v>0.97813501170921002</v>
      </c>
      <c r="AQ322">
        <v>0.84810431052626301</v>
      </c>
    </row>
    <row r="323" spans="14:43" x14ac:dyDescent="0.35">
      <c r="N323">
        <f t="shared" si="111"/>
        <v>321</v>
      </c>
      <c r="O323" s="6">
        <f t="shared" si="112"/>
        <v>263610.80333477305</v>
      </c>
      <c r="P323">
        <f t="shared" si="116"/>
        <v>13.180540166738654</v>
      </c>
      <c r="Q323">
        <f t="shared" si="117"/>
        <v>0</v>
      </c>
      <c r="R323" s="6">
        <f t="shared" si="108"/>
        <v>255.58065118811513</v>
      </c>
      <c r="S323">
        <f t="shared" si="118"/>
        <v>1.5334839071286908</v>
      </c>
      <c r="T323">
        <f t="shared" si="119"/>
        <v>0</v>
      </c>
      <c r="U323" s="6">
        <f t="shared" si="109"/>
        <v>7.9392166804674565E-21</v>
      </c>
      <c r="V323">
        <f t="shared" si="120"/>
        <v>1.1908825020701185E-21</v>
      </c>
      <c r="W323">
        <f t="shared" si="121"/>
        <v>0</v>
      </c>
      <c r="X323">
        <f t="shared" si="113"/>
        <v>263866.38398596115</v>
      </c>
      <c r="Y323" s="6">
        <f t="shared" ref="Y323:Y386" si="122">Y322-Y322*$F$3-Q323</f>
        <v>29290.089259419179</v>
      </c>
      <c r="Z323" s="6">
        <f t="shared" ref="Z323:Z386" si="123">Z322-Z322*$F$4</f>
        <v>28.39785013201276</v>
      </c>
      <c r="AA323" s="6">
        <f t="shared" ref="AA323:AA386" si="124">AA322-AA322*$F$5</f>
        <v>8.8213518671860642E-22</v>
      </c>
      <c r="AB323">
        <f t="shared" ref="AB323:AB386" si="125">Q323+T323+W323</f>
        <v>0</v>
      </c>
      <c r="AD323" s="6">
        <f t="shared" si="114"/>
        <v>111565.58716501434</v>
      </c>
      <c r="AG323">
        <f t="shared" ref="AG323:AG386" si="126">IF(N322&lt;$H$12,AG322-AG322*($F$7+$H$7),AG322-AG322*$F$7)</f>
        <v>81088.004131707523</v>
      </c>
      <c r="AH323">
        <f t="shared" ref="AH323:AH386" si="127">IF(N322&lt;$H$12,AH322-AH322*($F$8+$H$8),AH322-AH322*$F$8)</f>
        <v>1159.0959237556256</v>
      </c>
      <c r="AI323">
        <f t="shared" ref="AI323:AI386" si="128">IF(N322&lt;$H$12,AI322-AI322*($F$9+$H$9),AI322-AI322*$F$9)</f>
        <v>2.1171244481246568E-19</v>
      </c>
      <c r="AL323">
        <f t="shared" si="115"/>
        <v>0.977282903651708</v>
      </c>
      <c r="AM323">
        <f t="shared" si="110"/>
        <v>0.8581968243462641</v>
      </c>
      <c r="AO323">
        <v>321</v>
      </c>
      <c r="AP323">
        <v>0.97806819738288198</v>
      </c>
      <c r="AQ323">
        <v>0.84787380110043198</v>
      </c>
    </row>
    <row r="324" spans="14:43" x14ac:dyDescent="0.35">
      <c r="N324">
        <f t="shared" si="111"/>
        <v>322</v>
      </c>
      <c r="O324" s="6">
        <f t="shared" si="112"/>
        <v>263597.62279460632</v>
      </c>
      <c r="P324">
        <f t="shared" si="116"/>
        <v>13.179881139730316</v>
      </c>
      <c r="Q324">
        <f t="shared" si="117"/>
        <v>0</v>
      </c>
      <c r="R324" s="6">
        <f t="shared" ref="R324:R387" si="129">R323-(S323-T323)</f>
        <v>254.04716728098643</v>
      </c>
      <c r="S324">
        <f t="shared" si="118"/>
        <v>1.5242830036859185</v>
      </c>
      <c r="T324">
        <f t="shared" si="119"/>
        <v>0</v>
      </c>
      <c r="U324" s="6">
        <f t="shared" ref="U324:U387" si="130">U323-(V323-W323)</f>
        <v>6.7483341783973376E-21</v>
      </c>
      <c r="V324">
        <f t="shared" si="120"/>
        <v>1.0122501267596006E-21</v>
      </c>
      <c r="W324">
        <f t="shared" si="121"/>
        <v>0</v>
      </c>
      <c r="X324">
        <f t="shared" si="113"/>
        <v>263851.6699618873</v>
      </c>
      <c r="Y324" s="6">
        <f t="shared" si="122"/>
        <v>29288.624754956207</v>
      </c>
      <c r="Z324" s="6">
        <f t="shared" si="123"/>
        <v>28.227463031220683</v>
      </c>
      <c r="AA324" s="6">
        <f t="shared" si="124"/>
        <v>7.4981490871081545E-22</v>
      </c>
      <c r="AB324">
        <f t="shared" si="125"/>
        <v>0</v>
      </c>
      <c r="AD324" s="6">
        <f t="shared" si="114"/>
        <v>111552.94329770145</v>
      </c>
      <c r="AG324">
        <f t="shared" si="126"/>
        <v>81083.949731500936</v>
      </c>
      <c r="AH324">
        <f t="shared" si="127"/>
        <v>1152.1413482130918</v>
      </c>
      <c r="AI324">
        <f t="shared" si="128"/>
        <v>1.7995557809059584E-19</v>
      </c>
      <c r="AL324">
        <f t="shared" si="115"/>
        <v>0.97722840726624927</v>
      </c>
      <c r="AM324">
        <f t="shared" ref="AM324:AM387" si="131">IF(AD324/$AD$2&lt;AM323,AD324/$AD$2,AM323)</f>
        <v>0.85809956382847274</v>
      </c>
      <c r="AO324">
        <v>322</v>
      </c>
      <c r="AP324">
        <v>0.97800472377287195</v>
      </c>
      <c r="AQ324">
        <v>0.84777357961094002</v>
      </c>
    </row>
    <row r="325" spans="14:43" x14ac:dyDescent="0.35">
      <c r="N325">
        <f t="shared" si="111"/>
        <v>323</v>
      </c>
      <c r="O325" s="6">
        <f t="shared" si="112"/>
        <v>263584.4429134666</v>
      </c>
      <c r="P325">
        <f t="shared" si="116"/>
        <v>13.179222145673331</v>
      </c>
      <c r="Q325">
        <f t="shared" si="117"/>
        <v>0</v>
      </c>
      <c r="R325" s="6">
        <f t="shared" si="129"/>
        <v>252.52288427730051</v>
      </c>
      <c r="S325">
        <f t="shared" si="118"/>
        <v>1.5151373056638031</v>
      </c>
      <c r="T325">
        <f t="shared" si="119"/>
        <v>0</v>
      </c>
      <c r="U325" s="6">
        <f t="shared" si="130"/>
        <v>5.736084051637737E-21</v>
      </c>
      <c r="V325">
        <f t="shared" si="120"/>
        <v>8.6041260774566047E-22</v>
      </c>
      <c r="W325">
        <f t="shared" si="121"/>
        <v>0</v>
      </c>
      <c r="X325">
        <f t="shared" si="113"/>
        <v>263836.96579774388</v>
      </c>
      <c r="Y325" s="6">
        <f t="shared" si="122"/>
        <v>29287.160323718457</v>
      </c>
      <c r="Z325" s="6">
        <f t="shared" si="123"/>
        <v>28.058098253033361</v>
      </c>
      <c r="AA325" s="6">
        <f t="shared" si="124"/>
        <v>6.3734267240419315E-22</v>
      </c>
      <c r="AB325">
        <f t="shared" si="125"/>
        <v>0</v>
      </c>
      <c r="AD325" s="6">
        <f t="shared" si="114"/>
        <v>111540.34245610966</v>
      </c>
      <c r="AG325">
        <f t="shared" si="126"/>
        <v>81079.895534014358</v>
      </c>
      <c r="AH325">
        <f t="shared" si="127"/>
        <v>1145.2285001238133</v>
      </c>
      <c r="AI325">
        <f t="shared" si="128"/>
        <v>1.5296224137700648E-19</v>
      </c>
      <c r="AL325">
        <f t="shared" si="115"/>
        <v>0.97717394739905139</v>
      </c>
      <c r="AM325">
        <f t="shared" si="131"/>
        <v>0.85800263427776657</v>
      </c>
      <c r="AO325">
        <v>323</v>
      </c>
      <c r="AP325">
        <v>0.97793122801390997</v>
      </c>
      <c r="AQ325">
        <v>0.84761322522775295</v>
      </c>
    </row>
    <row r="326" spans="14:43" x14ac:dyDescent="0.35">
      <c r="N326">
        <f t="shared" si="111"/>
        <v>324</v>
      </c>
      <c r="O326" s="6">
        <f t="shared" si="112"/>
        <v>263571.2636913209</v>
      </c>
      <c r="P326">
        <f t="shared" si="116"/>
        <v>13.178563184566045</v>
      </c>
      <c r="Q326">
        <f t="shared" si="117"/>
        <v>0</v>
      </c>
      <c r="R326" s="6">
        <f t="shared" si="129"/>
        <v>251.00774697163669</v>
      </c>
      <c r="S326">
        <f t="shared" si="118"/>
        <v>1.5060464818298203</v>
      </c>
      <c r="T326">
        <f t="shared" si="119"/>
        <v>0</v>
      </c>
      <c r="U326" s="6">
        <f t="shared" si="130"/>
        <v>4.8756714438920767E-21</v>
      </c>
      <c r="V326">
        <f t="shared" si="120"/>
        <v>7.3135071658381147E-22</v>
      </c>
      <c r="W326">
        <f t="shared" si="121"/>
        <v>0</v>
      </c>
      <c r="X326">
        <f t="shared" si="113"/>
        <v>263822.27143829252</v>
      </c>
      <c r="Y326" s="6">
        <f t="shared" si="122"/>
        <v>29285.695965702271</v>
      </c>
      <c r="Z326" s="6">
        <f t="shared" si="123"/>
        <v>27.889749663515161</v>
      </c>
      <c r="AA326" s="6">
        <f t="shared" si="124"/>
        <v>5.4174127154356422E-22</v>
      </c>
      <c r="AB326">
        <f t="shared" si="125"/>
        <v>0</v>
      </c>
      <c r="AD326" s="6">
        <f t="shared" si="114"/>
        <v>111527.78438372652</v>
      </c>
      <c r="AG326">
        <f t="shared" si="126"/>
        <v>81075.841539237663</v>
      </c>
      <c r="AH326">
        <f t="shared" si="127"/>
        <v>1138.3571291230705</v>
      </c>
      <c r="AI326">
        <f t="shared" si="128"/>
        <v>1.3001790517045551E-19</v>
      </c>
      <c r="AL326">
        <f t="shared" si="115"/>
        <v>0.9771195238455278</v>
      </c>
      <c r="AM326">
        <f t="shared" si="131"/>
        <v>0.85790603372097329</v>
      </c>
      <c r="AO326">
        <v>324</v>
      </c>
      <c r="AP326">
        <v>0.97784102867336797</v>
      </c>
      <c r="AQ326">
        <v>0.84744284869561703</v>
      </c>
    </row>
    <row r="327" spans="14:43" x14ac:dyDescent="0.35">
      <c r="N327">
        <f t="shared" si="111"/>
        <v>325</v>
      </c>
      <c r="O327" s="6">
        <f t="shared" si="112"/>
        <v>263558.08512813633</v>
      </c>
      <c r="P327">
        <f t="shared" si="116"/>
        <v>13.177904256406817</v>
      </c>
      <c r="Q327">
        <f t="shared" si="117"/>
        <v>0</v>
      </c>
      <c r="R327" s="6">
        <f t="shared" si="129"/>
        <v>249.50170048980686</v>
      </c>
      <c r="S327">
        <f t="shared" si="118"/>
        <v>1.4970102029388412</v>
      </c>
      <c r="T327">
        <f t="shared" si="119"/>
        <v>0</v>
      </c>
      <c r="U327" s="6">
        <f t="shared" si="130"/>
        <v>4.144320727308265E-21</v>
      </c>
      <c r="V327">
        <f t="shared" si="120"/>
        <v>6.2164810909623976E-22</v>
      </c>
      <c r="W327">
        <f t="shared" si="121"/>
        <v>0</v>
      </c>
      <c r="X327">
        <f t="shared" si="113"/>
        <v>263807.58682862611</v>
      </c>
      <c r="Y327" s="6">
        <f t="shared" si="122"/>
        <v>29284.231680903984</v>
      </c>
      <c r="Z327" s="6">
        <f t="shared" si="123"/>
        <v>27.722411165534069</v>
      </c>
      <c r="AA327" s="6">
        <f t="shared" si="124"/>
        <v>4.6048008081202964E-22</v>
      </c>
      <c r="AB327">
        <f t="shared" si="125"/>
        <v>0</v>
      </c>
      <c r="AD327" s="6">
        <f t="shared" si="114"/>
        <v>111515.26882557855</v>
      </c>
      <c r="AG327">
        <f t="shared" si="126"/>
        <v>81071.787747160706</v>
      </c>
      <c r="AH327">
        <f t="shared" si="127"/>
        <v>1131.526986348332</v>
      </c>
      <c r="AI327">
        <f t="shared" si="128"/>
        <v>1.1051521939488719E-19</v>
      </c>
      <c r="AL327">
        <f t="shared" si="115"/>
        <v>0.97706513640231896</v>
      </c>
      <c r="AM327">
        <f t="shared" si="131"/>
        <v>0.85780976019675803</v>
      </c>
      <c r="AO327">
        <v>325</v>
      </c>
      <c r="AP327">
        <v>0.97775751076545803</v>
      </c>
      <c r="AQ327">
        <v>0.84728249431243097</v>
      </c>
    </row>
    <row r="328" spans="14:43" x14ac:dyDescent="0.35">
      <c r="N328">
        <f t="shared" si="111"/>
        <v>326</v>
      </c>
      <c r="O328" s="6">
        <f t="shared" si="112"/>
        <v>263544.90722387994</v>
      </c>
      <c r="P328">
        <f t="shared" si="116"/>
        <v>13.177245361193998</v>
      </c>
      <c r="Q328">
        <f t="shared" si="117"/>
        <v>0</v>
      </c>
      <c r="R328" s="6">
        <f t="shared" si="129"/>
        <v>248.00469028686803</v>
      </c>
      <c r="S328">
        <f t="shared" si="118"/>
        <v>1.4880281417212082</v>
      </c>
      <c r="T328">
        <f t="shared" si="119"/>
        <v>0</v>
      </c>
      <c r="U328" s="6">
        <f t="shared" si="130"/>
        <v>3.5226726182120249E-21</v>
      </c>
      <c r="V328">
        <f t="shared" si="120"/>
        <v>5.284008927318037E-22</v>
      </c>
      <c r="W328">
        <f t="shared" si="121"/>
        <v>0</v>
      </c>
      <c r="X328">
        <f t="shared" si="113"/>
        <v>263792.91191416682</v>
      </c>
      <c r="Y328" s="6">
        <f t="shared" si="122"/>
        <v>29282.767469319937</v>
      </c>
      <c r="Z328" s="6">
        <f t="shared" si="123"/>
        <v>27.556076698540863</v>
      </c>
      <c r="AA328" s="6">
        <f t="shared" si="124"/>
        <v>3.9140806869022522E-22</v>
      </c>
      <c r="AB328">
        <f t="shared" si="125"/>
        <v>0</v>
      </c>
      <c r="AD328" s="6">
        <f t="shared" si="114"/>
        <v>111502.79552822206</v>
      </c>
      <c r="AG328">
        <f t="shared" si="126"/>
        <v>81067.734157773346</v>
      </c>
      <c r="AH328">
        <f t="shared" si="127"/>
        <v>1124.737824430242</v>
      </c>
      <c r="AI328">
        <f t="shared" si="128"/>
        <v>9.393793648565411E-20</v>
      </c>
      <c r="AL328">
        <f t="shared" si="115"/>
        <v>0.97701078486728454</v>
      </c>
      <c r="AM328">
        <f t="shared" si="131"/>
        <v>0.85771381175555439</v>
      </c>
      <c r="AO328">
        <v>326</v>
      </c>
      <c r="AP328">
        <v>0.97770740002071299</v>
      </c>
      <c r="AQ328">
        <v>0.84709207348239601</v>
      </c>
    </row>
    <row r="329" spans="14:43" x14ac:dyDescent="0.35">
      <c r="N329">
        <f t="shared" si="111"/>
        <v>327</v>
      </c>
      <c r="O329" s="6">
        <f t="shared" si="112"/>
        <v>263531.72997851874</v>
      </c>
      <c r="P329">
        <f t="shared" si="116"/>
        <v>13.176586498925937</v>
      </c>
      <c r="Q329">
        <f t="shared" si="117"/>
        <v>0</v>
      </c>
      <c r="R329" s="6">
        <f t="shared" si="129"/>
        <v>246.51666214514682</v>
      </c>
      <c r="S329">
        <f t="shared" si="118"/>
        <v>1.4790999728708809</v>
      </c>
      <c r="T329">
        <f t="shared" si="119"/>
        <v>0</v>
      </c>
      <c r="U329" s="6">
        <f t="shared" si="130"/>
        <v>2.994271725480221E-21</v>
      </c>
      <c r="V329">
        <f t="shared" si="120"/>
        <v>4.4914075882203313E-22</v>
      </c>
      <c r="W329">
        <f t="shared" si="121"/>
        <v>0</v>
      </c>
      <c r="X329">
        <f t="shared" si="113"/>
        <v>263778.24664066389</v>
      </c>
      <c r="Y329" s="6">
        <f t="shared" si="122"/>
        <v>29281.30333094647</v>
      </c>
      <c r="Z329" s="6">
        <f t="shared" si="123"/>
        <v>27.390740238349618</v>
      </c>
      <c r="AA329" s="6">
        <f t="shared" si="124"/>
        <v>3.3269685838669146E-22</v>
      </c>
      <c r="AB329">
        <f t="shared" si="125"/>
        <v>0</v>
      </c>
      <c r="AD329" s="6">
        <f t="shared" si="114"/>
        <v>111490.36423973393</v>
      </c>
      <c r="AG329">
        <f t="shared" si="126"/>
        <v>81063.680771065454</v>
      </c>
      <c r="AH329">
        <f t="shared" si="127"/>
        <v>1117.9893974836605</v>
      </c>
      <c r="AI329">
        <f t="shared" si="128"/>
        <v>7.9847246012805998E-20</v>
      </c>
      <c r="AL329">
        <f t="shared" si="115"/>
        <v>0.97695646903949585</v>
      </c>
      <c r="AM329">
        <f t="shared" si="131"/>
        <v>0.85761818645949173</v>
      </c>
      <c r="AO329">
        <v>327</v>
      </c>
      <c r="AP329">
        <v>0.97761051924753795</v>
      </c>
      <c r="AQ329">
        <v>0.84698182984395498</v>
      </c>
    </row>
    <row r="330" spans="14:43" x14ac:dyDescent="0.35">
      <c r="N330">
        <f t="shared" si="111"/>
        <v>328</v>
      </c>
      <c r="O330" s="6">
        <f t="shared" si="112"/>
        <v>263518.55339201982</v>
      </c>
      <c r="P330">
        <f t="shared" si="116"/>
        <v>13.175927669600991</v>
      </c>
      <c r="Q330">
        <f t="shared" si="117"/>
        <v>0</v>
      </c>
      <c r="R330" s="6">
        <f t="shared" si="129"/>
        <v>245.03756217227595</v>
      </c>
      <c r="S330">
        <f t="shared" si="118"/>
        <v>1.4702253730336559</v>
      </c>
      <c r="T330">
        <f t="shared" si="119"/>
        <v>0</v>
      </c>
      <c r="U330" s="6">
        <f t="shared" si="130"/>
        <v>2.5451309666581878E-21</v>
      </c>
      <c r="V330">
        <f t="shared" si="120"/>
        <v>3.8176964499872815E-22</v>
      </c>
      <c r="W330">
        <f t="shared" si="121"/>
        <v>0</v>
      </c>
      <c r="X330">
        <f t="shared" si="113"/>
        <v>263763.5909541921</v>
      </c>
      <c r="Y330" s="6">
        <f t="shared" si="122"/>
        <v>29279.839265779923</v>
      </c>
      <c r="Z330" s="6">
        <f t="shared" si="123"/>
        <v>27.226395796919519</v>
      </c>
      <c r="AA330" s="6">
        <f t="shared" si="124"/>
        <v>2.8279232962868773E-22</v>
      </c>
      <c r="AB330">
        <f t="shared" si="125"/>
        <v>0</v>
      </c>
      <c r="AD330" s="6">
        <f t="shared" si="114"/>
        <v>111477.9747097025</v>
      </c>
      <c r="AG330">
        <f t="shared" si="126"/>
        <v>81059.627587026902</v>
      </c>
      <c r="AH330">
        <f t="shared" si="127"/>
        <v>1111.2814610987584</v>
      </c>
      <c r="AI330">
        <f t="shared" si="128"/>
        <v>6.7870159110885102E-20</v>
      </c>
      <c r="AL330">
        <f t="shared" si="115"/>
        <v>0.97690218871922996</v>
      </c>
      <c r="AM330">
        <f t="shared" si="131"/>
        <v>0.85752288238232688</v>
      </c>
      <c r="AO330">
        <v>328</v>
      </c>
      <c r="AP330">
        <v>0.97754036420489199</v>
      </c>
      <c r="AQ330">
        <v>0.84684151975866595</v>
      </c>
    </row>
    <row r="331" spans="14:43" x14ac:dyDescent="0.35">
      <c r="N331">
        <f t="shared" si="111"/>
        <v>329</v>
      </c>
      <c r="O331" s="6">
        <f t="shared" si="112"/>
        <v>263505.3774643502</v>
      </c>
      <c r="P331">
        <f t="shared" si="116"/>
        <v>13.17526887321751</v>
      </c>
      <c r="Q331">
        <f t="shared" si="117"/>
        <v>0</v>
      </c>
      <c r="R331" s="6">
        <f t="shared" si="129"/>
        <v>243.5673367992423</v>
      </c>
      <c r="S331">
        <f t="shared" si="118"/>
        <v>1.4614040207954537</v>
      </c>
      <c r="T331">
        <f t="shared" si="119"/>
        <v>0</v>
      </c>
      <c r="U331" s="6">
        <f t="shared" si="130"/>
        <v>2.1633613216594595E-21</v>
      </c>
      <c r="V331">
        <f t="shared" si="120"/>
        <v>3.2450419824891892E-22</v>
      </c>
      <c r="W331">
        <f t="shared" si="121"/>
        <v>0</v>
      </c>
      <c r="X331">
        <f t="shared" si="113"/>
        <v>263748.94480114942</v>
      </c>
      <c r="Y331" s="6">
        <f t="shared" si="122"/>
        <v>29278.375273816633</v>
      </c>
      <c r="Z331" s="6">
        <f t="shared" si="123"/>
        <v>27.063037422138002</v>
      </c>
      <c r="AA331" s="6">
        <f t="shared" si="124"/>
        <v>2.4037348018438457E-22</v>
      </c>
      <c r="AB331">
        <f t="shared" si="125"/>
        <v>0</v>
      </c>
      <c r="AD331" s="6">
        <f t="shared" si="114"/>
        <v>111465.62668921848</v>
      </c>
      <c r="AG331">
        <f t="shared" si="126"/>
        <v>81055.574605647547</v>
      </c>
      <c r="AH331">
        <f t="shared" si="127"/>
        <v>1104.6137723321658</v>
      </c>
      <c r="AI331">
        <f t="shared" si="128"/>
        <v>5.768963524425234E-20</v>
      </c>
      <c r="AL331">
        <f t="shared" si="115"/>
        <v>0.9768479437079608</v>
      </c>
      <c r="AM331">
        <f t="shared" si="131"/>
        <v>0.85742789760937288</v>
      </c>
      <c r="AO331">
        <v>329</v>
      </c>
      <c r="AP331">
        <v>0.97743012056645195</v>
      </c>
      <c r="AQ331">
        <v>0.84670120967337803</v>
      </c>
    </row>
    <row r="332" spans="14:43" x14ac:dyDescent="0.35">
      <c r="N332">
        <f t="shared" si="111"/>
        <v>330</v>
      </c>
      <c r="O332" s="6">
        <f t="shared" si="112"/>
        <v>263492.20219547697</v>
      </c>
      <c r="P332">
        <f t="shared" si="116"/>
        <v>13.17461010977385</v>
      </c>
      <c r="Q332">
        <f t="shared" si="117"/>
        <v>0</v>
      </c>
      <c r="R332" s="6">
        <f t="shared" si="129"/>
        <v>242.10593277844686</v>
      </c>
      <c r="S332">
        <f t="shared" si="118"/>
        <v>1.4526355966706812</v>
      </c>
      <c r="T332">
        <f t="shared" si="119"/>
        <v>0</v>
      </c>
      <c r="U332" s="6">
        <f t="shared" si="130"/>
        <v>1.8388571234105405E-21</v>
      </c>
      <c r="V332">
        <f t="shared" si="120"/>
        <v>2.7582856851158106E-22</v>
      </c>
      <c r="W332">
        <f t="shared" si="121"/>
        <v>0</v>
      </c>
      <c r="X332">
        <f t="shared" si="113"/>
        <v>263734.30812825542</v>
      </c>
      <c r="Y332" s="6">
        <f t="shared" si="122"/>
        <v>29276.911355052944</v>
      </c>
      <c r="Z332" s="6">
        <f t="shared" si="123"/>
        <v>26.900659197605176</v>
      </c>
      <c r="AA332" s="6">
        <f t="shared" si="124"/>
        <v>2.0431745815672689E-22</v>
      </c>
      <c r="AB332">
        <f t="shared" si="125"/>
        <v>0</v>
      </c>
      <c r="AD332" s="6">
        <f t="shared" si="114"/>
        <v>111453.31993086598</v>
      </c>
      <c r="AG332">
        <f t="shared" si="126"/>
        <v>81051.521826917262</v>
      </c>
      <c r="AH332">
        <f t="shared" si="127"/>
        <v>1097.9860896981729</v>
      </c>
      <c r="AI332">
        <f t="shared" si="128"/>
        <v>4.903618995761449E-20</v>
      </c>
      <c r="AL332">
        <f t="shared" si="115"/>
        <v>0.97679373380835344</v>
      </c>
      <c r="AM332">
        <f t="shared" si="131"/>
        <v>0.85733323023743069</v>
      </c>
      <c r="AO332">
        <v>330</v>
      </c>
      <c r="AP332">
        <v>0.97737666910539001</v>
      </c>
      <c r="AQ332">
        <v>0.84660098818388596</v>
      </c>
    </row>
    <row r="333" spans="14:43" x14ac:dyDescent="0.35">
      <c r="N333">
        <f t="shared" si="111"/>
        <v>331</v>
      </c>
      <c r="O333" s="6">
        <f t="shared" si="112"/>
        <v>263479.02758536721</v>
      </c>
      <c r="P333">
        <f t="shared" si="116"/>
        <v>13.173951379268361</v>
      </c>
      <c r="Q333">
        <f t="shared" si="117"/>
        <v>0</v>
      </c>
      <c r="R333" s="6">
        <f t="shared" si="129"/>
        <v>240.65329718177617</v>
      </c>
      <c r="S333">
        <f t="shared" si="118"/>
        <v>1.4439197830906569</v>
      </c>
      <c r="T333">
        <f t="shared" si="119"/>
        <v>0</v>
      </c>
      <c r="U333" s="6">
        <f t="shared" si="130"/>
        <v>1.5630285548989595E-21</v>
      </c>
      <c r="V333">
        <f t="shared" si="120"/>
        <v>2.344542832348439E-22</v>
      </c>
      <c r="W333">
        <f t="shared" si="121"/>
        <v>0</v>
      </c>
      <c r="X333">
        <f t="shared" si="113"/>
        <v>263719.68088254897</v>
      </c>
      <c r="Y333" s="6">
        <f t="shared" si="122"/>
        <v>29275.447509485191</v>
      </c>
      <c r="Z333" s="6">
        <f t="shared" si="123"/>
        <v>26.739255242419546</v>
      </c>
      <c r="AA333" s="6">
        <f t="shared" si="124"/>
        <v>1.7366983943321785E-22</v>
      </c>
      <c r="AB333">
        <f t="shared" si="125"/>
        <v>0</v>
      </c>
      <c r="AD333" s="6">
        <f t="shared" si="114"/>
        <v>111441.0541887135</v>
      </c>
      <c r="AG333">
        <f t="shared" si="126"/>
        <v>81047.469250825918</v>
      </c>
      <c r="AH333">
        <f t="shared" si="127"/>
        <v>1091.3981731599838</v>
      </c>
      <c r="AI333">
        <f t="shared" si="128"/>
        <v>4.1680761463972318E-20</v>
      </c>
      <c r="AL333">
        <f t="shared" si="115"/>
        <v>0.97673955882425545</v>
      </c>
      <c r="AM333">
        <f t="shared" si="131"/>
        <v>0.85723887837471924</v>
      </c>
      <c r="AO333">
        <v>331</v>
      </c>
      <c r="AP333">
        <v>0.97727310689958202</v>
      </c>
      <c r="AQ333">
        <v>0.84649074454544604</v>
      </c>
    </row>
    <row r="334" spans="14:43" x14ac:dyDescent="0.35">
      <c r="N334">
        <f t="shared" si="111"/>
        <v>332</v>
      </c>
      <c r="O334" s="6">
        <f t="shared" si="112"/>
        <v>263465.85363398795</v>
      </c>
      <c r="P334">
        <f t="shared" si="116"/>
        <v>13.173292681699397</v>
      </c>
      <c r="Q334">
        <f t="shared" si="117"/>
        <v>0</v>
      </c>
      <c r="R334" s="6">
        <f t="shared" si="129"/>
        <v>239.20937739868552</v>
      </c>
      <c r="S334">
        <f t="shared" si="118"/>
        <v>1.4352562643921132</v>
      </c>
      <c r="T334">
        <f t="shared" si="119"/>
        <v>0</v>
      </c>
      <c r="U334" s="6">
        <f t="shared" si="130"/>
        <v>1.3285742716641156E-21</v>
      </c>
      <c r="V334">
        <f t="shared" si="120"/>
        <v>1.9928614074961733E-22</v>
      </c>
      <c r="W334">
        <f t="shared" si="121"/>
        <v>0</v>
      </c>
      <c r="X334">
        <f t="shared" si="113"/>
        <v>263705.06301138666</v>
      </c>
      <c r="Y334" s="6">
        <f t="shared" si="122"/>
        <v>29273.983737109716</v>
      </c>
      <c r="Z334" s="6">
        <f t="shared" si="123"/>
        <v>26.578819710965028</v>
      </c>
      <c r="AA334" s="6">
        <f t="shared" si="124"/>
        <v>1.4761936351823517E-22</v>
      </c>
      <c r="AB334">
        <f t="shared" si="125"/>
        <v>0</v>
      </c>
      <c r="AD334" s="6">
        <f t="shared" si="114"/>
        <v>111428.82921830508</v>
      </c>
      <c r="AG334">
        <f t="shared" si="126"/>
        <v>81043.416877363372</v>
      </c>
      <c r="AH334">
        <f t="shared" si="127"/>
        <v>1084.849784121024</v>
      </c>
      <c r="AI334">
        <f t="shared" si="128"/>
        <v>3.5428647244376472E-20</v>
      </c>
      <c r="AL334">
        <f t="shared" si="115"/>
        <v>0.97668541856069135</v>
      </c>
      <c r="AM334">
        <f t="shared" si="131"/>
        <v>0.85714484014080827</v>
      </c>
      <c r="AO334">
        <v>332</v>
      </c>
      <c r="AP334">
        <v>0.97718624827535505</v>
      </c>
      <c r="AQ334">
        <v>0.84621012437486898</v>
      </c>
    </row>
    <row r="335" spans="14:43" x14ac:dyDescent="0.35">
      <c r="N335">
        <f t="shared" si="111"/>
        <v>333</v>
      </c>
      <c r="O335" s="6">
        <f t="shared" si="112"/>
        <v>263452.68034130626</v>
      </c>
      <c r="P335">
        <f t="shared" si="116"/>
        <v>13.172634017065313</v>
      </c>
      <c r="Q335">
        <f t="shared" si="117"/>
        <v>0</v>
      </c>
      <c r="R335" s="6">
        <f t="shared" si="129"/>
        <v>237.77412113429341</v>
      </c>
      <c r="S335">
        <f t="shared" si="118"/>
        <v>1.4266447268057605</v>
      </c>
      <c r="T335">
        <f t="shared" si="119"/>
        <v>0</v>
      </c>
      <c r="U335" s="6">
        <f t="shared" si="130"/>
        <v>1.1292881309144983E-21</v>
      </c>
      <c r="V335">
        <f t="shared" si="120"/>
        <v>1.6939321963717475E-22</v>
      </c>
      <c r="W335">
        <f t="shared" si="121"/>
        <v>0</v>
      </c>
      <c r="X335">
        <f t="shared" si="113"/>
        <v>263690.45446244057</v>
      </c>
      <c r="Y335" s="6">
        <f t="shared" si="122"/>
        <v>29272.520037922863</v>
      </c>
      <c r="Z335" s="6">
        <f t="shared" si="123"/>
        <v>26.419346792699237</v>
      </c>
      <c r="AA335" s="6">
        <f t="shared" si="124"/>
        <v>1.254764589904999E-22</v>
      </c>
      <c r="AB335">
        <f t="shared" si="125"/>
        <v>0</v>
      </c>
      <c r="AD335" s="6">
        <f t="shared" si="114"/>
        <v>111416.64477665137</v>
      </c>
      <c r="AG335">
        <f t="shared" si="126"/>
        <v>81039.364706519511</v>
      </c>
      <c r="AH335">
        <f t="shared" si="127"/>
        <v>1078.3406854162979</v>
      </c>
      <c r="AI335">
        <f t="shared" si="128"/>
        <v>3.0114350157719999E-20</v>
      </c>
      <c r="AL335">
        <f t="shared" si="115"/>
        <v>0.97663131282385396</v>
      </c>
      <c r="AM335">
        <f t="shared" si="131"/>
        <v>0.85705111366654907</v>
      </c>
      <c r="AO335">
        <v>333</v>
      </c>
      <c r="AP335">
        <v>0.97710941180007804</v>
      </c>
      <c r="AQ335">
        <v>0.84607983643852802</v>
      </c>
    </row>
    <row r="336" spans="14:43" x14ac:dyDescent="0.35">
      <c r="N336">
        <f t="shared" si="111"/>
        <v>334</v>
      </c>
      <c r="O336" s="6">
        <f t="shared" si="112"/>
        <v>263439.50770728919</v>
      </c>
      <c r="P336">
        <f t="shared" si="116"/>
        <v>13.17197538536446</v>
      </c>
      <c r="Q336">
        <f t="shared" si="117"/>
        <v>0</v>
      </c>
      <c r="R336" s="6">
        <f t="shared" si="129"/>
        <v>236.34747640748765</v>
      </c>
      <c r="S336">
        <f t="shared" si="118"/>
        <v>1.4180848584449259</v>
      </c>
      <c r="T336">
        <f t="shared" si="119"/>
        <v>0</v>
      </c>
      <c r="U336" s="6">
        <f t="shared" si="130"/>
        <v>9.5989491127732361E-22</v>
      </c>
      <c r="V336">
        <f t="shared" si="120"/>
        <v>1.4398423669159854E-22</v>
      </c>
      <c r="W336">
        <f t="shared" si="121"/>
        <v>0</v>
      </c>
      <c r="X336">
        <f t="shared" si="113"/>
        <v>263675.85518369667</v>
      </c>
      <c r="Y336" s="6">
        <f t="shared" si="122"/>
        <v>29271.056411920967</v>
      </c>
      <c r="Z336" s="6">
        <f t="shared" si="123"/>
        <v>26.26083071194304</v>
      </c>
      <c r="AA336" s="6">
        <f t="shared" si="124"/>
        <v>1.0665499014192491E-22</v>
      </c>
      <c r="AB336">
        <f t="shared" si="125"/>
        <v>0</v>
      </c>
      <c r="AD336" s="6">
        <f t="shared" si="114"/>
        <v>111404.5006222209</v>
      </c>
      <c r="AG336">
        <f t="shared" si="126"/>
        <v>81035.312738284192</v>
      </c>
      <c r="AH336">
        <f t="shared" si="127"/>
        <v>1071.8706413038001</v>
      </c>
      <c r="AI336">
        <f t="shared" si="128"/>
        <v>2.5597197634062001E-20</v>
      </c>
      <c r="AL336">
        <f t="shared" si="115"/>
        <v>0.97657724142109881</v>
      </c>
      <c r="AM336">
        <f t="shared" si="131"/>
        <v>0.85695769709400693</v>
      </c>
      <c r="AO336">
        <v>334</v>
      </c>
      <c r="AP336">
        <v>0.977042597473751</v>
      </c>
      <c r="AQ336">
        <v>0.84593952635323999</v>
      </c>
    </row>
    <row r="337" spans="14:43" x14ac:dyDescent="0.35">
      <c r="N337">
        <f t="shared" si="111"/>
        <v>335</v>
      </c>
      <c r="O337" s="6">
        <f t="shared" si="112"/>
        <v>263426.33573190385</v>
      </c>
      <c r="P337">
        <f t="shared" si="116"/>
        <v>13.171316786595193</v>
      </c>
      <c r="Q337">
        <f t="shared" si="117"/>
        <v>0</v>
      </c>
      <c r="R337" s="6">
        <f t="shared" si="129"/>
        <v>234.92939154904272</v>
      </c>
      <c r="S337">
        <f t="shared" si="118"/>
        <v>1.4095763492942563</v>
      </c>
      <c r="T337">
        <f t="shared" si="119"/>
        <v>0</v>
      </c>
      <c r="U337" s="6">
        <f t="shared" si="130"/>
        <v>8.1591067458572505E-22</v>
      </c>
      <c r="V337">
        <f t="shared" si="120"/>
        <v>1.2238660118785874E-22</v>
      </c>
      <c r="W337">
        <f t="shared" si="121"/>
        <v>0</v>
      </c>
      <c r="X337">
        <f t="shared" si="113"/>
        <v>263661.26512345287</v>
      </c>
      <c r="Y337" s="6">
        <f t="shared" si="122"/>
        <v>29269.592859100372</v>
      </c>
      <c r="Z337" s="6">
        <f t="shared" si="123"/>
        <v>26.103265727671381</v>
      </c>
      <c r="AA337" s="6">
        <f t="shared" si="124"/>
        <v>9.0656741620636174E-23</v>
      </c>
      <c r="AB337">
        <f t="shared" si="125"/>
        <v>0</v>
      </c>
      <c r="AD337" s="6">
        <f t="shared" si="114"/>
        <v>111392.39651493129</v>
      </c>
      <c r="AG337">
        <f t="shared" si="126"/>
        <v>81031.260972647273</v>
      </c>
      <c r="AH337">
        <f t="shared" si="127"/>
        <v>1065.4394174559773</v>
      </c>
      <c r="AI337">
        <f t="shared" si="128"/>
        <v>2.1757617988952702E-20</v>
      </c>
      <c r="AL337">
        <f t="shared" si="115"/>
        <v>0.97652320416093652</v>
      </c>
      <c r="AM337">
        <f t="shared" si="131"/>
        <v>0.85686458857639447</v>
      </c>
      <c r="AO337">
        <v>335</v>
      </c>
      <c r="AP337">
        <v>0.97695907956584005</v>
      </c>
      <c r="AQ337">
        <v>0.845759127672155</v>
      </c>
    </row>
    <row r="338" spans="14:43" x14ac:dyDescent="0.35">
      <c r="N338">
        <f t="shared" si="111"/>
        <v>336</v>
      </c>
      <c r="O338" s="6">
        <f t="shared" si="112"/>
        <v>263413.16441511724</v>
      </c>
      <c r="P338">
        <f t="shared" si="116"/>
        <v>13.170658220755863</v>
      </c>
      <c r="Q338">
        <f t="shared" si="117"/>
        <v>0</v>
      </c>
      <c r="R338" s="6">
        <f t="shared" si="129"/>
        <v>233.51981519974845</v>
      </c>
      <c r="S338">
        <f t="shared" si="118"/>
        <v>1.4011188911984906</v>
      </c>
      <c r="T338">
        <f t="shared" si="119"/>
        <v>0</v>
      </c>
      <c r="U338" s="6">
        <f t="shared" si="130"/>
        <v>6.9352407339786633E-22</v>
      </c>
      <c r="V338">
        <f t="shared" si="120"/>
        <v>1.0402861100967994E-22</v>
      </c>
      <c r="W338">
        <f t="shared" si="121"/>
        <v>0</v>
      </c>
      <c r="X338">
        <f t="shared" si="113"/>
        <v>263646.68423031701</v>
      </c>
      <c r="Y338" s="6">
        <f t="shared" si="122"/>
        <v>29268.129379457416</v>
      </c>
      <c r="Z338" s="6">
        <f t="shared" si="123"/>
        <v>25.946646133305354</v>
      </c>
      <c r="AA338" s="6">
        <f t="shared" si="124"/>
        <v>7.705823037754075E-23</v>
      </c>
      <c r="AB338">
        <f t="shared" si="125"/>
        <v>0</v>
      </c>
      <c r="AD338" s="6">
        <f t="shared" si="114"/>
        <v>111380.33221614061</v>
      </c>
      <c r="AG338">
        <f t="shared" si="126"/>
        <v>81027.209409598639</v>
      </c>
      <c r="AH338">
        <f t="shared" si="127"/>
        <v>1059.0467809512413</v>
      </c>
      <c r="AI338">
        <f t="shared" si="128"/>
        <v>1.8493975290609796E-20</v>
      </c>
      <c r="AL338">
        <f t="shared" si="115"/>
        <v>0.97646920085302602</v>
      </c>
      <c r="AM338">
        <f t="shared" si="131"/>
        <v>0.85677178627800465</v>
      </c>
      <c r="AO338">
        <v>336</v>
      </c>
      <c r="AP338">
        <v>0.97688892452319698</v>
      </c>
      <c r="AQ338">
        <v>0.845608795437917</v>
      </c>
    </row>
    <row r="339" spans="14:43" x14ac:dyDescent="0.35">
      <c r="N339">
        <f t="shared" si="111"/>
        <v>337</v>
      </c>
      <c r="O339" s="6">
        <f t="shared" si="112"/>
        <v>263399.99375689647</v>
      </c>
      <c r="P339">
        <f t="shared" si="116"/>
        <v>13.169999687844824</v>
      </c>
      <c r="Q339">
        <f t="shared" si="117"/>
        <v>0</v>
      </c>
      <c r="R339" s="6">
        <f t="shared" si="129"/>
        <v>232.11869630854997</v>
      </c>
      <c r="S339">
        <f t="shared" si="118"/>
        <v>1.3927121778512999</v>
      </c>
      <c r="T339">
        <f t="shared" si="119"/>
        <v>0</v>
      </c>
      <c r="U339" s="6">
        <f t="shared" si="130"/>
        <v>5.8949546238818639E-22</v>
      </c>
      <c r="V339">
        <f t="shared" si="120"/>
        <v>8.8424319358227958E-23</v>
      </c>
      <c r="W339">
        <f t="shared" si="121"/>
        <v>0</v>
      </c>
      <c r="X339">
        <f t="shared" si="113"/>
        <v>263632.11245320505</v>
      </c>
      <c r="Y339" s="6">
        <f t="shared" si="122"/>
        <v>29266.665972988441</v>
      </c>
      <c r="Z339" s="6">
        <f t="shared" si="123"/>
        <v>25.79096625650552</v>
      </c>
      <c r="AA339" s="6">
        <f t="shared" si="124"/>
        <v>6.5499495820909635E-23</v>
      </c>
      <c r="AB339">
        <f t="shared" si="125"/>
        <v>0</v>
      </c>
      <c r="AD339" s="6">
        <f t="shared" si="114"/>
        <v>111368.30748863865</v>
      </c>
      <c r="AG339">
        <f t="shared" si="126"/>
        <v>81023.158049128164</v>
      </c>
      <c r="AH339">
        <f t="shared" si="127"/>
        <v>1052.6925002655339</v>
      </c>
      <c r="AI339">
        <f t="shared" si="128"/>
        <v>1.5719878997018327E-20</v>
      </c>
      <c r="AL339">
        <f t="shared" si="115"/>
        <v>0.97641523130816688</v>
      </c>
      <c r="AM339">
        <f t="shared" si="131"/>
        <v>0.85667928837414342</v>
      </c>
      <c r="AO339">
        <v>337</v>
      </c>
      <c r="AP339">
        <v>0.97682879162950198</v>
      </c>
      <c r="AQ339">
        <v>0.84543841890578197</v>
      </c>
    </row>
    <row r="340" spans="14:43" x14ac:dyDescent="0.35">
      <c r="N340">
        <f t="shared" si="111"/>
        <v>338</v>
      </c>
      <c r="O340" s="6">
        <f t="shared" si="112"/>
        <v>263386.82375720865</v>
      </c>
      <c r="P340">
        <f t="shared" si="116"/>
        <v>13.169341187860434</v>
      </c>
      <c r="Q340">
        <f t="shared" si="117"/>
        <v>0</v>
      </c>
      <c r="R340" s="6">
        <f t="shared" si="129"/>
        <v>230.72598413069866</v>
      </c>
      <c r="S340">
        <f t="shared" si="118"/>
        <v>1.384355904784192</v>
      </c>
      <c r="T340">
        <f t="shared" si="119"/>
        <v>0</v>
      </c>
      <c r="U340" s="6">
        <f t="shared" si="130"/>
        <v>5.0107114302995838E-22</v>
      </c>
      <c r="V340">
        <f t="shared" si="120"/>
        <v>7.516067145449375E-23</v>
      </c>
      <c r="W340">
        <f t="shared" si="121"/>
        <v>0</v>
      </c>
      <c r="X340">
        <f t="shared" si="113"/>
        <v>263617.54974133935</v>
      </c>
      <c r="Y340" s="6">
        <f t="shared" si="122"/>
        <v>29265.202639689793</v>
      </c>
      <c r="Z340" s="6">
        <f t="shared" si="123"/>
        <v>25.636220458966488</v>
      </c>
      <c r="AA340" s="6">
        <f t="shared" si="124"/>
        <v>5.5674571447773188E-23</v>
      </c>
      <c r="AB340">
        <f t="shared" si="125"/>
        <v>0</v>
      </c>
      <c r="AD340" s="6">
        <f t="shared" si="114"/>
        <v>111356.32209663841</v>
      </c>
      <c r="AG340">
        <f t="shared" si="126"/>
        <v>81019.106891225703</v>
      </c>
      <c r="AH340">
        <f t="shared" si="127"/>
        <v>1046.3763452639407</v>
      </c>
      <c r="AI340">
        <f t="shared" si="128"/>
        <v>1.3361897147465577E-20</v>
      </c>
      <c r="AL340">
        <f t="shared" si="115"/>
        <v>0.97636129533829386</v>
      </c>
      <c r="AM340">
        <f t="shared" si="131"/>
        <v>0.85658709305106473</v>
      </c>
      <c r="AO340">
        <v>338</v>
      </c>
      <c r="AP340">
        <v>0.97676197730317305</v>
      </c>
      <c r="AQ340">
        <v>0.84533819741629002</v>
      </c>
    </row>
    <row r="341" spans="14:43" x14ac:dyDescent="0.35">
      <c r="N341">
        <f t="shared" si="111"/>
        <v>339</v>
      </c>
      <c r="O341" s="6">
        <f t="shared" si="112"/>
        <v>263373.65441602078</v>
      </c>
      <c r="P341">
        <f t="shared" si="116"/>
        <v>13.168682720801041</v>
      </c>
      <c r="Q341">
        <f t="shared" si="117"/>
        <v>0</v>
      </c>
      <c r="R341" s="6">
        <f t="shared" si="129"/>
        <v>229.34162822591446</v>
      </c>
      <c r="S341">
        <f t="shared" si="118"/>
        <v>1.3760497693554867</v>
      </c>
      <c r="T341">
        <f t="shared" si="119"/>
        <v>0</v>
      </c>
      <c r="U341" s="6">
        <f t="shared" si="130"/>
        <v>4.2591047157546464E-22</v>
      </c>
      <c r="V341">
        <f t="shared" si="120"/>
        <v>6.3886570736319694E-23</v>
      </c>
      <c r="W341">
        <f t="shared" si="121"/>
        <v>0</v>
      </c>
      <c r="X341">
        <f t="shared" si="113"/>
        <v>263602.99604424671</v>
      </c>
      <c r="Y341" s="6">
        <f t="shared" si="122"/>
        <v>29263.73937955781</v>
      </c>
      <c r="Z341" s="6">
        <f t="shared" si="123"/>
        <v>25.482403136212689</v>
      </c>
      <c r="AA341" s="6">
        <f t="shared" si="124"/>
        <v>4.7323385730607209E-23</v>
      </c>
      <c r="AB341">
        <f t="shared" si="125"/>
        <v>0</v>
      </c>
      <c r="AD341" s="6">
        <f t="shared" si="114"/>
        <v>111344.37580576751</v>
      </c>
      <c r="AG341">
        <f t="shared" si="126"/>
        <v>81015.055935881144</v>
      </c>
      <c r="AH341">
        <f t="shared" si="127"/>
        <v>1040.0980871923571</v>
      </c>
      <c r="AI341">
        <f t="shared" si="128"/>
        <v>1.1357612575345741E-20</v>
      </c>
      <c r="AL341">
        <f t="shared" si="115"/>
        <v>0.97630739275646927</v>
      </c>
      <c r="AM341">
        <f t="shared" si="131"/>
        <v>0.85649519850590394</v>
      </c>
      <c r="AO341">
        <v>339</v>
      </c>
      <c r="AP341">
        <v>0.97664839294841599</v>
      </c>
      <c r="AQ341">
        <v>0.84514777658625595</v>
      </c>
    </row>
    <row r="342" spans="14:43" x14ac:dyDescent="0.35">
      <c r="N342">
        <f t="shared" si="111"/>
        <v>340</v>
      </c>
      <c r="O342" s="6">
        <f t="shared" si="112"/>
        <v>263360.48573329998</v>
      </c>
      <c r="P342">
        <f t="shared" si="116"/>
        <v>13.168024286665</v>
      </c>
      <c r="Q342">
        <f t="shared" si="117"/>
        <v>0</v>
      </c>
      <c r="R342" s="6">
        <f t="shared" si="129"/>
        <v>227.96557845655897</v>
      </c>
      <c r="S342">
        <f t="shared" si="118"/>
        <v>1.3677934707393538</v>
      </c>
      <c r="T342">
        <f t="shared" si="119"/>
        <v>0</v>
      </c>
      <c r="U342" s="6">
        <f t="shared" si="130"/>
        <v>3.6202390083914494E-22</v>
      </c>
      <c r="V342">
        <f t="shared" si="120"/>
        <v>5.4303585125871741E-23</v>
      </c>
      <c r="W342">
        <f t="shared" si="121"/>
        <v>0</v>
      </c>
      <c r="X342">
        <f t="shared" si="113"/>
        <v>263588.45131175657</v>
      </c>
      <c r="Y342" s="6">
        <f t="shared" si="122"/>
        <v>29262.276192588834</v>
      </c>
      <c r="Z342" s="6">
        <f t="shared" si="123"/>
        <v>25.329508717395413</v>
      </c>
      <c r="AA342" s="6">
        <f t="shared" si="124"/>
        <v>4.0224877871016128E-23</v>
      </c>
      <c r="AB342">
        <f t="shared" si="125"/>
        <v>0</v>
      </c>
      <c r="AD342" s="6">
        <f t="shared" si="114"/>
        <v>111332.46838305976</v>
      </c>
      <c r="AG342">
        <f t="shared" si="126"/>
        <v>81011.005183084344</v>
      </c>
      <c r="AH342">
        <f t="shared" si="127"/>
        <v>1033.8574986692029</v>
      </c>
      <c r="AI342">
        <f t="shared" si="128"/>
        <v>9.6539706890438801E-21</v>
      </c>
      <c r="AL342">
        <f t="shared" si="115"/>
        <v>0.97625352337687621</v>
      </c>
      <c r="AM342">
        <f t="shared" si="131"/>
        <v>0.85640360294661355</v>
      </c>
      <c r="AO342">
        <v>340</v>
      </c>
      <c r="AP342">
        <v>0.97660162291998798</v>
      </c>
      <c r="AQ342">
        <v>0.84505757724571195</v>
      </c>
    </row>
    <row r="343" spans="14:43" x14ac:dyDescent="0.35">
      <c r="N343">
        <f t="shared" si="111"/>
        <v>341</v>
      </c>
      <c r="O343" s="6">
        <f t="shared" si="112"/>
        <v>263347.3177090133</v>
      </c>
      <c r="P343">
        <f t="shared" si="116"/>
        <v>13.167365885450666</v>
      </c>
      <c r="Q343">
        <f t="shared" si="117"/>
        <v>0</v>
      </c>
      <c r="R343" s="6">
        <f t="shared" si="129"/>
        <v>226.59778498581963</v>
      </c>
      <c r="S343">
        <f t="shared" si="118"/>
        <v>1.3595867099149177</v>
      </c>
      <c r="T343">
        <f t="shared" si="119"/>
        <v>0</v>
      </c>
      <c r="U343" s="6">
        <f t="shared" si="130"/>
        <v>3.077203157132732E-22</v>
      </c>
      <c r="V343">
        <f t="shared" si="120"/>
        <v>4.6158047356990978E-23</v>
      </c>
      <c r="W343">
        <f t="shared" si="121"/>
        <v>0</v>
      </c>
      <c r="X343">
        <f t="shared" si="113"/>
        <v>263573.91549399914</v>
      </c>
      <c r="Y343" s="6">
        <f t="shared" si="122"/>
        <v>29260.813078779203</v>
      </c>
      <c r="Z343" s="6">
        <f t="shared" si="123"/>
        <v>25.177531665091042</v>
      </c>
      <c r="AA343" s="6">
        <f t="shared" si="124"/>
        <v>3.4191146190363712E-23</v>
      </c>
      <c r="AB343">
        <f t="shared" si="125"/>
        <v>0</v>
      </c>
      <c r="AD343" s="6">
        <f t="shared" si="114"/>
        <v>111320.59959694667</v>
      </c>
      <c r="AG343">
        <f t="shared" si="126"/>
        <v>81006.954632825189</v>
      </c>
      <c r="AH343">
        <f t="shared" si="127"/>
        <v>1027.6543536771876</v>
      </c>
      <c r="AI343">
        <f t="shared" si="128"/>
        <v>8.2058750856872981E-21</v>
      </c>
      <c r="AL343">
        <f t="shared" si="115"/>
        <v>0.97619968701481163</v>
      </c>
      <c r="AM343">
        <f t="shared" si="131"/>
        <v>0.85631230459189744</v>
      </c>
      <c r="AO343">
        <v>341</v>
      </c>
      <c r="AP343">
        <v>0.97652478644470997</v>
      </c>
      <c r="AQ343">
        <v>0.84497740005411903</v>
      </c>
    </row>
    <row r="344" spans="14:43" x14ac:dyDescent="0.35">
      <c r="N344">
        <f t="shared" si="111"/>
        <v>342</v>
      </c>
      <c r="O344" s="6">
        <f t="shared" si="112"/>
        <v>263334.15034312784</v>
      </c>
      <c r="P344">
        <f t="shared" si="116"/>
        <v>13.166707517156393</v>
      </c>
      <c r="Q344">
        <f t="shared" si="117"/>
        <v>0</v>
      </c>
      <c r="R344" s="6">
        <f t="shared" si="129"/>
        <v>225.23819827590472</v>
      </c>
      <c r="S344">
        <f t="shared" si="118"/>
        <v>1.3514291896554285</v>
      </c>
      <c r="T344">
        <f t="shared" si="119"/>
        <v>0</v>
      </c>
      <c r="U344" s="6">
        <f t="shared" si="130"/>
        <v>2.615622683562822E-22</v>
      </c>
      <c r="V344">
        <f t="shared" si="120"/>
        <v>3.9234340253442328E-23</v>
      </c>
      <c r="W344">
        <f t="shared" si="121"/>
        <v>0</v>
      </c>
      <c r="X344">
        <f t="shared" si="113"/>
        <v>263559.38854140375</v>
      </c>
      <c r="Y344" s="6">
        <f t="shared" si="122"/>
        <v>29259.350038125263</v>
      </c>
      <c r="Z344" s="6">
        <f t="shared" si="123"/>
        <v>25.026466475100495</v>
      </c>
      <c r="AA344" s="6">
        <f t="shared" si="124"/>
        <v>2.9062474261809158E-23</v>
      </c>
      <c r="AB344">
        <f t="shared" si="125"/>
        <v>0</v>
      </c>
      <c r="AD344" s="6">
        <f t="shared" si="114"/>
        <v>111308.76921724905</v>
      </c>
      <c r="AG344">
        <f t="shared" si="126"/>
        <v>81002.904285093551</v>
      </c>
      <c r="AH344">
        <f t="shared" si="127"/>
        <v>1021.4884275551245</v>
      </c>
      <c r="AI344">
        <f t="shared" si="128"/>
        <v>6.9749938228342028E-21</v>
      </c>
      <c r="AL344">
        <f t="shared" si="115"/>
        <v>0.97614588348668052</v>
      </c>
      <c r="AM344">
        <f t="shared" si="131"/>
        <v>0.85622130167114652</v>
      </c>
      <c r="AO344">
        <v>342</v>
      </c>
      <c r="AP344">
        <v>0.97643124638784995</v>
      </c>
      <c r="AQ344">
        <v>0.84481704567093296</v>
      </c>
    </row>
    <row r="345" spans="14:43" x14ac:dyDescent="0.35">
      <c r="N345">
        <f t="shared" si="111"/>
        <v>343</v>
      </c>
      <c r="O345" s="6">
        <f t="shared" si="112"/>
        <v>263320.98363561067</v>
      </c>
      <c r="P345">
        <f t="shared" si="116"/>
        <v>13.166049181780535</v>
      </c>
      <c r="Q345">
        <f t="shared" si="117"/>
        <v>0</v>
      </c>
      <c r="R345" s="6">
        <f t="shared" si="129"/>
        <v>223.8867690862493</v>
      </c>
      <c r="S345">
        <f t="shared" si="118"/>
        <v>1.3433206145174958</v>
      </c>
      <c r="T345">
        <f t="shared" si="119"/>
        <v>0</v>
      </c>
      <c r="U345" s="6">
        <f t="shared" si="130"/>
        <v>2.223279281028399E-22</v>
      </c>
      <c r="V345">
        <f t="shared" si="120"/>
        <v>3.3349189215425982E-23</v>
      </c>
      <c r="W345">
        <f t="shared" si="121"/>
        <v>0</v>
      </c>
      <c r="X345">
        <f t="shared" si="113"/>
        <v>263544.87040469691</v>
      </c>
      <c r="Y345" s="6">
        <f t="shared" si="122"/>
        <v>29257.887070623357</v>
      </c>
      <c r="Z345" s="6">
        <f t="shared" si="123"/>
        <v>24.87630767624989</v>
      </c>
      <c r="AA345" s="6">
        <f t="shared" si="124"/>
        <v>2.4703103122537784E-23</v>
      </c>
      <c r="AB345">
        <f t="shared" si="125"/>
        <v>0</v>
      </c>
      <c r="AD345" s="6">
        <f t="shared" si="114"/>
        <v>111296.97701516871</v>
      </c>
      <c r="AG345">
        <f t="shared" si="126"/>
        <v>80998.854139879302</v>
      </c>
      <c r="AH345">
        <f t="shared" si="127"/>
        <v>1015.3594969897938</v>
      </c>
      <c r="AI345">
        <f t="shared" si="128"/>
        <v>5.9287447494090727E-21</v>
      </c>
      <c r="AL345">
        <f t="shared" si="115"/>
        <v>0.97609211260998852</v>
      </c>
      <c r="AM345">
        <f t="shared" si="131"/>
        <v>0.85613059242437473</v>
      </c>
      <c r="AO345">
        <v>343</v>
      </c>
      <c r="AP345">
        <v>0.97635775062888996</v>
      </c>
      <c r="AQ345">
        <v>0.84472684633038897</v>
      </c>
    </row>
    <row r="346" spans="14:43" x14ac:dyDescent="0.35">
      <c r="N346">
        <f t="shared" si="111"/>
        <v>344</v>
      </c>
      <c r="O346" s="6">
        <f t="shared" si="112"/>
        <v>263307.81758642889</v>
      </c>
      <c r="P346">
        <f t="shared" si="116"/>
        <v>13.165390879321444</v>
      </c>
      <c r="Q346">
        <f t="shared" si="117"/>
        <v>0</v>
      </c>
      <c r="R346" s="6">
        <f t="shared" si="129"/>
        <v>222.54344847173181</v>
      </c>
      <c r="S346">
        <f t="shared" si="118"/>
        <v>1.3352606908303908</v>
      </c>
      <c r="T346">
        <f t="shared" si="119"/>
        <v>0</v>
      </c>
      <c r="U346" s="6">
        <f t="shared" si="130"/>
        <v>1.889787388874139E-22</v>
      </c>
      <c r="V346">
        <f t="shared" si="120"/>
        <v>2.8346810833112085E-23</v>
      </c>
      <c r="W346">
        <f t="shared" si="121"/>
        <v>0</v>
      </c>
      <c r="X346">
        <f t="shared" si="113"/>
        <v>263530.36103490065</v>
      </c>
      <c r="Y346" s="6">
        <f t="shared" si="122"/>
        <v>29256.424176269826</v>
      </c>
      <c r="Z346" s="6">
        <f t="shared" si="123"/>
        <v>24.727049830192392</v>
      </c>
      <c r="AA346" s="6">
        <f t="shared" si="124"/>
        <v>2.0997637654157118E-23</v>
      </c>
      <c r="AB346">
        <f t="shared" si="125"/>
        <v>0</v>
      </c>
      <c r="AD346" s="6">
        <f t="shared" si="114"/>
        <v>111285.22276328018</v>
      </c>
      <c r="AG346">
        <f t="shared" si="126"/>
        <v>80994.804197172314</v>
      </c>
      <c r="AH346">
        <f t="shared" si="127"/>
        <v>1009.2673400078551</v>
      </c>
      <c r="AI346">
        <f t="shared" si="128"/>
        <v>5.0394330369977116E-21</v>
      </c>
      <c r="AL346">
        <f t="shared" si="115"/>
        <v>0.97603837420333572</v>
      </c>
      <c r="AM346">
        <f t="shared" si="131"/>
        <v>0.85604017510215524</v>
      </c>
      <c r="AO346">
        <v>344</v>
      </c>
      <c r="AP346">
        <v>0.97630095845151099</v>
      </c>
      <c r="AQ346">
        <v>0.84457651409615198</v>
      </c>
    </row>
    <row r="347" spans="14:43" x14ac:dyDescent="0.35">
      <c r="N347">
        <f t="shared" si="111"/>
        <v>345</v>
      </c>
      <c r="O347" s="6">
        <f t="shared" si="112"/>
        <v>263294.65219554957</v>
      </c>
      <c r="P347">
        <f t="shared" si="116"/>
        <v>13.164732609777479</v>
      </c>
      <c r="Q347">
        <f t="shared" si="117"/>
        <v>0</v>
      </c>
      <c r="R347" s="6">
        <f t="shared" si="129"/>
        <v>221.20818778090143</v>
      </c>
      <c r="S347">
        <f t="shared" si="118"/>
        <v>1.3272491266854085</v>
      </c>
      <c r="T347">
        <f t="shared" si="119"/>
        <v>0</v>
      </c>
      <c r="U347" s="6">
        <f t="shared" si="130"/>
        <v>1.6063192805430182E-22</v>
      </c>
      <c r="V347">
        <f t="shared" si="120"/>
        <v>2.4094789208145273E-23</v>
      </c>
      <c r="W347">
        <f t="shared" si="121"/>
        <v>0</v>
      </c>
      <c r="X347">
        <f t="shared" si="113"/>
        <v>263515.8603833305</v>
      </c>
      <c r="Y347" s="6">
        <f t="shared" si="122"/>
        <v>29254.961355061012</v>
      </c>
      <c r="Z347" s="6">
        <f t="shared" si="123"/>
        <v>24.578687531211237</v>
      </c>
      <c r="AA347" s="6">
        <f t="shared" si="124"/>
        <v>1.784799200603355E-23</v>
      </c>
      <c r="AB347">
        <f t="shared" si="125"/>
        <v>0</v>
      </c>
      <c r="AD347" s="6">
        <f t="shared" si="114"/>
        <v>111273.50623552249</v>
      </c>
      <c r="AG347">
        <f t="shared" si="126"/>
        <v>80990.754456962459</v>
      </c>
      <c r="AH347">
        <f t="shared" si="127"/>
        <v>1003.211735967808</v>
      </c>
      <c r="AI347">
        <f t="shared" si="128"/>
        <v>4.2835180814480549E-21</v>
      </c>
      <c r="AL347">
        <f t="shared" si="115"/>
        <v>0.97598466808640927</v>
      </c>
      <c r="AM347">
        <f t="shared" si="131"/>
        <v>0.85595004796555763</v>
      </c>
      <c r="AO347">
        <v>345</v>
      </c>
      <c r="AP347">
        <v>0.97620741839465297</v>
      </c>
      <c r="AQ347">
        <v>0.84450635905350802</v>
      </c>
    </row>
    <row r="348" spans="14:43" x14ac:dyDescent="0.35">
      <c r="N348">
        <f t="shared" si="111"/>
        <v>346</v>
      </c>
      <c r="O348" s="6">
        <f t="shared" si="112"/>
        <v>263281.48746293981</v>
      </c>
      <c r="P348">
        <f t="shared" si="116"/>
        <v>13.164074373146992</v>
      </c>
      <c r="Q348">
        <f t="shared" si="117"/>
        <v>0</v>
      </c>
      <c r="R348" s="6">
        <f t="shared" si="129"/>
        <v>219.88093865421601</v>
      </c>
      <c r="S348">
        <f t="shared" si="118"/>
        <v>1.3192856319252961</v>
      </c>
      <c r="T348">
        <f t="shared" si="119"/>
        <v>0</v>
      </c>
      <c r="U348" s="6">
        <f t="shared" si="130"/>
        <v>1.3653713884615654E-22</v>
      </c>
      <c r="V348">
        <f t="shared" si="120"/>
        <v>2.0480570826923481E-23</v>
      </c>
      <c r="W348">
        <f t="shared" si="121"/>
        <v>0</v>
      </c>
      <c r="X348">
        <f t="shared" si="113"/>
        <v>263501.36840159405</v>
      </c>
      <c r="Y348" s="6">
        <f t="shared" si="122"/>
        <v>29253.49860699326</v>
      </c>
      <c r="Z348" s="6">
        <f t="shared" si="123"/>
        <v>24.43121540602397</v>
      </c>
      <c r="AA348" s="6">
        <f t="shared" si="124"/>
        <v>1.5170793205128517E-23</v>
      </c>
      <c r="AB348">
        <f t="shared" si="125"/>
        <v>0</v>
      </c>
      <c r="AD348" s="6">
        <f t="shared" si="114"/>
        <v>111261.82720719089</v>
      </c>
      <c r="AG348">
        <f t="shared" si="126"/>
        <v>80986.704919239608</v>
      </c>
      <c r="AH348">
        <f t="shared" si="127"/>
        <v>997.19246555200107</v>
      </c>
      <c r="AI348">
        <f t="shared" si="128"/>
        <v>3.6409903692308466E-21</v>
      </c>
      <c r="AL348">
        <f t="shared" si="115"/>
        <v>0.97593099407997796</v>
      </c>
      <c r="AM348">
        <f t="shared" si="131"/>
        <v>0.85586020928608375</v>
      </c>
      <c r="AO348">
        <v>346</v>
      </c>
      <c r="AP348">
        <v>0.97615730764990605</v>
      </c>
      <c r="AQ348">
        <v>0.84437607111716795</v>
      </c>
    </row>
    <row r="349" spans="14:43" x14ac:dyDescent="0.35">
      <c r="N349">
        <f t="shared" si="111"/>
        <v>347</v>
      </c>
      <c r="O349" s="6">
        <f t="shared" si="112"/>
        <v>263268.32338856667</v>
      </c>
      <c r="P349">
        <f t="shared" si="116"/>
        <v>13.163416169428334</v>
      </c>
      <c r="Q349">
        <f t="shared" si="117"/>
        <v>0</v>
      </c>
      <c r="R349" s="6">
        <f t="shared" si="129"/>
        <v>218.56165302229073</v>
      </c>
      <c r="S349">
        <f t="shared" si="118"/>
        <v>1.3113699181337444</v>
      </c>
      <c r="T349">
        <f t="shared" si="119"/>
        <v>0</v>
      </c>
      <c r="U349" s="6">
        <f t="shared" si="130"/>
        <v>1.1605656801923307E-22</v>
      </c>
      <c r="V349">
        <f t="shared" si="120"/>
        <v>1.7408485202884961E-23</v>
      </c>
      <c r="W349">
        <f t="shared" si="121"/>
        <v>0</v>
      </c>
      <c r="X349">
        <f t="shared" si="113"/>
        <v>263486.88504158898</v>
      </c>
      <c r="Y349" s="6">
        <f t="shared" si="122"/>
        <v>29252.03593206291</v>
      </c>
      <c r="Z349" s="6">
        <f t="shared" si="123"/>
        <v>24.284628113587825</v>
      </c>
      <c r="AA349" s="6">
        <f t="shared" si="124"/>
        <v>1.289517422435924E-23</v>
      </c>
      <c r="AB349">
        <f t="shared" si="125"/>
        <v>0</v>
      </c>
      <c r="AD349" s="6">
        <f t="shared" si="114"/>
        <v>111250.18545492883</v>
      </c>
      <c r="AG349">
        <f t="shared" si="126"/>
        <v>80982.655583993648</v>
      </c>
      <c r="AH349">
        <f t="shared" si="127"/>
        <v>991.20931075868907</v>
      </c>
      <c r="AI349">
        <f t="shared" si="128"/>
        <v>3.0948418138462195E-21</v>
      </c>
      <c r="AL349">
        <f t="shared" si="115"/>
        <v>0.9758773520058851</v>
      </c>
      <c r="AM349">
        <f t="shared" si="131"/>
        <v>0.85577065734560631</v>
      </c>
      <c r="AO349">
        <v>347</v>
      </c>
      <c r="AP349">
        <v>0.97605708616041598</v>
      </c>
      <c r="AQ349">
        <v>0.84420569458503303</v>
      </c>
    </row>
    <row r="350" spans="14:43" x14ac:dyDescent="0.35">
      <c r="N350">
        <f t="shared" si="111"/>
        <v>348</v>
      </c>
      <c r="O350" s="6">
        <f t="shared" si="112"/>
        <v>263255.15997239726</v>
      </c>
      <c r="P350">
        <f t="shared" si="116"/>
        <v>13.162757998619863</v>
      </c>
      <c r="Q350">
        <f t="shared" si="117"/>
        <v>0</v>
      </c>
      <c r="R350" s="6">
        <f t="shared" si="129"/>
        <v>217.25028310415698</v>
      </c>
      <c r="S350">
        <f t="shared" si="118"/>
        <v>1.3035016986249419</v>
      </c>
      <c r="T350">
        <f t="shared" si="119"/>
        <v>0</v>
      </c>
      <c r="U350" s="6">
        <f t="shared" si="130"/>
        <v>9.864808281634811E-23</v>
      </c>
      <c r="V350">
        <f t="shared" si="120"/>
        <v>1.4797212422452217E-23</v>
      </c>
      <c r="W350">
        <f t="shared" si="121"/>
        <v>0</v>
      </c>
      <c r="X350">
        <f t="shared" si="113"/>
        <v>263472.4102555014</v>
      </c>
      <c r="Y350" s="6">
        <f t="shared" si="122"/>
        <v>29250.573330266307</v>
      </c>
      <c r="Z350" s="6">
        <f t="shared" si="123"/>
        <v>24.1389203449063</v>
      </c>
      <c r="AA350" s="6">
        <f t="shared" si="124"/>
        <v>1.0960898090705354E-23</v>
      </c>
      <c r="AB350">
        <f t="shared" si="125"/>
        <v>0</v>
      </c>
      <c r="AD350" s="6">
        <f t="shared" si="114"/>
        <v>111238.58075671979</v>
      </c>
      <c r="AG350">
        <f t="shared" si="126"/>
        <v>80978.606451214451</v>
      </c>
      <c r="AH350">
        <f t="shared" si="127"/>
        <v>985.2620548941369</v>
      </c>
      <c r="AI350">
        <f t="shared" si="128"/>
        <v>2.6306155417692866E-21</v>
      </c>
      <c r="AL350">
        <f t="shared" si="115"/>
        <v>0.97582374168704222</v>
      </c>
      <c r="AM350">
        <f t="shared" si="131"/>
        <v>0.85568139043630609</v>
      </c>
      <c r="AO350">
        <v>348</v>
      </c>
      <c r="AP350">
        <v>0.97597356825250403</v>
      </c>
      <c r="AQ350">
        <v>0.844095450946591</v>
      </c>
    </row>
    <row r="351" spans="14:43" x14ac:dyDescent="0.35">
      <c r="N351">
        <f t="shared" si="111"/>
        <v>349</v>
      </c>
      <c r="O351" s="6">
        <f t="shared" si="112"/>
        <v>263241.99721439864</v>
      </c>
      <c r="P351">
        <f t="shared" si="116"/>
        <v>13.162099860719932</v>
      </c>
      <c r="Q351">
        <f t="shared" si="117"/>
        <v>0</v>
      </c>
      <c r="R351" s="6">
        <f t="shared" si="129"/>
        <v>215.94678140553202</v>
      </c>
      <c r="S351">
        <f t="shared" si="118"/>
        <v>1.2956806884331922</v>
      </c>
      <c r="T351">
        <f t="shared" si="119"/>
        <v>0</v>
      </c>
      <c r="U351" s="6">
        <f t="shared" si="130"/>
        <v>8.3850870393895887E-23</v>
      </c>
      <c r="V351">
        <f t="shared" si="120"/>
        <v>1.2577630559084382E-23</v>
      </c>
      <c r="W351">
        <f t="shared" si="121"/>
        <v>0</v>
      </c>
      <c r="X351">
        <f t="shared" si="113"/>
        <v>263457.94399580418</v>
      </c>
      <c r="Y351" s="6">
        <f t="shared" si="122"/>
        <v>29249.110801599792</v>
      </c>
      <c r="Z351" s="6">
        <f t="shared" si="123"/>
        <v>23.994086822836863</v>
      </c>
      <c r="AA351" s="6">
        <f t="shared" si="124"/>
        <v>9.3167633770995505E-24</v>
      </c>
      <c r="AB351">
        <f t="shared" si="125"/>
        <v>0</v>
      </c>
      <c r="AD351" s="6">
        <f t="shared" si="114"/>
        <v>111227.01289187929</v>
      </c>
      <c r="AG351">
        <f t="shared" si="126"/>
        <v>80974.557520891889</v>
      </c>
      <c r="AH351">
        <f t="shared" si="127"/>
        <v>979.35048256477205</v>
      </c>
      <c r="AI351">
        <f t="shared" si="128"/>
        <v>2.2360232105038936E-21</v>
      </c>
      <c r="AL351">
        <f t="shared" si="115"/>
        <v>0.97577016294742291</v>
      </c>
      <c r="AM351">
        <f t="shared" si="131"/>
        <v>0.85559240686060989</v>
      </c>
      <c r="AO351">
        <v>349</v>
      </c>
      <c r="AP351">
        <v>0.975893391060911</v>
      </c>
      <c r="AQ351">
        <v>0.84395514086130297</v>
      </c>
    </row>
    <row r="352" spans="14:43" x14ac:dyDescent="0.35">
      <c r="N352">
        <f t="shared" si="111"/>
        <v>350</v>
      </c>
      <c r="O352" s="6">
        <f t="shared" si="112"/>
        <v>263228.83511453791</v>
      </c>
      <c r="P352">
        <f t="shared" si="116"/>
        <v>13.161441755726896</v>
      </c>
      <c r="Q352">
        <f t="shared" si="117"/>
        <v>0</v>
      </c>
      <c r="R352" s="6">
        <f t="shared" si="129"/>
        <v>214.65110071709884</v>
      </c>
      <c r="S352">
        <f t="shared" si="118"/>
        <v>1.2879066043025931</v>
      </c>
      <c r="T352">
        <f t="shared" si="119"/>
        <v>0</v>
      </c>
      <c r="U352" s="6">
        <f t="shared" si="130"/>
        <v>7.1273239834811505E-23</v>
      </c>
      <c r="V352">
        <f t="shared" si="120"/>
        <v>1.0690985975221726E-23</v>
      </c>
      <c r="W352">
        <f t="shared" si="121"/>
        <v>0</v>
      </c>
      <c r="X352">
        <f t="shared" si="113"/>
        <v>263443.48621525499</v>
      </c>
      <c r="Y352" s="6">
        <f t="shared" si="122"/>
        <v>29247.648346059712</v>
      </c>
      <c r="Z352" s="6">
        <f t="shared" si="123"/>
        <v>23.850122301899841</v>
      </c>
      <c r="AA352" s="6">
        <f t="shared" si="124"/>
        <v>7.9192488705346183E-24</v>
      </c>
      <c r="AB352">
        <f t="shared" si="125"/>
        <v>0</v>
      </c>
      <c r="AD352" s="6">
        <f t="shared" si="114"/>
        <v>111215.48164104685</v>
      </c>
      <c r="AG352">
        <f t="shared" si="126"/>
        <v>80970.508793015848</v>
      </c>
      <c r="AH352">
        <f t="shared" si="127"/>
        <v>973.47437966938344</v>
      </c>
      <c r="AI352">
        <f t="shared" si="128"/>
        <v>1.9006197289283096E-21</v>
      </c>
      <c r="AL352">
        <f t="shared" si="115"/>
        <v>0.97571661561205547</v>
      </c>
      <c r="AM352">
        <f t="shared" si="131"/>
        <v>0.85550370493112959</v>
      </c>
      <c r="AO352">
        <v>350</v>
      </c>
      <c r="AP352">
        <v>0.97582657673458395</v>
      </c>
      <c r="AQ352">
        <v>0.84377474218021797</v>
      </c>
    </row>
    <row r="353" spans="14:43" x14ac:dyDescent="0.35">
      <c r="N353">
        <f t="shared" si="111"/>
        <v>351</v>
      </c>
      <c r="O353" s="6">
        <f t="shared" si="112"/>
        <v>263215.6736727822</v>
      </c>
      <c r="P353">
        <f t="shared" si="116"/>
        <v>13.16078368363911</v>
      </c>
      <c r="Q353">
        <f t="shared" si="117"/>
        <v>0</v>
      </c>
      <c r="R353" s="6">
        <f t="shared" si="129"/>
        <v>213.36319411279624</v>
      </c>
      <c r="S353">
        <f t="shared" si="118"/>
        <v>1.2801791646767775</v>
      </c>
      <c r="T353">
        <f t="shared" si="119"/>
        <v>0</v>
      </c>
      <c r="U353" s="6">
        <f t="shared" si="130"/>
        <v>6.0582253859589774E-23</v>
      </c>
      <c r="V353">
        <f t="shared" si="120"/>
        <v>9.0873380789384656E-24</v>
      </c>
      <c r="W353">
        <f t="shared" si="121"/>
        <v>0</v>
      </c>
      <c r="X353">
        <f t="shared" si="113"/>
        <v>263429.03686689498</v>
      </c>
      <c r="Y353" s="6">
        <f t="shared" si="122"/>
        <v>29246.185963642409</v>
      </c>
      <c r="Z353" s="6">
        <f t="shared" si="123"/>
        <v>23.707021568088443</v>
      </c>
      <c r="AA353" s="6">
        <f t="shared" si="124"/>
        <v>6.7313615399544249E-24</v>
      </c>
      <c r="AB353">
        <f t="shared" si="125"/>
        <v>0</v>
      </c>
      <c r="AD353" s="6">
        <f t="shared" si="114"/>
        <v>111203.98678617807</v>
      </c>
      <c r="AG353">
        <f t="shared" si="126"/>
        <v>80966.4602675762</v>
      </c>
      <c r="AH353">
        <f t="shared" si="127"/>
        <v>967.63353339136711</v>
      </c>
      <c r="AI353">
        <f t="shared" si="128"/>
        <v>1.6155267695890632E-21</v>
      </c>
      <c r="AL353">
        <f t="shared" si="115"/>
        <v>0.97566309950701846</v>
      </c>
      <c r="AM353">
        <f t="shared" si="131"/>
        <v>0.85541528297060054</v>
      </c>
      <c r="AO353">
        <v>351</v>
      </c>
      <c r="AP353">
        <v>0.97576310312457204</v>
      </c>
      <c r="AQ353">
        <v>0.84355425490333602</v>
      </c>
    </row>
    <row r="354" spans="14:43" x14ac:dyDescent="0.35">
      <c r="N354">
        <f t="shared" si="111"/>
        <v>352</v>
      </c>
      <c r="O354" s="6">
        <f t="shared" si="112"/>
        <v>263202.51288909855</v>
      </c>
      <c r="P354">
        <f t="shared" si="116"/>
        <v>13.160125644454927</v>
      </c>
      <c r="Q354">
        <f t="shared" si="117"/>
        <v>0</v>
      </c>
      <c r="R354" s="6">
        <f t="shared" si="129"/>
        <v>212.08301494811946</v>
      </c>
      <c r="S354">
        <f t="shared" si="118"/>
        <v>1.2724980896887168</v>
      </c>
      <c r="T354">
        <f t="shared" si="119"/>
        <v>0</v>
      </c>
      <c r="U354" s="6">
        <f t="shared" si="130"/>
        <v>5.1494915780651306E-23</v>
      </c>
      <c r="V354">
        <f t="shared" si="120"/>
        <v>7.724237367097695E-24</v>
      </c>
      <c r="W354">
        <f t="shared" si="121"/>
        <v>0</v>
      </c>
      <c r="X354">
        <f t="shared" si="113"/>
        <v>263414.59590404667</v>
      </c>
      <c r="Y354" s="6">
        <f t="shared" si="122"/>
        <v>29244.723654344227</v>
      </c>
      <c r="Z354" s="6">
        <f t="shared" si="123"/>
        <v>23.564779438679913</v>
      </c>
      <c r="AA354" s="6">
        <f t="shared" si="124"/>
        <v>5.7216573089612612E-24</v>
      </c>
      <c r="AB354">
        <f t="shared" si="125"/>
        <v>0</v>
      </c>
      <c r="AD354" s="6">
        <f t="shared" si="114"/>
        <v>111192.52811053673</v>
      </c>
      <c r="AG354">
        <f t="shared" si="126"/>
        <v>80962.411944562817</v>
      </c>
      <c r="AH354">
        <f t="shared" si="127"/>
        <v>961.82773219101887</v>
      </c>
      <c r="AI354">
        <f t="shared" si="128"/>
        <v>1.3731977541507037E-21</v>
      </c>
      <c r="AL354">
        <f t="shared" si="115"/>
        <v>0.97560961445943206</v>
      </c>
      <c r="AM354">
        <f t="shared" si="131"/>
        <v>0.85532713931182103</v>
      </c>
      <c r="AO354">
        <v>352</v>
      </c>
      <c r="AP354">
        <v>0.97568626664929503</v>
      </c>
      <c r="AQ354">
        <v>0.84341394481804699</v>
      </c>
    </row>
    <row r="355" spans="14:43" x14ac:dyDescent="0.35">
      <c r="N355">
        <f t="shared" si="111"/>
        <v>353</v>
      </c>
      <c r="O355" s="6">
        <f t="shared" si="112"/>
        <v>263189.35276345408</v>
      </c>
      <c r="P355">
        <f t="shared" si="116"/>
        <v>13.159467638172705</v>
      </c>
      <c r="Q355">
        <f t="shared" si="117"/>
        <v>0</v>
      </c>
      <c r="R355" s="6">
        <f t="shared" si="129"/>
        <v>210.81051685843073</v>
      </c>
      <c r="S355">
        <f t="shared" si="118"/>
        <v>1.2648631011505844</v>
      </c>
      <c r="T355">
        <f t="shared" si="119"/>
        <v>0</v>
      </c>
      <c r="U355" s="6">
        <f t="shared" si="130"/>
        <v>4.3770678413553609E-23</v>
      </c>
      <c r="V355">
        <f t="shared" si="120"/>
        <v>6.5656017620330414E-24</v>
      </c>
      <c r="W355">
        <f t="shared" si="121"/>
        <v>0</v>
      </c>
      <c r="X355">
        <f t="shared" si="113"/>
        <v>263400.1632803125</v>
      </c>
      <c r="Y355" s="6">
        <f t="shared" si="122"/>
        <v>29243.26141816151</v>
      </c>
      <c r="Z355" s="6">
        <f t="shared" si="123"/>
        <v>23.423390762047834</v>
      </c>
      <c r="AA355" s="6">
        <f t="shared" si="124"/>
        <v>4.8634087126170721E-24</v>
      </c>
      <c r="AB355">
        <f t="shared" si="125"/>
        <v>0</v>
      </c>
      <c r="AD355" s="6">
        <f t="shared" si="114"/>
        <v>111181.10539868701</v>
      </c>
      <c r="AG355">
        <f t="shared" si="126"/>
        <v>80958.363823965585</v>
      </c>
      <c r="AH355">
        <f t="shared" si="127"/>
        <v>956.0567657978728</v>
      </c>
      <c r="AI355">
        <f t="shared" si="128"/>
        <v>1.1672180910280982E-21</v>
      </c>
      <c r="AL355">
        <f t="shared" si="115"/>
        <v>0.97555616029745373</v>
      </c>
      <c r="AM355">
        <f t="shared" si="131"/>
        <v>0.85523927229759233</v>
      </c>
      <c r="AO355">
        <v>353</v>
      </c>
      <c r="AP355">
        <v>0.97560943017401802</v>
      </c>
      <c r="AQ355">
        <v>0.84328365688170803</v>
      </c>
    </row>
    <row r="356" spans="14:43" x14ac:dyDescent="0.35">
      <c r="N356">
        <f t="shared" si="111"/>
        <v>354</v>
      </c>
      <c r="O356" s="6">
        <f t="shared" si="112"/>
        <v>263176.1932958159</v>
      </c>
      <c r="P356">
        <f t="shared" si="116"/>
        <v>13.158809664790796</v>
      </c>
      <c r="Q356">
        <f t="shared" si="117"/>
        <v>0</v>
      </c>
      <c r="R356" s="6">
        <f t="shared" si="129"/>
        <v>209.54565375728015</v>
      </c>
      <c r="S356">
        <f t="shared" si="118"/>
        <v>1.2572739225436809</v>
      </c>
      <c r="T356">
        <f t="shared" si="119"/>
        <v>0</v>
      </c>
      <c r="U356" s="6">
        <f t="shared" si="130"/>
        <v>3.7205076651520567E-23</v>
      </c>
      <c r="V356">
        <f t="shared" si="120"/>
        <v>5.5807614977280848E-24</v>
      </c>
      <c r="W356">
        <f t="shared" si="121"/>
        <v>0</v>
      </c>
      <c r="X356">
        <f t="shared" si="113"/>
        <v>263385.73894957319</v>
      </c>
      <c r="Y356" s="6">
        <f t="shared" si="122"/>
        <v>29241.799255090602</v>
      </c>
      <c r="Z356" s="6">
        <f t="shared" si="123"/>
        <v>23.282850417475547</v>
      </c>
      <c r="AA356" s="6">
        <f t="shared" si="124"/>
        <v>4.1338974057245112E-24</v>
      </c>
      <c r="AB356">
        <f t="shared" si="125"/>
        <v>0</v>
      </c>
      <c r="AD356" s="6">
        <f t="shared" si="114"/>
        <v>111169.71843648555</v>
      </c>
      <c r="AG356">
        <f t="shared" si="126"/>
        <v>80954.315905774391</v>
      </c>
      <c r="AH356">
        <f t="shared" si="127"/>
        <v>950.32042520308551</v>
      </c>
      <c r="AI356">
        <f t="shared" si="128"/>
        <v>9.9213537737388344E-22</v>
      </c>
      <c r="AL356">
        <f t="shared" si="115"/>
        <v>0.97550273685027111</v>
      </c>
      <c r="AM356">
        <f t="shared" si="131"/>
        <v>0.85515168028065802</v>
      </c>
      <c r="AO356">
        <v>354</v>
      </c>
      <c r="AP356">
        <v>0.97553927513137495</v>
      </c>
      <c r="AQ356">
        <v>0.84312330249852196</v>
      </c>
    </row>
    <row r="357" spans="14:43" x14ac:dyDescent="0.35">
      <c r="N357">
        <f t="shared" ref="N357:N420" si="132">N356+1</f>
        <v>355</v>
      </c>
      <c r="O357" s="6">
        <f t="shared" si="112"/>
        <v>263163.03448615113</v>
      </c>
      <c r="P357">
        <f t="shared" si="116"/>
        <v>13.158151724307556</v>
      </c>
      <c r="Q357">
        <f t="shared" si="117"/>
        <v>0</v>
      </c>
      <c r="R357" s="6">
        <f t="shared" si="129"/>
        <v>208.28837983473647</v>
      </c>
      <c r="S357">
        <f t="shared" si="118"/>
        <v>1.2497302790084188</v>
      </c>
      <c r="T357">
        <f t="shared" si="119"/>
        <v>0</v>
      </c>
      <c r="U357" s="6">
        <f t="shared" si="130"/>
        <v>3.1624315153792482E-23</v>
      </c>
      <c r="V357">
        <f t="shared" si="120"/>
        <v>4.7436472730688725E-24</v>
      </c>
      <c r="W357">
        <f t="shared" si="121"/>
        <v>0</v>
      </c>
      <c r="X357">
        <f t="shared" si="113"/>
        <v>263371.32286598586</v>
      </c>
      <c r="Y357" s="6">
        <f t="shared" si="122"/>
        <v>29240.337165127847</v>
      </c>
      <c r="Z357" s="6">
        <f t="shared" si="123"/>
        <v>23.143153314970693</v>
      </c>
      <c r="AA357" s="6">
        <f t="shared" si="124"/>
        <v>3.5138127948658347E-24</v>
      </c>
      <c r="AB357">
        <f t="shared" si="125"/>
        <v>0</v>
      </c>
      <c r="AD357" s="6">
        <f t="shared" si="114"/>
        <v>111158.36701107379</v>
      </c>
      <c r="AG357">
        <f t="shared" si="126"/>
        <v>80950.268189979106</v>
      </c>
      <c r="AH357">
        <f t="shared" si="127"/>
        <v>944.61850265186695</v>
      </c>
      <c r="AI357">
        <f t="shared" si="128"/>
        <v>8.4331507076780091E-22</v>
      </c>
      <c r="AL357">
        <f t="shared" si="115"/>
        <v>0.97544934394809579</v>
      </c>
      <c r="AM357">
        <f t="shared" si="131"/>
        <v>0.85506436162364452</v>
      </c>
      <c r="AO357">
        <v>355</v>
      </c>
      <c r="AP357">
        <v>0.975455757223464</v>
      </c>
      <c r="AQ357">
        <v>0.84297297026428397</v>
      </c>
    </row>
    <row r="358" spans="14:43" x14ac:dyDescent="0.35">
      <c r="N358">
        <f t="shared" si="132"/>
        <v>356</v>
      </c>
      <c r="O358" s="6">
        <f t="shared" si="112"/>
        <v>263149.87633442681</v>
      </c>
      <c r="P358">
        <f t="shared" si="116"/>
        <v>13.157493816721342</v>
      </c>
      <c r="Q358">
        <f t="shared" si="117"/>
        <v>0</v>
      </c>
      <c r="R358" s="6">
        <f t="shared" si="129"/>
        <v>207.03864955572806</v>
      </c>
      <c r="S358">
        <f t="shared" si="118"/>
        <v>1.2422318973343685</v>
      </c>
      <c r="T358">
        <f t="shared" si="119"/>
        <v>0</v>
      </c>
      <c r="U358" s="6">
        <f t="shared" si="130"/>
        <v>2.6880667880723608E-23</v>
      </c>
      <c r="V358">
        <f t="shared" si="120"/>
        <v>4.0321001821085407E-24</v>
      </c>
      <c r="W358">
        <f t="shared" si="121"/>
        <v>0</v>
      </c>
      <c r="X358">
        <f t="shared" si="113"/>
        <v>263356.91498398251</v>
      </c>
      <c r="Y358" s="6">
        <f t="shared" si="122"/>
        <v>29238.875148269592</v>
      </c>
      <c r="Z358" s="6">
        <f t="shared" si="123"/>
        <v>23.004294395080869</v>
      </c>
      <c r="AA358" s="6">
        <f t="shared" si="124"/>
        <v>2.9867408756359596E-24</v>
      </c>
      <c r="AB358">
        <f t="shared" si="125"/>
        <v>0</v>
      </c>
      <c r="AD358" s="6">
        <f t="shared" si="114"/>
        <v>111147.05091087022</v>
      </c>
      <c r="AG358">
        <f t="shared" si="126"/>
        <v>80946.220676569603</v>
      </c>
      <c r="AH358">
        <f t="shared" si="127"/>
        <v>938.95079163595574</v>
      </c>
      <c r="AI358">
        <f t="shared" si="128"/>
        <v>7.1681781015263079E-22</v>
      </c>
      <c r="AL358">
        <f t="shared" si="115"/>
        <v>0.97539598142215744</v>
      </c>
      <c r="AM358">
        <f t="shared" si="131"/>
        <v>0.85497731469900173</v>
      </c>
      <c r="AO358">
        <v>356</v>
      </c>
      <c r="AP358">
        <v>0.97539896504608503</v>
      </c>
      <c r="AQ358">
        <v>0.84284268232794401</v>
      </c>
    </row>
    <row r="359" spans="14:43" x14ac:dyDescent="0.35">
      <c r="N359">
        <f t="shared" si="132"/>
        <v>357</v>
      </c>
      <c r="O359" s="6">
        <f t="shared" si="112"/>
        <v>263136.71884061006</v>
      </c>
      <c r="P359">
        <f t="shared" si="116"/>
        <v>13.156835942030504</v>
      </c>
      <c r="Q359">
        <f t="shared" si="117"/>
        <v>0</v>
      </c>
      <c r="R359" s="6">
        <f t="shared" si="129"/>
        <v>205.79641765839369</v>
      </c>
      <c r="S359">
        <f t="shared" si="118"/>
        <v>1.2347785059503622</v>
      </c>
      <c r="T359">
        <f t="shared" si="119"/>
        <v>0</v>
      </c>
      <c r="U359" s="6">
        <f t="shared" si="130"/>
        <v>2.2848567698615068E-23</v>
      </c>
      <c r="V359">
        <f t="shared" si="120"/>
        <v>3.4272851547922602E-24</v>
      </c>
      <c r="W359">
        <f t="shared" si="121"/>
        <v>0</v>
      </c>
      <c r="X359">
        <f t="shared" si="113"/>
        <v>263342.51525826845</v>
      </c>
      <c r="Y359" s="6">
        <f t="shared" si="122"/>
        <v>29237.413204512177</v>
      </c>
      <c r="Z359" s="6">
        <f t="shared" si="123"/>
        <v>22.866268628710383</v>
      </c>
      <c r="AA359" s="6">
        <f t="shared" si="124"/>
        <v>2.5387297442905655E-24</v>
      </c>
      <c r="AB359">
        <f t="shared" si="125"/>
        <v>0</v>
      </c>
      <c r="AD359" s="6">
        <f t="shared" si="114"/>
        <v>111135.7699255628</v>
      </c>
      <c r="AG359">
        <f t="shared" si="126"/>
        <v>80942.173365535768</v>
      </c>
      <c r="AH359">
        <f t="shared" si="127"/>
        <v>933.31708688614003</v>
      </c>
      <c r="AI359">
        <f t="shared" si="128"/>
        <v>6.0929513862973622E-22</v>
      </c>
      <c r="AL359">
        <f t="shared" si="115"/>
        <v>0.97534264910469792</v>
      </c>
      <c r="AM359">
        <f t="shared" si="131"/>
        <v>0.85489053788894454</v>
      </c>
      <c r="AO359">
        <v>357</v>
      </c>
      <c r="AP359">
        <v>0.97530876570554303</v>
      </c>
      <c r="AQ359">
        <v>0.84266228364686002</v>
      </c>
    </row>
    <row r="360" spans="14:43" x14ac:dyDescent="0.35">
      <c r="N360">
        <f t="shared" si="132"/>
        <v>358</v>
      </c>
      <c r="O360" s="6">
        <f t="shared" si="112"/>
        <v>263123.56200466806</v>
      </c>
      <c r="P360">
        <f t="shared" si="116"/>
        <v>13.156178100233403</v>
      </c>
      <c r="Q360">
        <f t="shared" si="117"/>
        <v>0</v>
      </c>
      <c r="R360" s="6">
        <f t="shared" si="129"/>
        <v>204.56163915244332</v>
      </c>
      <c r="S360">
        <f t="shared" si="118"/>
        <v>1.22736983491466</v>
      </c>
      <c r="T360">
        <f t="shared" si="119"/>
        <v>0</v>
      </c>
      <c r="U360" s="6">
        <f t="shared" si="130"/>
        <v>1.9421282543822808E-23</v>
      </c>
      <c r="V360">
        <f t="shared" si="120"/>
        <v>2.9131923815734212E-24</v>
      </c>
      <c r="W360">
        <f t="shared" si="121"/>
        <v>0</v>
      </c>
      <c r="X360">
        <f t="shared" si="113"/>
        <v>263328.12364382052</v>
      </c>
      <c r="Y360" s="6">
        <f t="shared" si="122"/>
        <v>29235.95133385195</v>
      </c>
      <c r="Z360" s="6">
        <f t="shared" si="123"/>
        <v>22.729071016938121</v>
      </c>
      <c r="AA360" s="6">
        <f t="shared" si="124"/>
        <v>2.1579202826469807E-24</v>
      </c>
      <c r="AB360">
        <f t="shared" si="125"/>
        <v>0</v>
      </c>
      <c r="AD360" s="6">
        <f t="shared" si="114"/>
        <v>111124.52384610119</v>
      </c>
      <c r="AG360">
        <f t="shared" si="126"/>
        <v>80938.126256867487</v>
      </c>
      <c r="AH360">
        <f t="shared" si="127"/>
        <v>927.7171843648232</v>
      </c>
      <c r="AI360">
        <f t="shared" si="128"/>
        <v>5.179008678352758E-22</v>
      </c>
      <c r="AL360">
        <f t="shared" si="115"/>
        <v>0.97528934682896495</v>
      </c>
      <c r="AM360">
        <f t="shared" si="131"/>
        <v>0.85480402958539381</v>
      </c>
      <c r="AO360">
        <v>358</v>
      </c>
      <c r="AP360">
        <v>0.97523861066289796</v>
      </c>
      <c r="AQ360">
        <v>0.84257208430631703</v>
      </c>
    </row>
    <row r="361" spans="14:43" x14ac:dyDescent="0.35">
      <c r="N361">
        <f t="shared" si="132"/>
        <v>359</v>
      </c>
      <c r="O361" s="6">
        <f t="shared" si="112"/>
        <v>263110.40582656785</v>
      </c>
      <c r="P361">
        <f t="shared" si="116"/>
        <v>13.155520291328394</v>
      </c>
      <c r="Q361">
        <f t="shared" si="117"/>
        <v>0</v>
      </c>
      <c r="R361" s="6">
        <f t="shared" si="129"/>
        <v>203.33426931752865</v>
      </c>
      <c r="S361">
        <f t="shared" si="118"/>
        <v>1.220005615905172</v>
      </c>
      <c r="T361">
        <f t="shared" si="119"/>
        <v>0</v>
      </c>
      <c r="U361" s="6">
        <f t="shared" si="130"/>
        <v>1.6508090162249386E-23</v>
      </c>
      <c r="V361">
        <f t="shared" si="120"/>
        <v>2.4762135243374078E-24</v>
      </c>
      <c r="W361">
        <f t="shared" si="121"/>
        <v>0</v>
      </c>
      <c r="X361">
        <f t="shared" si="113"/>
        <v>263313.74009588535</v>
      </c>
      <c r="Y361" s="6">
        <f t="shared" si="122"/>
        <v>29234.489536285259</v>
      </c>
      <c r="Z361" s="6">
        <f t="shared" si="123"/>
        <v>22.592696590836493</v>
      </c>
      <c r="AA361" s="6">
        <f t="shared" si="124"/>
        <v>1.8342322402499337E-24</v>
      </c>
      <c r="AB361">
        <f t="shared" si="125"/>
        <v>0</v>
      </c>
      <c r="AD361" s="6">
        <f t="shared" si="114"/>
        <v>111113.31246468938</v>
      </c>
      <c r="AG361">
        <f t="shared" si="126"/>
        <v>80934.079350554646</v>
      </c>
      <c r="AH361">
        <f t="shared" si="127"/>
        <v>922.15088125863429</v>
      </c>
      <c r="AI361">
        <f t="shared" si="128"/>
        <v>4.402157376599844E-22</v>
      </c>
      <c r="AL361">
        <f t="shared" si="115"/>
        <v>0.97523607442920501</v>
      </c>
      <c r="AM361">
        <f t="shared" si="131"/>
        <v>0.85471778818991839</v>
      </c>
      <c r="AO361">
        <v>359</v>
      </c>
      <c r="AP361">
        <v>0.97515509275498802</v>
      </c>
      <c r="AQ361">
        <v>0.84245181851892703</v>
      </c>
    </row>
    <row r="362" spans="14:43" x14ac:dyDescent="0.35">
      <c r="N362">
        <f t="shared" si="132"/>
        <v>360</v>
      </c>
      <c r="O362" s="6">
        <f t="shared" si="112"/>
        <v>263097.25030627655</v>
      </c>
      <c r="P362">
        <f t="shared" si="116"/>
        <v>13.154862515313829</v>
      </c>
      <c r="Q362">
        <f t="shared" si="117"/>
        <v>0</v>
      </c>
      <c r="R362" s="6">
        <f t="shared" si="129"/>
        <v>202.11426370162349</v>
      </c>
      <c r="S362">
        <f t="shared" si="118"/>
        <v>1.2126855822097409</v>
      </c>
      <c r="T362">
        <f t="shared" si="119"/>
        <v>0</v>
      </c>
      <c r="U362" s="6">
        <f t="shared" si="130"/>
        <v>1.4031876637911978E-23</v>
      </c>
      <c r="V362">
        <f t="shared" si="120"/>
        <v>2.1047814956867964E-24</v>
      </c>
      <c r="W362">
        <f t="shared" si="121"/>
        <v>0</v>
      </c>
      <c r="X362">
        <f t="shared" si="113"/>
        <v>263299.36456997815</v>
      </c>
      <c r="Y362" s="6">
        <f t="shared" si="122"/>
        <v>29233.027811808442</v>
      </c>
      <c r="Z362" s="6">
        <f t="shared" si="123"/>
        <v>22.457140411291473</v>
      </c>
      <c r="AA362" s="6">
        <f t="shared" si="124"/>
        <v>1.5590974042124436E-24</v>
      </c>
      <c r="AB362">
        <f t="shared" si="125"/>
        <v>0</v>
      </c>
      <c r="AD362" s="6">
        <f t="shared" si="114"/>
        <v>111102.13557477793</v>
      </c>
      <c r="AG362">
        <f t="shared" si="126"/>
        <v>80930.032646587119</v>
      </c>
      <c r="AH362">
        <f t="shared" si="127"/>
        <v>916.6179759710825</v>
      </c>
      <c r="AI362">
        <f t="shared" si="128"/>
        <v>3.7418337701098676E-22</v>
      </c>
      <c r="AL362">
        <f t="shared" si="115"/>
        <v>0.97518283174065978</v>
      </c>
      <c r="AM362">
        <f t="shared" si="131"/>
        <v>0.85463181211367634</v>
      </c>
      <c r="AO362">
        <v>360</v>
      </c>
      <c r="AP362">
        <v>0.97507157484707996</v>
      </c>
      <c r="AQ362">
        <v>0.842251375539943</v>
      </c>
    </row>
    <row r="363" spans="14:43" x14ac:dyDescent="0.35">
      <c r="N363">
        <f t="shared" si="132"/>
        <v>361</v>
      </c>
      <c r="O363" s="6">
        <f t="shared" si="112"/>
        <v>263084.09544376121</v>
      </c>
      <c r="P363">
        <f t="shared" si="116"/>
        <v>13.154204772188061</v>
      </c>
      <c r="Q363">
        <f t="shared" si="117"/>
        <v>0</v>
      </c>
      <c r="R363" s="6">
        <f t="shared" si="129"/>
        <v>200.90157811941376</v>
      </c>
      <c r="S363">
        <f t="shared" si="118"/>
        <v>1.2054094687164825</v>
      </c>
      <c r="T363">
        <f t="shared" si="119"/>
        <v>0</v>
      </c>
      <c r="U363" s="6">
        <f t="shared" si="130"/>
        <v>1.1927095142225182E-23</v>
      </c>
      <c r="V363">
        <f t="shared" si="120"/>
        <v>1.7890642713337771E-24</v>
      </c>
      <c r="W363">
        <f t="shared" si="121"/>
        <v>0</v>
      </c>
      <c r="X363">
        <f t="shared" si="113"/>
        <v>263284.99702188064</v>
      </c>
      <c r="Y363" s="6">
        <f t="shared" si="122"/>
        <v>29231.566160417853</v>
      </c>
      <c r="Z363" s="6">
        <f t="shared" si="123"/>
        <v>22.322397568823725</v>
      </c>
      <c r="AA363" s="6">
        <f t="shared" si="124"/>
        <v>1.3252327935805771E-24</v>
      </c>
      <c r="AB363">
        <f t="shared" si="125"/>
        <v>0</v>
      </c>
      <c r="AD363" s="6">
        <f t="shared" si="114"/>
        <v>111090.99297105672</v>
      </c>
      <c r="AG363">
        <f t="shared" si="126"/>
        <v>80925.98614495479</v>
      </c>
      <c r="AH363">
        <f t="shared" si="127"/>
        <v>911.118268115256</v>
      </c>
      <c r="AI363">
        <f t="shared" si="128"/>
        <v>3.1805587045933876E-22</v>
      </c>
      <c r="AL363">
        <f t="shared" si="115"/>
        <v>0.97512961859955793</v>
      </c>
      <c r="AM363">
        <f t="shared" si="131"/>
        <v>0.8545460997773594</v>
      </c>
      <c r="AO363">
        <v>361</v>
      </c>
      <c r="AP363">
        <v>0.97497469407390402</v>
      </c>
      <c r="AQ363">
        <v>0.84215115405045105</v>
      </c>
    </row>
    <row r="364" spans="14:43" x14ac:dyDescent="0.35">
      <c r="N364">
        <f t="shared" si="132"/>
        <v>362</v>
      </c>
      <c r="O364" s="6">
        <f t="shared" si="112"/>
        <v>263070.94123898901</v>
      </c>
      <c r="P364">
        <f t="shared" si="116"/>
        <v>13.153547061949451</v>
      </c>
      <c r="Q364">
        <f t="shared" si="117"/>
        <v>0</v>
      </c>
      <c r="R364" s="6">
        <f t="shared" si="129"/>
        <v>199.69616865069727</v>
      </c>
      <c r="S364">
        <f t="shared" si="118"/>
        <v>1.1981770119041837</v>
      </c>
      <c r="T364">
        <f t="shared" si="119"/>
        <v>0</v>
      </c>
      <c r="U364" s="6">
        <f t="shared" si="130"/>
        <v>1.0138030870891404E-23</v>
      </c>
      <c r="V364">
        <f t="shared" si="120"/>
        <v>1.5207046306337106E-24</v>
      </c>
      <c r="W364">
        <f t="shared" si="121"/>
        <v>0</v>
      </c>
      <c r="X364">
        <f t="shared" si="113"/>
        <v>263270.6374076397</v>
      </c>
      <c r="Y364" s="6">
        <f t="shared" si="122"/>
        <v>29230.104582109831</v>
      </c>
      <c r="Z364" s="6">
        <f t="shared" si="123"/>
        <v>22.188463183410782</v>
      </c>
      <c r="AA364" s="6">
        <f t="shared" si="124"/>
        <v>1.1264478745434906E-24</v>
      </c>
      <c r="AB364">
        <f t="shared" si="125"/>
        <v>0</v>
      </c>
      <c r="AD364" s="6">
        <f t="shared" si="114"/>
        <v>111079.88444944736</v>
      </c>
      <c r="AG364">
        <f t="shared" si="126"/>
        <v>80921.939845647546</v>
      </c>
      <c r="AH364">
        <f t="shared" si="127"/>
        <v>905.65155850656447</v>
      </c>
      <c r="AI364">
        <f t="shared" si="128"/>
        <v>2.7034748989043794E-22</v>
      </c>
      <c r="AL364">
        <f t="shared" si="115"/>
        <v>0.97507643484311002</v>
      </c>
      <c r="AM364">
        <f t="shared" si="131"/>
        <v>0.85446064961113355</v>
      </c>
      <c r="AO364">
        <v>362</v>
      </c>
      <c r="AP364">
        <v>0.97489785759862702</v>
      </c>
      <c r="AQ364">
        <v>0.84202086611411098</v>
      </c>
    </row>
    <row r="365" spans="14:43" x14ac:dyDescent="0.35">
      <c r="N365">
        <f t="shared" si="132"/>
        <v>363</v>
      </c>
      <c r="O365" s="6">
        <f t="shared" si="112"/>
        <v>263057.78769192705</v>
      </c>
      <c r="P365">
        <f t="shared" si="116"/>
        <v>13.152889384596353</v>
      </c>
      <c r="Q365">
        <f t="shared" si="117"/>
        <v>0</v>
      </c>
      <c r="R365" s="6">
        <f t="shared" si="129"/>
        <v>198.49799163879308</v>
      </c>
      <c r="S365">
        <f t="shared" si="118"/>
        <v>1.1909879498327585</v>
      </c>
      <c r="T365">
        <f t="shared" si="119"/>
        <v>0</v>
      </c>
      <c r="U365" s="6">
        <f t="shared" si="130"/>
        <v>8.6173262402576933E-24</v>
      </c>
      <c r="V365">
        <f t="shared" si="120"/>
        <v>1.292598936038654E-24</v>
      </c>
      <c r="W365">
        <f t="shared" si="121"/>
        <v>0</v>
      </c>
      <c r="X365">
        <f t="shared" si="113"/>
        <v>263256.28568356583</v>
      </c>
      <c r="Y365" s="6">
        <f t="shared" si="122"/>
        <v>29228.643076880726</v>
      </c>
      <c r="Z365" s="6">
        <f t="shared" si="123"/>
        <v>22.055332404310317</v>
      </c>
      <c r="AA365" s="6">
        <f t="shared" si="124"/>
        <v>9.5748069336196704E-25</v>
      </c>
      <c r="AB365">
        <f t="shared" si="125"/>
        <v>0</v>
      </c>
      <c r="AD365" s="6">
        <f t="shared" si="114"/>
        <v>111068.80980709582</v>
      </c>
      <c r="AG365">
        <f t="shared" si="126"/>
        <v>80917.89374865526</v>
      </c>
      <c r="AH365">
        <f t="shared" si="127"/>
        <v>900.21764915552512</v>
      </c>
      <c r="AI365">
        <f t="shared" si="128"/>
        <v>2.2979536640687225E-22</v>
      </c>
      <c r="AL365">
        <f t="shared" si="115"/>
        <v>0.97502328030950303</v>
      </c>
      <c r="AM365">
        <f t="shared" si="131"/>
        <v>0.8543754600545832</v>
      </c>
      <c r="AO365">
        <v>363</v>
      </c>
      <c r="AP365">
        <v>0.97482770255598195</v>
      </c>
      <c r="AQ365">
        <v>0.84189057817777302</v>
      </c>
    </row>
    <row r="366" spans="14:43" x14ac:dyDescent="0.35">
      <c r="N366">
        <f t="shared" si="132"/>
        <v>364</v>
      </c>
      <c r="O366" s="6">
        <f t="shared" si="112"/>
        <v>263044.63480254245</v>
      </c>
      <c r="P366">
        <f t="shared" si="116"/>
        <v>13.152231740127123</v>
      </c>
      <c r="Q366">
        <f t="shared" si="117"/>
        <v>0</v>
      </c>
      <c r="R366" s="6">
        <f t="shared" si="129"/>
        <v>197.30700368896032</v>
      </c>
      <c r="S366">
        <f t="shared" si="118"/>
        <v>1.183842022133762</v>
      </c>
      <c r="T366">
        <f t="shared" si="119"/>
        <v>0</v>
      </c>
      <c r="U366" s="6">
        <f t="shared" si="130"/>
        <v>7.3247273042190391E-24</v>
      </c>
      <c r="V366">
        <f t="shared" si="120"/>
        <v>1.0987090956328559E-24</v>
      </c>
      <c r="W366">
        <f t="shared" si="121"/>
        <v>0</v>
      </c>
      <c r="X366">
        <f t="shared" si="113"/>
        <v>263241.94180623139</v>
      </c>
      <c r="Y366" s="6">
        <f t="shared" si="122"/>
        <v>29227.181644726883</v>
      </c>
      <c r="Z366" s="6">
        <f t="shared" si="123"/>
        <v>21.923000409884455</v>
      </c>
      <c r="AA366" s="6">
        <f t="shared" si="124"/>
        <v>8.1385858935767198E-25</v>
      </c>
      <c r="AB366">
        <f t="shared" si="125"/>
        <v>0</v>
      </c>
      <c r="AD366" s="6">
        <f t="shared" si="114"/>
        <v>111057.7688423652</v>
      </c>
      <c r="AG366">
        <f t="shared" si="126"/>
        <v>80913.847853967833</v>
      </c>
      <c r="AH366">
        <f t="shared" si="127"/>
        <v>894.81634326059202</v>
      </c>
      <c r="AI366">
        <f t="shared" si="128"/>
        <v>1.9532606144584143E-22</v>
      </c>
      <c r="AL366">
        <f t="shared" si="115"/>
        <v>0.97497015483789407</v>
      </c>
      <c r="AM366">
        <f t="shared" si="131"/>
        <v>0.85429052955665541</v>
      </c>
      <c r="AO366">
        <v>364</v>
      </c>
      <c r="AP366">
        <v>0.97477091037860397</v>
      </c>
      <c r="AQ366">
        <v>0.84177031239038302</v>
      </c>
    </row>
    <row r="367" spans="14:43" x14ac:dyDescent="0.35">
      <c r="N367">
        <f t="shared" si="132"/>
        <v>365</v>
      </c>
      <c r="O367" s="6">
        <f t="shared" si="112"/>
        <v>263031.48257080233</v>
      </c>
      <c r="P367">
        <f t="shared" si="116"/>
        <v>13.151574128540117</v>
      </c>
      <c r="Q367">
        <f t="shared" si="117"/>
        <v>0</v>
      </c>
      <c r="R367" s="6">
        <f t="shared" si="129"/>
        <v>196.12316166682655</v>
      </c>
      <c r="S367">
        <f t="shared" si="118"/>
        <v>1.1767389700009594</v>
      </c>
      <c r="T367">
        <f t="shared" si="119"/>
        <v>0</v>
      </c>
      <c r="U367" s="6">
        <f t="shared" si="130"/>
        <v>6.226018208586183E-24</v>
      </c>
      <c r="V367">
        <f t="shared" si="120"/>
        <v>9.3390273128792745E-25</v>
      </c>
      <c r="W367">
        <f t="shared" si="121"/>
        <v>0</v>
      </c>
      <c r="X367">
        <f t="shared" si="113"/>
        <v>263227.60573246918</v>
      </c>
      <c r="Y367" s="6">
        <f t="shared" si="122"/>
        <v>29225.720285644646</v>
      </c>
      <c r="Z367" s="6">
        <f t="shared" si="123"/>
        <v>21.791462407425147</v>
      </c>
      <c r="AA367" s="6">
        <f t="shared" si="124"/>
        <v>6.9177980095402115E-25</v>
      </c>
      <c r="AB367">
        <f t="shared" si="125"/>
        <v>0</v>
      </c>
      <c r="AD367" s="6">
        <f t="shared" si="114"/>
        <v>111046.76135482824</v>
      </c>
      <c r="AG367">
        <f t="shared" si="126"/>
        <v>80909.802161575135</v>
      </c>
      <c r="AH367">
        <f t="shared" si="127"/>
        <v>889.44744520102847</v>
      </c>
      <c r="AI367">
        <f t="shared" si="128"/>
        <v>1.6602715222896522E-22</v>
      </c>
      <c r="AL367">
        <f t="shared" si="115"/>
        <v>0.97491705826840436</v>
      </c>
      <c r="AM367">
        <f t="shared" si="131"/>
        <v>0.85420585657560189</v>
      </c>
      <c r="AO367">
        <v>365</v>
      </c>
      <c r="AP367">
        <v>0.97469073318701005</v>
      </c>
      <c r="AQ367">
        <v>0.84170015734773795</v>
      </c>
    </row>
    <row r="368" spans="14:43" x14ac:dyDescent="0.35">
      <c r="N368">
        <f t="shared" si="132"/>
        <v>366</v>
      </c>
      <c r="O368" s="6">
        <f t="shared" si="112"/>
        <v>263018.33099667379</v>
      </c>
      <c r="P368">
        <f t="shared" si="116"/>
        <v>13.15091654983369</v>
      </c>
      <c r="Q368">
        <f t="shared" si="117"/>
        <v>0</v>
      </c>
      <c r="R368" s="6">
        <f t="shared" si="129"/>
        <v>194.94642269682558</v>
      </c>
      <c r="S368">
        <f t="shared" si="118"/>
        <v>1.1696785361809534</v>
      </c>
      <c r="T368">
        <f t="shared" si="119"/>
        <v>0</v>
      </c>
      <c r="U368" s="6">
        <f t="shared" si="130"/>
        <v>5.2921154772982559E-24</v>
      </c>
      <c r="V368">
        <f t="shared" si="120"/>
        <v>7.9381732159473838E-25</v>
      </c>
      <c r="W368">
        <f t="shared" si="121"/>
        <v>0</v>
      </c>
      <c r="X368">
        <f t="shared" si="113"/>
        <v>263213.2774193706</v>
      </c>
      <c r="Y368" s="6">
        <f t="shared" si="122"/>
        <v>29224.258999630365</v>
      </c>
      <c r="Z368" s="6">
        <f t="shared" si="123"/>
        <v>21.660713632980595</v>
      </c>
      <c r="AA368" s="6">
        <f t="shared" si="124"/>
        <v>5.8801283081091797E-25</v>
      </c>
      <c r="AB368">
        <f t="shared" si="125"/>
        <v>0</v>
      </c>
      <c r="AD368" s="6">
        <f t="shared" si="114"/>
        <v>111035.78714526021</v>
      </c>
      <c r="AG368">
        <f t="shared" si="126"/>
        <v>80905.756671467054</v>
      </c>
      <c r="AH368">
        <f t="shared" si="127"/>
        <v>884.1107605298223</v>
      </c>
      <c r="AI368">
        <f t="shared" si="128"/>
        <v>1.4112307939462043E-22</v>
      </c>
      <c r="AL368">
        <f t="shared" si="115"/>
        <v>0.97486399044211336</v>
      </c>
      <c r="AM368">
        <f t="shared" si="131"/>
        <v>0.85412143957892472</v>
      </c>
      <c r="AO368">
        <v>366</v>
      </c>
      <c r="AP368">
        <v>0.97463394100963197</v>
      </c>
      <c r="AQ368">
        <v>0.84152978081560204</v>
      </c>
    </row>
    <row r="369" spans="14:43" x14ac:dyDescent="0.35">
      <c r="N369">
        <f t="shared" si="132"/>
        <v>367</v>
      </c>
      <c r="O369" s="6">
        <f t="shared" si="112"/>
        <v>263005.18008012394</v>
      </c>
      <c r="P369">
        <f t="shared" si="116"/>
        <v>13.150259004006198</v>
      </c>
      <c r="Q369">
        <f t="shared" si="117"/>
        <v>0</v>
      </c>
      <c r="R369" s="6">
        <f t="shared" si="129"/>
        <v>193.77674416064463</v>
      </c>
      <c r="S369">
        <f t="shared" si="118"/>
        <v>1.1626604649638679</v>
      </c>
      <c r="T369">
        <f t="shared" si="119"/>
        <v>0</v>
      </c>
      <c r="U369" s="6">
        <f t="shared" si="130"/>
        <v>4.4982981557035171E-24</v>
      </c>
      <c r="V369">
        <f t="shared" si="120"/>
        <v>6.7474472335552757E-25</v>
      </c>
      <c r="W369">
        <f t="shared" si="121"/>
        <v>0</v>
      </c>
      <c r="X369">
        <f t="shared" si="113"/>
        <v>263198.95682428457</v>
      </c>
      <c r="Y369" s="6">
        <f t="shared" si="122"/>
        <v>29222.797786680385</v>
      </c>
      <c r="Z369" s="6">
        <f t="shared" si="123"/>
        <v>21.530749351182713</v>
      </c>
      <c r="AA369" s="6">
        <f t="shared" si="124"/>
        <v>4.9981090618928032E-25</v>
      </c>
      <c r="AB369">
        <f t="shared" si="125"/>
        <v>0</v>
      </c>
      <c r="AD369" s="6">
        <f t="shared" si="114"/>
        <v>111024.84601563169</v>
      </c>
      <c r="AG369">
        <f t="shared" si="126"/>
        <v>80901.711383633476</v>
      </c>
      <c r="AH369">
        <f t="shared" si="127"/>
        <v>878.8060959666434</v>
      </c>
      <c r="AI369">
        <f t="shared" si="128"/>
        <v>1.1995461748542737E-22</v>
      </c>
      <c r="AL369">
        <f t="shared" si="115"/>
        <v>0.97481095120105399</v>
      </c>
      <c r="AM369">
        <f t="shared" si="131"/>
        <v>0.85403727704332066</v>
      </c>
      <c r="AO369">
        <v>367</v>
      </c>
      <c r="AP369">
        <v>0.97456378596698801</v>
      </c>
      <c r="AQ369">
        <v>0.841449603624009</v>
      </c>
    </row>
    <row r="370" spans="14:43" x14ac:dyDescent="0.35">
      <c r="N370">
        <f t="shared" si="132"/>
        <v>368</v>
      </c>
      <c r="O370" s="6">
        <f t="shared" si="112"/>
        <v>262992.02982111991</v>
      </c>
      <c r="P370">
        <f t="shared" si="116"/>
        <v>13.149601491055996</v>
      </c>
      <c r="Q370">
        <f t="shared" si="117"/>
        <v>0</v>
      </c>
      <c r="R370" s="6">
        <f t="shared" si="129"/>
        <v>192.61408369568076</v>
      </c>
      <c r="S370">
        <f t="shared" si="118"/>
        <v>1.1556845021740847</v>
      </c>
      <c r="T370">
        <f t="shared" si="119"/>
        <v>0</v>
      </c>
      <c r="U370" s="6">
        <f t="shared" si="130"/>
        <v>3.8235534323479896E-24</v>
      </c>
      <c r="V370">
        <f t="shared" si="120"/>
        <v>5.7353301485219845E-25</v>
      </c>
      <c r="W370">
        <f t="shared" si="121"/>
        <v>0</v>
      </c>
      <c r="X370">
        <f t="shared" si="113"/>
        <v>263184.6439048156</v>
      </c>
      <c r="Y370" s="6">
        <f t="shared" si="122"/>
        <v>29221.336646791049</v>
      </c>
      <c r="Z370" s="6">
        <f t="shared" si="123"/>
        <v>21.401564855075616</v>
      </c>
      <c r="AA370" s="6">
        <f t="shared" si="124"/>
        <v>4.2483927026088824E-25</v>
      </c>
      <c r="AB370">
        <f t="shared" si="125"/>
        <v>0</v>
      </c>
      <c r="AD370" s="6">
        <f t="shared" si="114"/>
        <v>111013.93776910125</v>
      </c>
      <c r="AG370">
        <f t="shared" si="126"/>
        <v>80897.666298064287</v>
      </c>
      <c r="AH370">
        <f t="shared" si="127"/>
        <v>873.53325939084357</v>
      </c>
      <c r="AI370">
        <f t="shared" si="128"/>
        <v>1.0196142486261326E-22</v>
      </c>
      <c r="AL370">
        <f t="shared" si="115"/>
        <v>0.97475794038820596</v>
      </c>
      <c r="AM370">
        <f t="shared" si="131"/>
        <v>0.85395336745462502</v>
      </c>
      <c r="AO370">
        <v>368</v>
      </c>
      <c r="AP370">
        <v>0.97446690519381296</v>
      </c>
      <c r="AQ370">
        <v>0.84129927138977101</v>
      </c>
    </row>
    <row r="371" spans="14:43" x14ac:dyDescent="0.35">
      <c r="N371">
        <f t="shared" si="132"/>
        <v>369</v>
      </c>
      <c r="O371" s="6">
        <f t="shared" si="112"/>
        <v>262978.88021962886</v>
      </c>
      <c r="P371">
        <f t="shared" si="116"/>
        <v>13.148944010981443</v>
      </c>
      <c r="Q371">
        <f t="shared" si="117"/>
        <v>0</v>
      </c>
      <c r="R371" s="6">
        <f t="shared" si="129"/>
        <v>191.45839919350666</v>
      </c>
      <c r="S371">
        <f t="shared" si="118"/>
        <v>1.14875039516104</v>
      </c>
      <c r="T371">
        <f t="shared" si="119"/>
        <v>0</v>
      </c>
      <c r="U371" s="6">
        <f t="shared" si="130"/>
        <v>3.250020417495791E-24</v>
      </c>
      <c r="V371">
        <f t="shared" si="120"/>
        <v>4.8750306262436865E-25</v>
      </c>
      <c r="W371">
        <f t="shared" si="121"/>
        <v>0</v>
      </c>
      <c r="X371">
        <f t="shared" si="113"/>
        <v>263170.33861882234</v>
      </c>
      <c r="Y371" s="6">
        <f t="shared" si="122"/>
        <v>29219.875579958709</v>
      </c>
      <c r="Z371" s="6">
        <f t="shared" si="123"/>
        <v>21.273155465945162</v>
      </c>
      <c r="AA371" s="6">
        <f t="shared" si="124"/>
        <v>3.6111337972175502E-25</v>
      </c>
      <c r="AB371">
        <f t="shared" si="125"/>
        <v>0</v>
      </c>
      <c r="AD371" s="6">
        <f t="shared" si="114"/>
        <v>111003.06221000853</v>
      </c>
      <c r="AG371">
        <f t="shared" si="126"/>
        <v>80893.621414749388</v>
      </c>
      <c r="AH371">
        <f t="shared" si="127"/>
        <v>868.29205983449856</v>
      </c>
      <c r="AI371">
        <f t="shared" si="128"/>
        <v>8.6667211133221272E-23</v>
      </c>
      <c r="AL371">
        <f t="shared" si="115"/>
        <v>0.97470495784749012</v>
      </c>
      <c r="AM371">
        <f t="shared" si="131"/>
        <v>0.85386970930775796</v>
      </c>
      <c r="AO371">
        <v>369</v>
      </c>
      <c r="AP371">
        <v>0.97439006871853495</v>
      </c>
      <c r="AQ371">
        <v>0.84123913849607701</v>
      </c>
    </row>
    <row r="372" spans="14:43" x14ac:dyDescent="0.35">
      <c r="N372">
        <f t="shared" si="132"/>
        <v>370</v>
      </c>
      <c r="O372" s="6">
        <f t="shared" ref="O372:O435" si="133">O371-(P371-Q371)</f>
        <v>262965.7312756179</v>
      </c>
      <c r="P372">
        <f t="shared" si="116"/>
        <v>13.148286563780896</v>
      </c>
      <c r="Q372">
        <f t="shared" si="117"/>
        <v>0</v>
      </c>
      <c r="R372" s="6">
        <f t="shared" si="129"/>
        <v>190.30964879834562</v>
      </c>
      <c r="S372">
        <f t="shared" si="118"/>
        <v>1.1418578927900738</v>
      </c>
      <c r="T372">
        <f t="shared" si="119"/>
        <v>0</v>
      </c>
      <c r="U372" s="6">
        <f t="shared" si="130"/>
        <v>2.7625173548714225E-24</v>
      </c>
      <c r="V372">
        <f t="shared" si="120"/>
        <v>4.1437760323071335E-25</v>
      </c>
      <c r="W372">
        <f t="shared" si="121"/>
        <v>0</v>
      </c>
      <c r="X372">
        <f t="shared" ref="X372:X435" si="134">O372+R372+U372-$J$57</f>
        <v>263156.04092441627</v>
      </c>
      <c r="Y372" s="6">
        <f t="shared" si="122"/>
        <v>29218.414586179711</v>
      </c>
      <c r="Z372" s="6">
        <f t="shared" si="123"/>
        <v>21.145516533149493</v>
      </c>
      <c r="AA372" s="6">
        <f t="shared" si="124"/>
        <v>3.0694637276349176E-25</v>
      </c>
      <c r="AB372">
        <f t="shared" si="125"/>
        <v>0</v>
      </c>
      <c r="AD372" s="6">
        <f t="shared" ref="AD372:AD435" si="135">Y372+Z372+AA372+AG372+AH372+AI372-AB372+$M$59</f>
        <v>110992.219143867</v>
      </c>
      <c r="AG372">
        <f t="shared" si="126"/>
        <v>80889.576733678652</v>
      </c>
      <c r="AH372">
        <f t="shared" si="127"/>
        <v>863.08230747549158</v>
      </c>
      <c r="AI372">
        <f t="shared" si="128"/>
        <v>7.3667129463238077E-23</v>
      </c>
      <c r="AL372">
        <f t="shared" ref="AL372:AL435" si="136">X372/$X$2</f>
        <v>0.97465200342376401</v>
      </c>
      <c r="AM372">
        <f t="shared" si="131"/>
        <v>0.8537863011066692</v>
      </c>
      <c r="AO372">
        <v>370</v>
      </c>
      <c r="AP372">
        <v>0.974336617257472</v>
      </c>
      <c r="AQ372">
        <v>0.84117900560238101</v>
      </c>
    </row>
    <row r="373" spans="14:43" x14ac:dyDescent="0.35">
      <c r="N373">
        <f t="shared" si="132"/>
        <v>371</v>
      </c>
      <c r="O373" s="6">
        <f t="shared" si="133"/>
        <v>262952.58298905409</v>
      </c>
      <c r="P373">
        <f t="shared" si="116"/>
        <v>13.147629149452705</v>
      </c>
      <c r="Q373">
        <f t="shared" si="117"/>
        <v>0</v>
      </c>
      <c r="R373" s="6">
        <f t="shared" si="129"/>
        <v>189.16779090555553</v>
      </c>
      <c r="S373">
        <f t="shared" si="118"/>
        <v>1.1350067454333332</v>
      </c>
      <c r="T373">
        <f t="shared" si="119"/>
        <v>0</v>
      </c>
      <c r="U373" s="6">
        <f t="shared" si="130"/>
        <v>2.3481397516407092E-24</v>
      </c>
      <c r="V373">
        <f t="shared" si="120"/>
        <v>3.5222096274610637E-25</v>
      </c>
      <c r="W373">
        <f t="shared" si="121"/>
        <v>0</v>
      </c>
      <c r="X373">
        <f t="shared" si="134"/>
        <v>263141.75077995966</v>
      </c>
      <c r="Y373" s="6">
        <f t="shared" si="122"/>
        <v>29216.953665450401</v>
      </c>
      <c r="Z373" s="6">
        <f t="shared" si="123"/>
        <v>21.018643433950597</v>
      </c>
      <c r="AA373" s="6">
        <f t="shared" si="124"/>
        <v>2.6090441684896798E-25</v>
      </c>
      <c r="AB373">
        <f t="shared" si="125"/>
        <v>0</v>
      </c>
      <c r="AD373" s="6">
        <f t="shared" si="135"/>
        <v>110981.40837735694</v>
      </c>
      <c r="AG373">
        <f t="shared" si="126"/>
        <v>80885.532254841964</v>
      </c>
      <c r="AH373">
        <f t="shared" si="127"/>
        <v>857.90381363063864</v>
      </c>
      <c r="AI373">
        <f t="shared" si="128"/>
        <v>6.2617060043752361E-23</v>
      </c>
      <c r="AL373">
        <f t="shared" si="136"/>
        <v>0.97459907696281356</v>
      </c>
      <c r="AM373">
        <f t="shared" si="131"/>
        <v>0.85370314136428416</v>
      </c>
      <c r="AO373">
        <v>371</v>
      </c>
      <c r="AP373">
        <v>0.97427314364746098</v>
      </c>
      <c r="AQ373">
        <v>0.84098858477234595</v>
      </c>
    </row>
    <row r="374" spans="14:43" x14ac:dyDescent="0.35">
      <c r="N374">
        <f t="shared" si="132"/>
        <v>372</v>
      </c>
      <c r="O374" s="6">
        <f t="shared" si="133"/>
        <v>262939.43535990466</v>
      </c>
      <c r="P374">
        <f t="shared" si="116"/>
        <v>13.146971767995234</v>
      </c>
      <c r="Q374">
        <f t="shared" si="117"/>
        <v>0</v>
      </c>
      <c r="R374" s="6">
        <f t="shared" si="129"/>
        <v>188.03278416012219</v>
      </c>
      <c r="S374">
        <f t="shared" si="118"/>
        <v>1.1281967049607331</v>
      </c>
      <c r="T374">
        <f t="shared" si="119"/>
        <v>0</v>
      </c>
      <c r="U374" s="6">
        <f t="shared" si="130"/>
        <v>1.9959187888946029E-24</v>
      </c>
      <c r="V374">
        <f t="shared" si="120"/>
        <v>2.9938781833419041E-25</v>
      </c>
      <c r="W374">
        <f t="shared" si="121"/>
        <v>0</v>
      </c>
      <c r="X374">
        <f t="shared" si="134"/>
        <v>263127.46814406477</v>
      </c>
      <c r="Y374" s="6">
        <f t="shared" si="122"/>
        <v>29215.492817767128</v>
      </c>
      <c r="Z374" s="6">
        <f t="shared" si="123"/>
        <v>20.892531573346893</v>
      </c>
      <c r="AA374" s="6">
        <f t="shared" si="124"/>
        <v>2.217687543216228E-25</v>
      </c>
      <c r="AB374">
        <f t="shared" si="125"/>
        <v>0</v>
      </c>
      <c r="AD374" s="6">
        <f t="shared" si="135"/>
        <v>110970.62971831855</v>
      </c>
      <c r="AG374">
        <f t="shared" si="126"/>
        <v>80881.487978229226</v>
      </c>
      <c r="AH374">
        <f t="shared" si="127"/>
        <v>852.75639074885476</v>
      </c>
      <c r="AI374">
        <f t="shared" si="128"/>
        <v>5.3224501037189502E-23</v>
      </c>
      <c r="AL374">
        <f t="shared" si="136"/>
        <v>0.97454617831135104</v>
      </c>
      <c r="AM374">
        <f t="shared" si="131"/>
        <v>0.85362022860245035</v>
      </c>
      <c r="AO374">
        <v>372</v>
      </c>
      <c r="AP374">
        <v>0.97422637361903197</v>
      </c>
      <c r="AQ374">
        <v>0.84081820824021003</v>
      </c>
    </row>
    <row r="375" spans="14:43" x14ac:dyDescent="0.35">
      <c r="N375">
        <f t="shared" si="132"/>
        <v>373</v>
      </c>
      <c r="O375" s="6">
        <f t="shared" si="133"/>
        <v>262926.28838813666</v>
      </c>
      <c r="P375">
        <f t="shared" si="116"/>
        <v>13.146314419406833</v>
      </c>
      <c r="Q375">
        <f t="shared" si="117"/>
        <v>0</v>
      </c>
      <c r="R375" s="6">
        <f t="shared" si="129"/>
        <v>186.90458745516145</v>
      </c>
      <c r="S375">
        <f t="shared" si="118"/>
        <v>1.1214275247309686</v>
      </c>
      <c r="T375">
        <f t="shared" si="119"/>
        <v>0</v>
      </c>
      <c r="U375" s="6">
        <f t="shared" si="130"/>
        <v>1.6965309705604125E-24</v>
      </c>
      <c r="V375">
        <f t="shared" si="120"/>
        <v>2.5447964558406184E-25</v>
      </c>
      <c r="W375">
        <f t="shared" si="121"/>
        <v>0</v>
      </c>
      <c r="X375">
        <f t="shared" si="134"/>
        <v>263113.19297559181</v>
      </c>
      <c r="Y375" s="6">
        <f t="shared" si="122"/>
        <v>29214.032043126241</v>
      </c>
      <c r="Z375" s="6">
        <f t="shared" si="123"/>
        <v>20.767176383906811</v>
      </c>
      <c r="AA375" s="6">
        <f t="shared" si="124"/>
        <v>1.8850344117337938E-25</v>
      </c>
      <c r="AB375">
        <f t="shared" si="125"/>
        <v>0</v>
      </c>
      <c r="AD375" s="6">
        <f t="shared" si="135"/>
        <v>110959.88297574481</v>
      </c>
      <c r="AG375">
        <f t="shared" si="126"/>
        <v>80877.44390383031</v>
      </c>
      <c r="AH375">
        <f t="shared" si="127"/>
        <v>847.63985240436159</v>
      </c>
      <c r="AI375">
        <f t="shared" si="128"/>
        <v>4.5240825881611077E-23</v>
      </c>
      <c r="AL375">
        <f t="shared" si="136"/>
        <v>0.97449330731700667</v>
      </c>
      <c r="AM375">
        <f t="shared" si="131"/>
        <v>0.85353756135188319</v>
      </c>
      <c r="AO375">
        <v>373</v>
      </c>
      <c r="AP375">
        <v>0.974139514994805</v>
      </c>
      <c r="AQ375">
        <v>0.84070796460177</v>
      </c>
    </row>
    <row r="376" spans="14:43" x14ac:dyDescent="0.35">
      <c r="N376">
        <f t="shared" si="132"/>
        <v>374</v>
      </c>
      <c r="O376" s="6">
        <f t="shared" si="133"/>
        <v>262913.14207371726</v>
      </c>
      <c r="P376">
        <f t="shared" si="116"/>
        <v>13.145657103685863</v>
      </c>
      <c r="Q376">
        <f t="shared" si="117"/>
        <v>0</v>
      </c>
      <c r="R376" s="6">
        <f t="shared" si="129"/>
        <v>185.78315993043049</v>
      </c>
      <c r="S376">
        <f t="shared" si="118"/>
        <v>1.1146989595825829</v>
      </c>
      <c r="T376">
        <f t="shared" si="119"/>
        <v>0</v>
      </c>
      <c r="U376" s="6">
        <f t="shared" si="130"/>
        <v>1.4420513249763506E-24</v>
      </c>
      <c r="V376">
        <f t="shared" si="120"/>
        <v>2.163076987464526E-25</v>
      </c>
      <c r="W376">
        <f t="shared" si="121"/>
        <v>0</v>
      </c>
      <c r="X376">
        <f t="shared" si="134"/>
        <v>263098.92523364769</v>
      </c>
      <c r="Y376" s="6">
        <f t="shared" si="122"/>
        <v>29212.571341524086</v>
      </c>
      <c r="Z376" s="6">
        <f t="shared" si="123"/>
        <v>20.642573325603369</v>
      </c>
      <c r="AA376" s="6">
        <f t="shared" si="124"/>
        <v>1.6022792499737247E-25</v>
      </c>
      <c r="AB376">
        <f t="shared" si="125"/>
        <v>0</v>
      </c>
      <c r="AD376" s="6">
        <f t="shared" si="135"/>
        <v>110949.16795977474</v>
      </c>
      <c r="AG376">
        <f t="shared" si="126"/>
        <v>80873.400031635116</v>
      </c>
      <c r="AH376">
        <f t="shared" si="127"/>
        <v>842.55401328993537</v>
      </c>
      <c r="AI376">
        <f t="shared" si="128"/>
        <v>3.8454701999369417E-23</v>
      </c>
      <c r="AL376">
        <f t="shared" si="136"/>
        <v>0.97444046382832483</v>
      </c>
      <c r="AM376">
        <f t="shared" si="131"/>
        <v>0.85345513815211338</v>
      </c>
      <c r="AO376">
        <v>374</v>
      </c>
      <c r="AP376">
        <v>0.97404597493794598</v>
      </c>
      <c r="AQ376">
        <v>0.84058769881438</v>
      </c>
    </row>
    <row r="377" spans="14:43" x14ac:dyDescent="0.35">
      <c r="N377">
        <f t="shared" si="132"/>
        <v>375</v>
      </c>
      <c r="O377" s="6">
        <f t="shared" si="133"/>
        <v>262899.99641661358</v>
      </c>
      <c r="P377">
        <f t="shared" si="116"/>
        <v>13.14499982083068</v>
      </c>
      <c r="Q377">
        <f t="shared" si="117"/>
        <v>0</v>
      </c>
      <c r="R377" s="6">
        <f t="shared" si="129"/>
        <v>184.66846097084789</v>
      </c>
      <c r="S377">
        <f t="shared" si="118"/>
        <v>1.1080107658250873</v>
      </c>
      <c r="T377">
        <f t="shared" si="119"/>
        <v>0</v>
      </c>
      <c r="U377" s="6">
        <f t="shared" si="130"/>
        <v>1.225743626229898E-24</v>
      </c>
      <c r="V377">
        <f t="shared" si="120"/>
        <v>1.838615439344847E-25</v>
      </c>
      <c r="W377">
        <f t="shared" si="121"/>
        <v>0</v>
      </c>
      <c r="X377">
        <f t="shared" si="134"/>
        <v>263084.66487758444</v>
      </c>
      <c r="Y377" s="6">
        <f t="shared" si="122"/>
        <v>29211.110712957008</v>
      </c>
      <c r="Z377" s="6">
        <f t="shared" si="123"/>
        <v>20.51871788564975</v>
      </c>
      <c r="AA377" s="6">
        <f t="shared" si="124"/>
        <v>1.361937362477666E-25</v>
      </c>
      <c r="AB377">
        <f t="shared" si="125"/>
        <v>0</v>
      </c>
      <c r="AD377" s="6">
        <f t="shared" si="135"/>
        <v>110938.48448168639</v>
      </c>
      <c r="AG377">
        <f t="shared" si="126"/>
        <v>80869.35636163353</v>
      </c>
      <c r="AH377">
        <f t="shared" si="127"/>
        <v>837.49868921019572</v>
      </c>
      <c r="AI377">
        <f t="shared" si="128"/>
        <v>3.2686496699464003E-23</v>
      </c>
      <c r="AL377">
        <f t="shared" si="136"/>
        <v>0.97438764769475716</v>
      </c>
      <c r="AM377">
        <f t="shared" si="131"/>
        <v>0.85337295755143383</v>
      </c>
      <c r="AO377">
        <v>375</v>
      </c>
      <c r="AP377">
        <v>0.97395577559740298</v>
      </c>
      <c r="AQ377">
        <v>0.84045741087804005</v>
      </c>
    </row>
    <row r="378" spans="14:43" x14ac:dyDescent="0.35">
      <c r="N378">
        <f t="shared" si="132"/>
        <v>376</v>
      </c>
      <c r="O378" s="6">
        <f t="shared" si="133"/>
        <v>262886.85141679272</v>
      </c>
      <c r="P378">
        <f t="shared" si="116"/>
        <v>13.144342570839637</v>
      </c>
      <c r="Q378">
        <f t="shared" si="117"/>
        <v>0</v>
      </c>
      <c r="R378" s="6">
        <f t="shared" si="129"/>
        <v>183.56045020502279</v>
      </c>
      <c r="S378">
        <f t="shared" si="118"/>
        <v>1.1013627012301368</v>
      </c>
      <c r="T378">
        <f t="shared" si="119"/>
        <v>0</v>
      </c>
      <c r="U378" s="6">
        <f t="shared" si="130"/>
        <v>1.0418820822954134E-24</v>
      </c>
      <c r="V378">
        <f t="shared" si="120"/>
        <v>1.5628231234431199E-25</v>
      </c>
      <c r="W378">
        <f t="shared" si="121"/>
        <v>0</v>
      </c>
      <c r="X378">
        <f t="shared" si="134"/>
        <v>263070.41186699772</v>
      </c>
      <c r="Y378" s="6">
        <f t="shared" si="122"/>
        <v>29209.650157421362</v>
      </c>
      <c r="Z378" s="6">
        <f t="shared" si="123"/>
        <v>20.39560557833585</v>
      </c>
      <c r="AA378" s="6">
        <f t="shared" si="124"/>
        <v>1.1576467581060161E-25</v>
      </c>
      <c r="AB378">
        <f t="shared" si="125"/>
        <v>0</v>
      </c>
      <c r="AD378" s="6">
        <f t="shared" si="135"/>
        <v>110927.83235389009</v>
      </c>
      <c r="AG378">
        <f t="shared" si="126"/>
        <v>80865.312893815455</v>
      </c>
      <c r="AH378">
        <f t="shared" si="127"/>
        <v>832.47369707493453</v>
      </c>
      <c r="AI378">
        <f t="shared" si="128"/>
        <v>2.7783522194544403E-23</v>
      </c>
      <c r="AL378">
        <f t="shared" si="136"/>
        <v>0.97433485876665826</v>
      </c>
      <c r="AM378">
        <f t="shared" si="131"/>
        <v>0.85329101810684682</v>
      </c>
      <c r="AO378">
        <v>376</v>
      </c>
      <c r="AP378">
        <v>0.973882279838443</v>
      </c>
      <c r="AQ378">
        <v>0.84032712294169998</v>
      </c>
    </row>
    <row r="379" spans="14:43" x14ac:dyDescent="0.35">
      <c r="N379">
        <f t="shared" si="132"/>
        <v>377</v>
      </c>
      <c r="O379" s="6">
        <f t="shared" si="133"/>
        <v>262873.70707422186</v>
      </c>
      <c r="P379">
        <f t="shared" si="116"/>
        <v>13.143685353711094</v>
      </c>
      <c r="Q379">
        <f t="shared" si="117"/>
        <v>0</v>
      </c>
      <c r="R379" s="6">
        <f t="shared" si="129"/>
        <v>182.45908750379266</v>
      </c>
      <c r="S379">
        <f t="shared" si="118"/>
        <v>1.0947545250227559</v>
      </c>
      <c r="T379">
        <f t="shared" si="119"/>
        <v>0</v>
      </c>
      <c r="U379" s="6">
        <f t="shared" si="130"/>
        <v>8.8559976995110139E-25</v>
      </c>
      <c r="V379">
        <f t="shared" si="120"/>
        <v>1.3283996549266521E-25</v>
      </c>
      <c r="W379">
        <f t="shared" si="121"/>
        <v>0</v>
      </c>
      <c r="X379">
        <f t="shared" si="134"/>
        <v>263056.16616172565</v>
      </c>
      <c r="Y379" s="6">
        <f t="shared" si="122"/>
        <v>29208.18967491349</v>
      </c>
      <c r="Z379" s="6">
        <f t="shared" si="123"/>
        <v>20.273231944865834</v>
      </c>
      <c r="AA379" s="6">
        <f t="shared" si="124"/>
        <v>9.839997443901137E-26</v>
      </c>
      <c r="AB379">
        <f t="shared" si="125"/>
        <v>0</v>
      </c>
      <c r="AD379" s="6">
        <f t="shared" si="135"/>
        <v>110917.21138992161</v>
      </c>
      <c r="AG379">
        <f t="shared" si="126"/>
        <v>80861.269628170761</v>
      </c>
      <c r="AH379">
        <f t="shared" si="127"/>
        <v>827.47885489248495</v>
      </c>
      <c r="AI379">
        <f t="shared" si="128"/>
        <v>2.3615993865362744E-23</v>
      </c>
      <c r="AL379">
        <f t="shared" si="136"/>
        <v>0.97428209689528023</v>
      </c>
      <c r="AM379">
        <f t="shared" si="131"/>
        <v>0.85320931838401237</v>
      </c>
      <c r="AO379">
        <v>377</v>
      </c>
      <c r="AP379">
        <v>0.97383216909369696</v>
      </c>
      <c r="AQ379">
        <v>0.84018681285641195</v>
      </c>
    </row>
    <row r="380" spans="14:43" x14ac:dyDescent="0.35">
      <c r="N380">
        <f t="shared" si="132"/>
        <v>378</v>
      </c>
      <c r="O380" s="6">
        <f t="shared" si="133"/>
        <v>262860.56338886818</v>
      </c>
      <c r="P380">
        <f t="shared" si="116"/>
        <v>13.14302816944341</v>
      </c>
      <c r="Q380">
        <f t="shared" si="117"/>
        <v>0</v>
      </c>
      <c r="R380" s="6">
        <f t="shared" si="129"/>
        <v>181.36433297876991</v>
      </c>
      <c r="S380">
        <f t="shared" si="118"/>
        <v>1.0881859978726194</v>
      </c>
      <c r="T380">
        <f t="shared" si="119"/>
        <v>0</v>
      </c>
      <c r="U380" s="6">
        <f t="shared" si="130"/>
        <v>7.5275980445843618E-25</v>
      </c>
      <c r="V380">
        <f t="shared" si="120"/>
        <v>1.1291397066876543E-25</v>
      </c>
      <c r="W380">
        <f t="shared" si="121"/>
        <v>0</v>
      </c>
      <c r="X380">
        <f t="shared" si="134"/>
        <v>263041.92772184697</v>
      </c>
      <c r="Y380" s="6">
        <f t="shared" si="122"/>
        <v>29206.729265429745</v>
      </c>
      <c r="Z380" s="6">
        <f t="shared" si="123"/>
        <v>20.15159255319664</v>
      </c>
      <c r="AA380" s="6">
        <f t="shared" si="124"/>
        <v>8.3639978273159661E-26</v>
      </c>
      <c r="AB380">
        <f t="shared" si="125"/>
        <v>0</v>
      </c>
      <c r="AD380" s="6">
        <f t="shared" si="135"/>
        <v>110906.62140443543</v>
      </c>
      <c r="AG380">
        <f t="shared" si="126"/>
        <v>80857.22656468935</v>
      </c>
      <c r="AH380">
        <f t="shared" si="127"/>
        <v>822.51398176313</v>
      </c>
      <c r="AI380">
        <f t="shared" si="128"/>
        <v>2.0073594785558334E-23</v>
      </c>
      <c r="AL380">
        <f t="shared" si="136"/>
        <v>0.97422936193276655</v>
      </c>
      <c r="AM380">
        <f t="shared" si="131"/>
        <v>0.85312785695719562</v>
      </c>
      <c r="AO380">
        <v>378</v>
      </c>
      <c r="AP380">
        <v>0.97374196975315397</v>
      </c>
      <c r="AQ380">
        <v>0.84011665781376699</v>
      </c>
    </row>
    <row r="381" spans="14:43" x14ac:dyDescent="0.35">
      <c r="N381">
        <f t="shared" si="132"/>
        <v>379</v>
      </c>
      <c r="O381" s="6">
        <f t="shared" si="133"/>
        <v>262847.42036069871</v>
      </c>
      <c r="P381">
        <f t="shared" si="116"/>
        <v>13.142371018034936</v>
      </c>
      <c r="Q381">
        <f t="shared" si="117"/>
        <v>0</v>
      </c>
      <c r="R381" s="6">
        <f t="shared" si="129"/>
        <v>180.27614698089729</v>
      </c>
      <c r="S381">
        <f t="shared" si="118"/>
        <v>1.0816568818853838</v>
      </c>
      <c r="T381">
        <f t="shared" si="119"/>
        <v>0</v>
      </c>
      <c r="U381" s="6">
        <f t="shared" si="130"/>
        <v>6.3984583378967079E-25</v>
      </c>
      <c r="V381">
        <f t="shared" si="120"/>
        <v>9.5976875068450612E-26</v>
      </c>
      <c r="W381">
        <f t="shared" si="121"/>
        <v>0</v>
      </c>
      <c r="X381">
        <f t="shared" si="134"/>
        <v>263027.69650767959</v>
      </c>
      <c r="Y381" s="6">
        <f t="shared" si="122"/>
        <v>29205.268928966474</v>
      </c>
      <c r="Z381" s="6">
        <f t="shared" si="123"/>
        <v>20.030682997877459</v>
      </c>
      <c r="AA381" s="6">
        <f t="shared" si="124"/>
        <v>7.109398153218571E-26</v>
      </c>
      <c r="AB381">
        <f t="shared" si="125"/>
        <v>0</v>
      </c>
      <c r="AD381" s="6">
        <f t="shared" si="135"/>
        <v>110896.06221319802</v>
      </c>
      <c r="AG381">
        <f t="shared" si="126"/>
        <v>80853.183703361123</v>
      </c>
      <c r="AH381">
        <f t="shared" si="127"/>
        <v>817.57889787255124</v>
      </c>
      <c r="AI381">
        <f t="shared" si="128"/>
        <v>1.7062555567724583E-23</v>
      </c>
      <c r="AL381">
        <f t="shared" si="136"/>
        <v>0.97417665373214668</v>
      </c>
      <c r="AM381">
        <f t="shared" si="131"/>
        <v>0.85304663240921552</v>
      </c>
      <c r="AO381">
        <v>379</v>
      </c>
      <c r="AP381">
        <v>0.97364842969629595</v>
      </c>
      <c r="AQ381">
        <v>0.84005652492007399</v>
      </c>
    </row>
    <row r="382" spans="14:43" x14ac:dyDescent="0.35">
      <c r="N382">
        <f t="shared" si="132"/>
        <v>380</v>
      </c>
      <c r="O382" s="6">
        <f t="shared" si="133"/>
        <v>262834.2779896807</v>
      </c>
      <c r="P382">
        <f t="shared" si="116"/>
        <v>13.141713899484035</v>
      </c>
      <c r="Q382">
        <f t="shared" si="117"/>
        <v>0</v>
      </c>
      <c r="R382" s="6">
        <f t="shared" si="129"/>
        <v>179.19449009901192</v>
      </c>
      <c r="S382">
        <f t="shared" si="118"/>
        <v>1.0751669405940716</v>
      </c>
      <c r="T382">
        <f t="shared" si="119"/>
        <v>0</v>
      </c>
      <c r="U382" s="6">
        <f t="shared" si="130"/>
        <v>5.4386895872122015E-25</v>
      </c>
      <c r="V382">
        <f t="shared" si="120"/>
        <v>8.1580343808183022E-26</v>
      </c>
      <c r="W382">
        <f t="shared" si="121"/>
        <v>0</v>
      </c>
      <c r="X382">
        <f t="shared" si="134"/>
        <v>263013.47247977974</v>
      </c>
      <c r="Y382" s="6">
        <f t="shared" si="122"/>
        <v>29203.808665520024</v>
      </c>
      <c r="Z382" s="6">
        <f t="shared" si="123"/>
        <v>19.910498899890193</v>
      </c>
      <c r="AA382" s="6">
        <f t="shared" si="124"/>
        <v>6.0429884302357849E-26</v>
      </c>
      <c r="AB382">
        <f t="shared" si="125"/>
        <v>0</v>
      </c>
      <c r="AD382" s="6">
        <f t="shared" si="135"/>
        <v>110885.53363308118</v>
      </c>
      <c r="AG382">
        <f t="shared" si="126"/>
        <v>80849.141044175951</v>
      </c>
      <c r="AH382">
        <f t="shared" si="127"/>
        <v>812.67342448531588</v>
      </c>
      <c r="AI382">
        <f t="shared" si="128"/>
        <v>1.4503172232565895E-23</v>
      </c>
      <c r="AL382">
        <f t="shared" si="136"/>
        <v>0.97412397214733237</v>
      </c>
      <c r="AM382">
        <f t="shared" si="131"/>
        <v>0.85296564333139369</v>
      </c>
      <c r="AO382">
        <v>380</v>
      </c>
      <c r="AP382">
        <v>0.97355823035575295</v>
      </c>
      <c r="AQ382">
        <v>0.83996632557953099</v>
      </c>
    </row>
    <row r="383" spans="14:43" x14ac:dyDescent="0.35">
      <c r="N383">
        <f t="shared" si="132"/>
        <v>381</v>
      </c>
      <c r="O383" s="6">
        <f t="shared" si="133"/>
        <v>262821.1362757812</v>
      </c>
      <c r="P383">
        <f t="shared" si="116"/>
        <v>13.14105681378906</v>
      </c>
      <c r="Q383">
        <f t="shared" si="117"/>
        <v>0</v>
      </c>
      <c r="R383" s="6">
        <f t="shared" si="129"/>
        <v>178.11932315841784</v>
      </c>
      <c r="S383">
        <f t="shared" si="118"/>
        <v>1.068715938950507</v>
      </c>
      <c r="T383">
        <f t="shared" si="119"/>
        <v>0</v>
      </c>
      <c r="U383" s="6">
        <f t="shared" si="130"/>
        <v>4.6228861491303715E-25</v>
      </c>
      <c r="V383">
        <f t="shared" si="120"/>
        <v>6.9343292236955567E-26</v>
      </c>
      <c r="W383">
        <f t="shared" si="121"/>
        <v>0</v>
      </c>
      <c r="X383">
        <f t="shared" si="134"/>
        <v>262999.25559893961</v>
      </c>
      <c r="Y383" s="6">
        <f t="shared" si="122"/>
        <v>29202.348475086746</v>
      </c>
      <c r="Z383" s="6">
        <f t="shared" si="123"/>
        <v>19.791035906490851</v>
      </c>
      <c r="AA383" s="6">
        <f t="shared" si="124"/>
        <v>5.1365401657004172E-26</v>
      </c>
      <c r="AB383">
        <f t="shared" si="125"/>
        <v>0</v>
      </c>
      <c r="AD383" s="6">
        <f t="shared" si="135"/>
        <v>110875.03548205538</v>
      </c>
      <c r="AG383">
        <f t="shared" si="126"/>
        <v>80845.098587123735</v>
      </c>
      <c r="AH383">
        <f t="shared" si="127"/>
        <v>807.79738393840398</v>
      </c>
      <c r="AI383">
        <f t="shared" si="128"/>
        <v>1.2327696397681011E-23</v>
      </c>
      <c r="AL383">
        <f t="shared" si="136"/>
        <v>0.97407131703310967</v>
      </c>
      <c r="AM383">
        <f t="shared" si="131"/>
        <v>0.85288488832350284</v>
      </c>
      <c r="AO383">
        <v>381</v>
      </c>
      <c r="AP383">
        <v>0.97348139388047605</v>
      </c>
      <c r="AQ383">
        <v>0.83986610409003803</v>
      </c>
    </row>
    <row r="384" spans="14:43" x14ac:dyDescent="0.35">
      <c r="N384">
        <f t="shared" si="132"/>
        <v>382</v>
      </c>
      <c r="O384" s="6">
        <f t="shared" si="133"/>
        <v>262807.99521896744</v>
      </c>
      <c r="P384">
        <f t="shared" si="116"/>
        <v>13.140399760948373</v>
      </c>
      <c r="Q384">
        <f t="shared" si="117"/>
        <v>0</v>
      </c>
      <c r="R384" s="6">
        <f t="shared" si="129"/>
        <v>177.05060721946734</v>
      </c>
      <c r="S384">
        <f t="shared" si="118"/>
        <v>1.062303643316804</v>
      </c>
      <c r="T384">
        <f t="shared" si="119"/>
        <v>0</v>
      </c>
      <c r="U384" s="6">
        <f t="shared" si="130"/>
        <v>3.9294532267608158E-25</v>
      </c>
      <c r="V384">
        <f t="shared" si="120"/>
        <v>5.8941798401412239E-26</v>
      </c>
      <c r="W384">
        <f t="shared" si="121"/>
        <v>0</v>
      </c>
      <c r="X384">
        <f t="shared" si="134"/>
        <v>262985.04582618689</v>
      </c>
      <c r="Y384" s="6">
        <f t="shared" si="122"/>
        <v>29200.888357662992</v>
      </c>
      <c r="Z384" s="6">
        <f t="shared" si="123"/>
        <v>19.672289691051905</v>
      </c>
      <c r="AA384" s="6">
        <f t="shared" si="124"/>
        <v>4.3660591408453545E-26</v>
      </c>
      <c r="AB384">
        <f t="shared" si="125"/>
        <v>0</v>
      </c>
      <c r="AD384" s="6">
        <f t="shared" si="135"/>
        <v>110864.56757918319</v>
      </c>
      <c r="AG384">
        <f t="shared" si="126"/>
        <v>80841.056332194377</v>
      </c>
      <c r="AH384">
        <f t="shared" si="127"/>
        <v>802.95059963477354</v>
      </c>
      <c r="AI384">
        <f t="shared" si="128"/>
        <v>1.047854193802886E-23</v>
      </c>
      <c r="AL384">
        <f t="shared" si="136"/>
        <v>0.9740186882451366</v>
      </c>
      <c r="AM384">
        <f t="shared" si="131"/>
        <v>0.85280436599371678</v>
      </c>
      <c r="AO384">
        <v>382</v>
      </c>
      <c r="AP384">
        <v>0.97338117239098398</v>
      </c>
      <c r="AQ384">
        <v>0.83967568326000497</v>
      </c>
    </row>
    <row r="385" spans="14:43" x14ac:dyDescent="0.35">
      <c r="N385">
        <f t="shared" si="132"/>
        <v>383</v>
      </c>
      <c r="O385" s="6">
        <f t="shared" si="133"/>
        <v>262794.85481920646</v>
      </c>
      <c r="P385">
        <f t="shared" si="116"/>
        <v>13.139742740960324</v>
      </c>
      <c r="Q385">
        <f t="shared" si="117"/>
        <v>0</v>
      </c>
      <c r="R385" s="6">
        <f t="shared" si="129"/>
        <v>175.98830357615054</v>
      </c>
      <c r="S385">
        <f t="shared" si="118"/>
        <v>1.0559298214569033</v>
      </c>
      <c r="T385">
        <f t="shared" si="119"/>
        <v>0</v>
      </c>
      <c r="U385" s="6">
        <f t="shared" si="130"/>
        <v>3.3400352427466934E-25</v>
      </c>
      <c r="V385">
        <f t="shared" si="120"/>
        <v>5.0100528641200401E-26</v>
      </c>
      <c r="W385">
        <f t="shared" si="121"/>
        <v>0</v>
      </c>
      <c r="X385">
        <f t="shared" si="134"/>
        <v>262970.84312278259</v>
      </c>
      <c r="Y385" s="6">
        <f t="shared" si="122"/>
        <v>29199.428313245109</v>
      </c>
      <c r="Z385" s="6">
        <f t="shared" si="123"/>
        <v>19.554255952905592</v>
      </c>
      <c r="AA385" s="6">
        <f t="shared" si="124"/>
        <v>3.7111502697185513E-26</v>
      </c>
      <c r="AB385">
        <f t="shared" si="125"/>
        <v>0</v>
      </c>
      <c r="AD385" s="6">
        <f t="shared" si="135"/>
        <v>110854.12974461274</v>
      </c>
      <c r="AG385">
        <f t="shared" si="126"/>
        <v>80837.014279377763</v>
      </c>
      <c r="AH385">
        <f t="shared" si="127"/>
        <v>798.13289603696489</v>
      </c>
      <c r="AI385">
        <f t="shared" si="128"/>
        <v>8.9067606473245312E-24</v>
      </c>
      <c r="AL385">
        <f t="shared" si="136"/>
        <v>0.97396608563993547</v>
      </c>
      <c r="AM385">
        <f t="shared" si="131"/>
        <v>0.85272407495855951</v>
      </c>
      <c r="AO385">
        <v>383</v>
      </c>
      <c r="AP385">
        <v>0.97331101734834002</v>
      </c>
      <c r="AQ385">
        <v>0.83953537317471605</v>
      </c>
    </row>
    <row r="386" spans="14:43" x14ac:dyDescent="0.35">
      <c r="N386">
        <f t="shared" si="132"/>
        <v>384</v>
      </c>
      <c r="O386" s="6">
        <f t="shared" si="133"/>
        <v>262781.71507646551</v>
      </c>
      <c r="P386">
        <f t="shared" ref="P386:P449" si="137">IF(N386&lt;$H$12,O386*($F$3+$H$3),O386*$F$3)</f>
        <v>13.139085753823275</v>
      </c>
      <c r="Q386">
        <f t="shared" ref="Q386:Q449" si="138">IF(N386&lt;$H$12,P386*$I$3,0)</f>
        <v>0</v>
      </c>
      <c r="R386" s="6">
        <f t="shared" si="129"/>
        <v>174.93237375469363</v>
      </c>
      <c r="S386">
        <f t="shared" ref="S386:S449" si="139">IF(N386&lt;$H$12,R386*($F$4+$H$4),R386*$F$4)</f>
        <v>1.0495942425281617</v>
      </c>
      <c r="T386">
        <f t="shared" ref="T386:T449" si="140">IF(N386&lt;$H$12,S386*$I$4,0)</f>
        <v>0</v>
      </c>
      <c r="U386" s="6">
        <f t="shared" si="130"/>
        <v>2.8390299563346895E-25</v>
      </c>
      <c r="V386">
        <f t="shared" ref="V386:V449" si="141">IF(N386&lt;$H$12,U386*($F$5+$H$5),U386*$F$5)</f>
        <v>4.258544934502034E-26</v>
      </c>
      <c r="W386">
        <f t="shared" ref="W386:W449" si="142">IF(N386&lt;$H$12,V386*$I$5,0)</f>
        <v>0</v>
      </c>
      <c r="X386">
        <f t="shared" si="134"/>
        <v>262956.64745022019</v>
      </c>
      <c r="Y386" s="6">
        <f t="shared" si="122"/>
        <v>29197.968341829448</v>
      </c>
      <c r="Z386" s="6">
        <f t="shared" si="123"/>
        <v>19.436930417188158</v>
      </c>
      <c r="AA386" s="6">
        <f t="shared" si="124"/>
        <v>3.1544777292607685E-26</v>
      </c>
      <c r="AB386">
        <f t="shared" si="125"/>
        <v>0</v>
      </c>
      <c r="AD386" s="6">
        <f t="shared" si="135"/>
        <v>110843.72179957118</v>
      </c>
      <c r="AG386">
        <f t="shared" si="126"/>
        <v>80832.972428663794</v>
      </c>
      <c r="AH386">
        <f t="shared" si="127"/>
        <v>793.34409866074316</v>
      </c>
      <c r="AI386">
        <f t="shared" si="128"/>
        <v>7.5707465502258522E-24</v>
      </c>
      <c r="AL386">
        <f t="shared" si="136"/>
        <v>0.97391350907488961</v>
      </c>
      <c r="AM386">
        <f t="shared" si="131"/>
        <v>0.85264401384285526</v>
      </c>
      <c r="AO386">
        <v>384</v>
      </c>
      <c r="AP386">
        <v>0.97325088445464403</v>
      </c>
      <c r="AQ386">
        <v>0.83948526242996901</v>
      </c>
    </row>
    <row r="387" spans="14:43" x14ac:dyDescent="0.35">
      <c r="N387">
        <f t="shared" si="132"/>
        <v>385</v>
      </c>
      <c r="O387" s="6">
        <f t="shared" si="133"/>
        <v>262768.57599071169</v>
      </c>
      <c r="P387">
        <f t="shared" si="137"/>
        <v>13.138428799535586</v>
      </c>
      <c r="Q387">
        <f t="shared" si="138"/>
        <v>0</v>
      </c>
      <c r="R387" s="6">
        <f t="shared" si="129"/>
        <v>173.88277951216546</v>
      </c>
      <c r="S387">
        <f t="shared" si="139"/>
        <v>1.0432966770729928</v>
      </c>
      <c r="T387">
        <f t="shared" si="140"/>
        <v>0</v>
      </c>
      <c r="U387" s="6">
        <f t="shared" si="130"/>
        <v>2.4131754628844861E-25</v>
      </c>
      <c r="V387">
        <f t="shared" si="141"/>
        <v>3.619763194326729E-26</v>
      </c>
      <c r="W387">
        <f t="shared" si="142"/>
        <v>0</v>
      </c>
      <c r="X387">
        <f t="shared" si="134"/>
        <v>262942.45877022384</v>
      </c>
      <c r="Y387" s="6">
        <f t="shared" ref="Y387:Y450" si="143">Y386-Y386*$F$3-Q387</f>
        <v>29196.508443412356</v>
      </c>
      <c r="Z387" s="6">
        <f t="shared" ref="Z387:Z450" si="144">Z386-Z386*$F$4</f>
        <v>19.320308834685029</v>
      </c>
      <c r="AA387" s="6">
        <f t="shared" ref="AA387:AA450" si="145">AA386-AA386*$F$5</f>
        <v>2.6813060698716535E-26</v>
      </c>
      <c r="AB387">
        <f t="shared" ref="AB387:AB450" si="146">Q387+T387+W387</f>
        <v>0</v>
      </c>
      <c r="AD387" s="6">
        <f t="shared" si="135"/>
        <v>110833.34356635818</v>
      </c>
      <c r="AG387">
        <f t="shared" ref="AG387:AG450" si="147">IF(N386&lt;$H$12,AG386-AG386*($F$7+$H$7),AG386-AG386*$F$7)</f>
        <v>80828.930780042356</v>
      </c>
      <c r="AH387">
        <f t="shared" ref="AH387:AH450" si="148">IF(N386&lt;$H$12,AH386-AH386*($F$8+$H$8),AH386-AH386*$F$8)</f>
        <v>788.58403406877869</v>
      </c>
      <c r="AI387">
        <f t="shared" ref="AI387:AI450" si="149">IF(N386&lt;$H$12,AI386-AI386*($F$9+$H$9),AI386-AI386*$F$9)</f>
        <v>6.435134567691974E-24</v>
      </c>
      <c r="AL387">
        <f t="shared" si="136"/>
        <v>0.97386095840823639</v>
      </c>
      <c r="AM387">
        <f t="shared" si="131"/>
        <v>0.85256418127967826</v>
      </c>
      <c r="AO387">
        <v>385</v>
      </c>
      <c r="AP387">
        <v>0.97315066296515296</v>
      </c>
      <c r="AQ387">
        <v>0.83936499664257902</v>
      </c>
    </row>
    <row r="388" spans="14:43" x14ac:dyDescent="0.35">
      <c r="N388">
        <f t="shared" si="132"/>
        <v>386</v>
      </c>
      <c r="O388" s="6">
        <f t="shared" si="133"/>
        <v>262755.43756191217</v>
      </c>
      <c r="P388">
        <f t="shared" si="137"/>
        <v>13.137771878095609</v>
      </c>
      <c r="Q388">
        <f t="shared" si="138"/>
        <v>0</v>
      </c>
      <c r="R388" s="6">
        <f t="shared" ref="R388:R451" si="150">R387-(S387-T387)</f>
        <v>172.83948283509247</v>
      </c>
      <c r="S388">
        <f t="shared" si="139"/>
        <v>1.0370368970105548</v>
      </c>
      <c r="T388">
        <f t="shared" si="140"/>
        <v>0</v>
      </c>
      <c r="U388" s="6">
        <f t="shared" ref="U388:U451" si="151">U387-(V387-W387)</f>
        <v>2.0511991434518133E-25</v>
      </c>
      <c r="V388">
        <f t="shared" si="141"/>
        <v>3.07679871517772E-26</v>
      </c>
      <c r="W388">
        <f t="shared" si="142"/>
        <v>0</v>
      </c>
      <c r="X388">
        <f t="shared" si="134"/>
        <v>262928.27704474726</v>
      </c>
      <c r="Y388" s="6">
        <f t="shared" si="143"/>
        <v>29195.048617990185</v>
      </c>
      <c r="Z388" s="6">
        <f t="shared" si="144"/>
        <v>19.204386981676919</v>
      </c>
      <c r="AA388" s="6">
        <f t="shared" si="145"/>
        <v>2.2791101593909054E-26</v>
      </c>
      <c r="AB388">
        <f t="shared" si="146"/>
        <v>0</v>
      </c>
      <c r="AD388" s="6">
        <f t="shared" si="135"/>
        <v>110822.99486833958</v>
      </c>
      <c r="AG388">
        <f t="shared" si="147"/>
        <v>80824.88933350335</v>
      </c>
      <c r="AH388">
        <f t="shared" si="148"/>
        <v>783.85252986436603</v>
      </c>
      <c r="AI388">
        <f t="shared" si="149"/>
        <v>5.4698643825381779E-24</v>
      </c>
      <c r="AL388">
        <f t="shared" si="136"/>
        <v>0.97380843349906387</v>
      </c>
      <c r="AM388">
        <f t="shared" ref="AM388:AM451" si="152">IF(AD388/$AD$2&lt;AM387,AD388/$AD$2,AM387)</f>
        <v>0.85248457591030447</v>
      </c>
      <c r="AO388">
        <v>386</v>
      </c>
      <c r="AP388">
        <v>0.97307048577355904</v>
      </c>
      <c r="AQ388">
        <v>0.83921466440834203</v>
      </c>
    </row>
    <row r="389" spans="14:43" x14ac:dyDescent="0.35">
      <c r="N389">
        <f t="shared" si="132"/>
        <v>387</v>
      </c>
      <c r="O389" s="6">
        <f t="shared" si="133"/>
        <v>262742.29979003407</v>
      </c>
      <c r="P389">
        <f t="shared" si="137"/>
        <v>13.137114989501704</v>
      </c>
      <c r="Q389">
        <f t="shared" si="138"/>
        <v>0</v>
      </c>
      <c r="R389" s="6">
        <f t="shared" si="150"/>
        <v>171.80244593808192</v>
      </c>
      <c r="S389">
        <f t="shared" si="139"/>
        <v>1.0308146756284915</v>
      </c>
      <c r="T389">
        <f t="shared" si="140"/>
        <v>0</v>
      </c>
      <c r="U389" s="6">
        <f t="shared" si="151"/>
        <v>1.7435192719340411E-25</v>
      </c>
      <c r="V389">
        <f t="shared" si="141"/>
        <v>2.6152789079010616E-26</v>
      </c>
      <c r="W389">
        <f t="shared" si="142"/>
        <v>0</v>
      </c>
      <c r="X389">
        <f t="shared" si="134"/>
        <v>262914.10223597212</v>
      </c>
      <c r="Y389" s="6">
        <f t="shared" si="143"/>
        <v>29193.588865559286</v>
      </c>
      <c r="Z389" s="6">
        <f t="shared" si="144"/>
        <v>19.089160659786856</v>
      </c>
      <c r="AA389" s="6">
        <f t="shared" si="145"/>
        <v>1.9372436354822697E-26</v>
      </c>
      <c r="AB389">
        <f t="shared" si="146"/>
        <v>0</v>
      </c>
      <c r="AD389" s="6">
        <f t="shared" si="135"/>
        <v>110812.67552994093</v>
      </c>
      <c r="AG389">
        <f t="shared" si="147"/>
        <v>80820.848089036677</v>
      </c>
      <c r="AH389">
        <f t="shared" si="148"/>
        <v>779.14941468517986</v>
      </c>
      <c r="AI389">
        <f t="shared" si="149"/>
        <v>4.6493847251574514E-24</v>
      </c>
      <c r="AL389">
        <f t="shared" si="136"/>
        <v>0.97375593420730422</v>
      </c>
      <c r="AM389">
        <f t="shared" si="152"/>
        <v>0.85240519638416101</v>
      </c>
      <c r="AO389">
        <v>387</v>
      </c>
      <c r="AP389">
        <v>0.97300033073091496</v>
      </c>
      <c r="AQ389">
        <v>0.83911444291884996</v>
      </c>
    </row>
    <row r="390" spans="14:43" x14ac:dyDescent="0.35">
      <c r="N390">
        <f t="shared" si="132"/>
        <v>388</v>
      </c>
      <c r="O390" s="6">
        <f t="shared" si="133"/>
        <v>262729.16267504456</v>
      </c>
      <c r="P390">
        <f t="shared" si="137"/>
        <v>13.136458133752228</v>
      </c>
      <c r="Q390">
        <f t="shared" si="138"/>
        <v>0</v>
      </c>
      <c r="R390" s="6">
        <f t="shared" si="150"/>
        <v>170.77163126245341</v>
      </c>
      <c r="S390">
        <f t="shared" si="139"/>
        <v>1.0246297875747206</v>
      </c>
      <c r="T390">
        <f t="shared" si="140"/>
        <v>0</v>
      </c>
      <c r="U390" s="6">
        <f t="shared" si="151"/>
        <v>1.4819913811439349E-25</v>
      </c>
      <c r="V390">
        <f t="shared" si="141"/>
        <v>2.2229870717159023E-26</v>
      </c>
      <c r="W390">
        <f t="shared" si="142"/>
        <v>0</v>
      </c>
      <c r="X390">
        <f t="shared" si="134"/>
        <v>262899.934306307</v>
      </c>
      <c r="Y390" s="6">
        <f t="shared" si="143"/>
        <v>29192.12918611601</v>
      </c>
      <c r="Z390" s="6">
        <f t="shared" si="144"/>
        <v>18.974625695828134</v>
      </c>
      <c r="AA390" s="6">
        <f t="shared" si="145"/>
        <v>1.6466570901599293E-26</v>
      </c>
      <c r="AB390">
        <f t="shared" si="146"/>
        <v>0</v>
      </c>
      <c r="AD390" s="6">
        <f t="shared" si="135"/>
        <v>110802.38537664112</v>
      </c>
      <c r="AG390">
        <f t="shared" si="147"/>
        <v>80816.807046632224</v>
      </c>
      <c r="AH390">
        <f t="shared" si="148"/>
        <v>774.47451819706873</v>
      </c>
      <c r="AI390">
        <f t="shared" si="149"/>
        <v>3.9519770163838334E-24</v>
      </c>
      <c r="AL390">
        <f t="shared" si="136"/>
        <v>0.97370346039372957</v>
      </c>
      <c r="AM390">
        <f t="shared" si="152"/>
        <v>0.85232604135877787</v>
      </c>
      <c r="AO390">
        <v>388</v>
      </c>
      <c r="AP390">
        <v>0.97293351640458703</v>
      </c>
      <c r="AQ390">
        <v>0.83894406638671404</v>
      </c>
    </row>
    <row r="391" spans="14:43" x14ac:dyDescent="0.35">
      <c r="N391">
        <f t="shared" si="132"/>
        <v>389</v>
      </c>
      <c r="O391" s="6">
        <f t="shared" si="133"/>
        <v>262716.0262169108</v>
      </c>
      <c r="P391">
        <f t="shared" si="137"/>
        <v>13.13580131084554</v>
      </c>
      <c r="Q391">
        <f t="shared" si="138"/>
        <v>0</v>
      </c>
      <c r="R391" s="6">
        <f t="shared" si="150"/>
        <v>169.74700147487869</v>
      </c>
      <c r="S391">
        <f t="shared" si="139"/>
        <v>1.0184820088492721</v>
      </c>
      <c r="T391">
        <f t="shared" si="140"/>
        <v>0</v>
      </c>
      <c r="U391" s="6">
        <f t="shared" si="151"/>
        <v>1.2596926739723446E-25</v>
      </c>
      <c r="V391">
        <f t="shared" si="141"/>
        <v>1.8895390109585168E-26</v>
      </c>
      <c r="W391">
        <f t="shared" si="142"/>
        <v>0</v>
      </c>
      <c r="X391">
        <f t="shared" si="134"/>
        <v>262885.7732183857</v>
      </c>
      <c r="Y391" s="6">
        <f t="shared" si="143"/>
        <v>29190.669579656704</v>
      </c>
      <c r="Z391" s="6">
        <f t="shared" si="144"/>
        <v>18.860777941653165</v>
      </c>
      <c r="AA391" s="6">
        <f t="shared" si="145"/>
        <v>1.3996585266359401E-26</v>
      </c>
      <c r="AB391">
        <f t="shared" si="146"/>
        <v>0</v>
      </c>
      <c r="AD391" s="6">
        <f t="shared" si="135"/>
        <v>110792.12423496613</v>
      </c>
      <c r="AG391">
        <f t="shared" si="147"/>
        <v>80812.766206279892</v>
      </c>
      <c r="AH391">
        <f t="shared" si="148"/>
        <v>769.8276710878863</v>
      </c>
      <c r="AI391">
        <f t="shared" si="149"/>
        <v>3.3591804639262588E-24</v>
      </c>
      <c r="AL391">
        <f t="shared" si="136"/>
        <v>0.97365101191994707</v>
      </c>
      <c r="AM391">
        <f t="shared" si="152"/>
        <v>0.85224710949973947</v>
      </c>
      <c r="AO391">
        <v>389</v>
      </c>
      <c r="AP391">
        <v>0.97286002064562704</v>
      </c>
      <c r="AQ391">
        <v>0.83883382274827301</v>
      </c>
    </row>
    <row r="392" spans="14:43" x14ac:dyDescent="0.35">
      <c r="N392">
        <f t="shared" si="132"/>
        <v>390</v>
      </c>
      <c r="O392" s="6">
        <f t="shared" si="133"/>
        <v>262702.89041559998</v>
      </c>
      <c r="P392">
        <f t="shared" si="137"/>
        <v>13.135144520779999</v>
      </c>
      <c r="Q392">
        <f t="shared" si="138"/>
        <v>0</v>
      </c>
      <c r="R392" s="6">
        <f t="shared" si="150"/>
        <v>168.72851946602941</v>
      </c>
      <c r="S392">
        <f t="shared" si="139"/>
        <v>1.0123711167961764</v>
      </c>
      <c r="T392">
        <f t="shared" si="140"/>
        <v>0</v>
      </c>
      <c r="U392" s="6">
        <f t="shared" si="151"/>
        <v>1.0707387728764929E-25</v>
      </c>
      <c r="V392">
        <f t="shared" si="141"/>
        <v>1.6061081593147392E-26</v>
      </c>
      <c r="W392">
        <f t="shared" si="142"/>
        <v>0</v>
      </c>
      <c r="X392">
        <f t="shared" si="134"/>
        <v>262871.61893506598</v>
      </c>
      <c r="Y392" s="6">
        <f t="shared" si="143"/>
        <v>29189.210046177723</v>
      </c>
      <c r="Z392" s="6">
        <f t="shared" si="144"/>
        <v>18.747613274003246</v>
      </c>
      <c r="AA392" s="6">
        <f t="shared" si="145"/>
        <v>1.1897097476405491E-26</v>
      </c>
      <c r="AB392">
        <f t="shared" si="146"/>
        <v>0</v>
      </c>
      <c r="AD392" s="6">
        <f t="shared" si="135"/>
        <v>110781.89193248267</v>
      </c>
      <c r="AG392">
        <f t="shared" si="147"/>
        <v>80808.725567969581</v>
      </c>
      <c r="AH392">
        <f t="shared" si="148"/>
        <v>765.20870506135896</v>
      </c>
      <c r="AI392">
        <f t="shared" si="149"/>
        <v>2.8553033943373201E-24</v>
      </c>
      <c r="AL392">
        <f t="shared" si="136"/>
        <v>0.97359858864839255</v>
      </c>
      <c r="AM392">
        <f t="shared" si="152"/>
        <v>0.85216839948063594</v>
      </c>
      <c r="AO392">
        <v>390</v>
      </c>
      <c r="AP392">
        <v>0.97279654703561602</v>
      </c>
      <c r="AQ392">
        <v>0.83871355696088301</v>
      </c>
    </row>
    <row r="393" spans="14:43" x14ac:dyDescent="0.35">
      <c r="N393">
        <f t="shared" si="132"/>
        <v>391</v>
      </c>
      <c r="O393" s="6">
        <f t="shared" si="133"/>
        <v>262689.75527107919</v>
      </c>
      <c r="P393">
        <f t="shared" si="137"/>
        <v>13.13448776355396</v>
      </c>
      <c r="Q393">
        <f t="shared" si="138"/>
        <v>0</v>
      </c>
      <c r="R393" s="6">
        <f t="shared" si="150"/>
        <v>167.71614834923324</v>
      </c>
      <c r="S393">
        <f t="shared" si="139"/>
        <v>1.0062968900953995</v>
      </c>
      <c r="T393">
        <f t="shared" si="140"/>
        <v>0</v>
      </c>
      <c r="U393" s="6">
        <f t="shared" si="151"/>
        <v>9.1012795694501895E-26</v>
      </c>
      <c r="V393">
        <f t="shared" si="141"/>
        <v>1.3651919354175284E-26</v>
      </c>
      <c r="W393">
        <f t="shared" si="142"/>
        <v>0</v>
      </c>
      <c r="X393">
        <f t="shared" si="134"/>
        <v>262857.47141942842</v>
      </c>
      <c r="Y393" s="6">
        <f t="shared" si="143"/>
        <v>29187.750585675414</v>
      </c>
      <c r="Z393" s="6">
        <f t="shared" si="144"/>
        <v>18.635127594359226</v>
      </c>
      <c r="AA393" s="6">
        <f t="shared" si="145"/>
        <v>1.0112532854944667E-26</v>
      </c>
      <c r="AB393">
        <f t="shared" si="146"/>
        <v>0</v>
      </c>
      <c r="AD393" s="6">
        <f t="shared" si="135"/>
        <v>110771.68829779194</v>
      </c>
      <c r="AG393">
        <f t="shared" si="147"/>
        <v>80804.685131691178</v>
      </c>
      <c r="AH393">
        <f t="shared" si="148"/>
        <v>760.61745283099083</v>
      </c>
      <c r="AI393">
        <f t="shared" si="149"/>
        <v>2.4270078851867219E-24</v>
      </c>
      <c r="AL393">
        <f t="shared" si="136"/>
        <v>0.97354619044232749</v>
      </c>
      <c r="AM393">
        <f t="shared" si="152"/>
        <v>0.85208990998301493</v>
      </c>
      <c r="AO393">
        <v>391</v>
      </c>
      <c r="AP393">
        <v>0.97271302912770596</v>
      </c>
      <c r="AQ393">
        <v>0.83859329117349302</v>
      </c>
    </row>
    <row r="394" spans="14:43" x14ac:dyDescent="0.35">
      <c r="N394">
        <f t="shared" si="132"/>
        <v>392</v>
      </c>
      <c r="O394" s="6">
        <f t="shared" si="133"/>
        <v>262676.62078331562</v>
      </c>
      <c r="P394">
        <f t="shared" si="137"/>
        <v>13.133831039165782</v>
      </c>
      <c r="Q394">
        <f t="shared" si="138"/>
        <v>0</v>
      </c>
      <c r="R394" s="6">
        <f t="shared" si="150"/>
        <v>166.70985145913784</v>
      </c>
      <c r="S394">
        <f t="shared" si="139"/>
        <v>1.0002591087548272</v>
      </c>
      <c r="T394">
        <f t="shared" si="140"/>
        <v>0</v>
      </c>
      <c r="U394" s="6">
        <f t="shared" si="151"/>
        <v>7.7360876340326612E-26</v>
      </c>
      <c r="V394">
        <f t="shared" si="141"/>
        <v>1.1604131451048991E-26</v>
      </c>
      <c r="W394">
        <f t="shared" si="142"/>
        <v>0</v>
      </c>
      <c r="X394">
        <f t="shared" si="134"/>
        <v>262843.33063477476</v>
      </c>
      <c r="Y394" s="6">
        <f t="shared" si="143"/>
        <v>29186.291198146129</v>
      </c>
      <c r="Z394" s="6">
        <f t="shared" si="144"/>
        <v>18.523316828793071</v>
      </c>
      <c r="AA394" s="6">
        <f t="shared" si="145"/>
        <v>8.595652926702968E-27</v>
      </c>
      <c r="AB394">
        <f t="shared" si="146"/>
        <v>0</v>
      </c>
      <c r="AD394" s="6">
        <f t="shared" si="135"/>
        <v>110761.51316052352</v>
      </c>
      <c r="AG394">
        <f t="shared" si="147"/>
        <v>80800.644897434599</v>
      </c>
      <c r="AH394">
        <f t="shared" si="148"/>
        <v>756.05374811400486</v>
      </c>
      <c r="AI394">
        <f t="shared" si="149"/>
        <v>2.0629567024087136E-24</v>
      </c>
      <c r="AL394">
        <f t="shared" si="136"/>
        <v>0.97349381716583239</v>
      </c>
      <c r="AM394">
        <f t="shared" si="152"/>
        <v>0.85201163969633475</v>
      </c>
      <c r="AO394">
        <v>392</v>
      </c>
      <c r="AP394">
        <v>0.97263285193611204</v>
      </c>
      <c r="AQ394">
        <v>0.83847302538610302</v>
      </c>
    </row>
    <row r="395" spans="14:43" x14ac:dyDescent="0.35">
      <c r="N395">
        <f t="shared" si="132"/>
        <v>393</v>
      </c>
      <c r="O395" s="6">
        <f t="shared" si="133"/>
        <v>262663.48695227643</v>
      </c>
      <c r="P395">
        <f t="shared" si="137"/>
        <v>13.133174347613823</v>
      </c>
      <c r="Q395">
        <f t="shared" si="138"/>
        <v>0</v>
      </c>
      <c r="R395" s="6">
        <f t="shared" si="150"/>
        <v>165.70959235038302</v>
      </c>
      <c r="S395">
        <f t="shared" si="139"/>
        <v>0.9942575541022981</v>
      </c>
      <c r="T395">
        <f t="shared" si="140"/>
        <v>0</v>
      </c>
      <c r="U395" s="6">
        <f t="shared" si="151"/>
        <v>6.5756744889277616E-26</v>
      </c>
      <c r="V395">
        <f t="shared" si="141"/>
        <v>9.8635117333916422E-27</v>
      </c>
      <c r="W395">
        <f t="shared" si="142"/>
        <v>0</v>
      </c>
      <c r="X395">
        <f t="shared" si="134"/>
        <v>262829.19654462684</v>
      </c>
      <c r="Y395" s="6">
        <f t="shared" si="143"/>
        <v>29184.831883586223</v>
      </c>
      <c r="Z395" s="6">
        <f t="shared" si="144"/>
        <v>18.412176927820312</v>
      </c>
      <c r="AA395" s="6">
        <f t="shared" si="145"/>
        <v>7.3063049876975227E-27</v>
      </c>
      <c r="AB395">
        <f t="shared" si="146"/>
        <v>0</v>
      </c>
      <c r="AD395" s="6">
        <f t="shared" si="135"/>
        <v>110751.3663513291</v>
      </c>
      <c r="AG395">
        <f t="shared" si="147"/>
        <v>80796.604865189729</v>
      </c>
      <c r="AH395">
        <f t="shared" si="148"/>
        <v>751.51742562532081</v>
      </c>
      <c r="AI395">
        <f t="shared" si="149"/>
        <v>1.7535131970474067E-24</v>
      </c>
      <c r="AL395">
        <f t="shared" si="136"/>
        <v>0.9734414686838031</v>
      </c>
      <c r="AM395">
        <f t="shared" si="152"/>
        <v>0.85193358731791613</v>
      </c>
      <c r="AO395">
        <v>393</v>
      </c>
      <c r="AP395">
        <v>0.97252928973030395</v>
      </c>
      <c r="AQ395">
        <v>0.83839284819450999</v>
      </c>
    </row>
    <row r="396" spans="14:43" x14ac:dyDescent="0.35">
      <c r="N396">
        <f t="shared" si="132"/>
        <v>394</v>
      </c>
      <c r="O396" s="6">
        <f t="shared" si="133"/>
        <v>262650.3537779288</v>
      </c>
      <c r="P396">
        <f t="shared" si="137"/>
        <v>13.13251768889644</v>
      </c>
      <c r="Q396">
        <f t="shared" si="138"/>
        <v>0</v>
      </c>
      <c r="R396" s="6">
        <f t="shared" si="150"/>
        <v>164.71533479628073</v>
      </c>
      <c r="S396">
        <f t="shared" si="139"/>
        <v>0.98829200877768442</v>
      </c>
      <c r="T396">
        <f t="shared" si="140"/>
        <v>0</v>
      </c>
      <c r="U396" s="6">
        <f t="shared" si="151"/>
        <v>5.5893233155885973E-26</v>
      </c>
      <c r="V396">
        <f t="shared" si="141"/>
        <v>8.3839849733828956E-27</v>
      </c>
      <c r="W396">
        <f t="shared" si="142"/>
        <v>0</v>
      </c>
      <c r="X396">
        <f t="shared" si="134"/>
        <v>262815.06911272509</v>
      </c>
      <c r="Y396" s="6">
        <f t="shared" si="143"/>
        <v>29183.372641992042</v>
      </c>
      <c r="Z396" s="6">
        <f t="shared" si="144"/>
        <v>18.301703866253391</v>
      </c>
      <c r="AA396" s="6">
        <f t="shared" si="145"/>
        <v>6.2103592395428945E-27</v>
      </c>
      <c r="AB396">
        <f t="shared" si="146"/>
        <v>0</v>
      </c>
      <c r="AD396" s="6">
        <f t="shared" si="135"/>
        <v>110741.24770187633</v>
      </c>
      <c r="AG396">
        <f t="shared" si="147"/>
        <v>80792.56503494647</v>
      </c>
      <c r="AH396">
        <f t="shared" si="148"/>
        <v>747.00832107156884</v>
      </c>
      <c r="AI396">
        <f t="shared" si="149"/>
        <v>1.4904862174902957E-24</v>
      </c>
      <c r="AL396">
        <f t="shared" si="136"/>
        <v>0.97338914486194483</v>
      </c>
      <c r="AM396">
        <f t="shared" si="152"/>
        <v>0.85185575155289484</v>
      </c>
      <c r="AO396">
        <v>394</v>
      </c>
      <c r="AP396">
        <v>0.97243574967344504</v>
      </c>
      <c r="AQ396">
        <v>0.83829262670501803</v>
      </c>
    </row>
    <row r="397" spans="14:43" x14ac:dyDescent="0.35">
      <c r="N397">
        <f t="shared" si="132"/>
        <v>395</v>
      </c>
      <c r="O397" s="6">
        <f t="shared" si="133"/>
        <v>262637.22126023989</v>
      </c>
      <c r="P397">
        <f t="shared" si="137"/>
        <v>13.131861063011995</v>
      </c>
      <c r="Q397">
        <f t="shared" si="138"/>
        <v>0</v>
      </c>
      <c r="R397" s="6">
        <f t="shared" si="150"/>
        <v>163.72704278750305</v>
      </c>
      <c r="S397">
        <f t="shared" si="139"/>
        <v>0.98236225672501831</v>
      </c>
      <c r="T397">
        <f t="shared" si="140"/>
        <v>0</v>
      </c>
      <c r="U397" s="6">
        <f t="shared" si="151"/>
        <v>4.7509248182503079E-26</v>
      </c>
      <c r="V397">
        <f t="shared" si="141"/>
        <v>7.1263872273754621E-27</v>
      </c>
      <c r="W397">
        <f t="shared" si="142"/>
        <v>0</v>
      </c>
      <c r="X397">
        <f t="shared" si="134"/>
        <v>262800.94830302737</v>
      </c>
      <c r="Y397" s="6">
        <f t="shared" si="143"/>
        <v>29181.913473359942</v>
      </c>
      <c r="Z397" s="6">
        <f t="shared" si="144"/>
        <v>18.19189364305587</v>
      </c>
      <c r="AA397" s="6">
        <f t="shared" si="145"/>
        <v>5.2788053536114606E-27</v>
      </c>
      <c r="AB397">
        <f t="shared" si="146"/>
        <v>0</v>
      </c>
      <c r="AD397" s="6">
        <f t="shared" si="135"/>
        <v>110731.15704484285</v>
      </c>
      <c r="AG397">
        <f t="shared" si="147"/>
        <v>80788.525406694724</v>
      </c>
      <c r="AH397">
        <f t="shared" si="148"/>
        <v>742.52627114513939</v>
      </c>
      <c r="AI397">
        <f t="shared" si="149"/>
        <v>1.2669132848667513E-24</v>
      </c>
      <c r="AL397">
        <f t="shared" si="136"/>
        <v>0.97333684556676803</v>
      </c>
      <c r="AM397">
        <f t="shared" si="152"/>
        <v>0.85177813111417577</v>
      </c>
      <c r="AO397">
        <v>395</v>
      </c>
      <c r="AP397">
        <v>0.97234555033290204</v>
      </c>
      <c r="AQ397">
        <v>0.838212449513424</v>
      </c>
    </row>
    <row r="398" spans="14:43" x14ac:dyDescent="0.35">
      <c r="N398">
        <f t="shared" si="132"/>
        <v>396</v>
      </c>
      <c r="O398" s="6">
        <f t="shared" si="133"/>
        <v>262624.08939917688</v>
      </c>
      <c r="P398">
        <f t="shared" si="137"/>
        <v>13.131204469958845</v>
      </c>
      <c r="Q398">
        <f t="shared" si="138"/>
        <v>0</v>
      </c>
      <c r="R398" s="6">
        <f t="shared" si="150"/>
        <v>162.74468053077803</v>
      </c>
      <c r="S398">
        <f t="shared" si="139"/>
        <v>0.97646808318466816</v>
      </c>
      <c r="T398">
        <f t="shared" si="140"/>
        <v>0</v>
      </c>
      <c r="U398" s="6">
        <f t="shared" si="151"/>
        <v>4.0382860955127615E-26</v>
      </c>
      <c r="V398">
        <f t="shared" si="141"/>
        <v>6.057429143269142E-27</v>
      </c>
      <c r="W398">
        <f t="shared" si="142"/>
        <v>0</v>
      </c>
      <c r="X398">
        <f t="shared" si="134"/>
        <v>262786.83407970768</v>
      </c>
      <c r="Y398" s="6">
        <f t="shared" si="143"/>
        <v>29180.454377686274</v>
      </c>
      <c r="Z398" s="6">
        <f t="shared" si="144"/>
        <v>18.082742281197536</v>
      </c>
      <c r="AA398" s="6">
        <f t="shared" si="145"/>
        <v>4.4869845505697415E-27</v>
      </c>
      <c r="AB398">
        <f t="shared" si="146"/>
        <v>0</v>
      </c>
      <c r="AD398" s="6">
        <f t="shared" si="135"/>
        <v>110721.09421391012</v>
      </c>
      <c r="AG398">
        <f t="shared" si="147"/>
        <v>80784.48598042439</v>
      </c>
      <c r="AH398">
        <f t="shared" si="148"/>
        <v>738.07111351826859</v>
      </c>
      <c r="AI398">
        <f t="shared" si="149"/>
        <v>1.0768762921367387E-24</v>
      </c>
      <c r="AL398">
        <f t="shared" si="136"/>
        <v>0.97328457066558405</v>
      </c>
      <c r="AM398">
        <f t="shared" si="152"/>
        <v>0.85170072472238556</v>
      </c>
      <c r="AO398">
        <v>396</v>
      </c>
      <c r="AP398">
        <v>0.97228541743920804</v>
      </c>
      <c r="AQ398">
        <v>0.83805209513023704</v>
      </c>
    </row>
    <row r="399" spans="14:43" x14ac:dyDescent="0.35">
      <c r="N399">
        <f t="shared" si="132"/>
        <v>397</v>
      </c>
      <c r="O399" s="6">
        <f t="shared" si="133"/>
        <v>262610.95819470694</v>
      </c>
      <c r="P399">
        <f t="shared" si="137"/>
        <v>13.130547909735348</v>
      </c>
      <c r="Q399">
        <f t="shared" si="138"/>
        <v>0</v>
      </c>
      <c r="R399" s="6">
        <f t="shared" si="150"/>
        <v>161.76821244759336</v>
      </c>
      <c r="S399">
        <f t="shared" si="139"/>
        <v>0.97060927468556013</v>
      </c>
      <c r="T399">
        <f t="shared" si="140"/>
        <v>0</v>
      </c>
      <c r="U399" s="6">
        <f t="shared" si="151"/>
        <v>3.4325431811858473E-26</v>
      </c>
      <c r="V399">
        <f t="shared" si="141"/>
        <v>5.1488147717787711E-27</v>
      </c>
      <c r="W399">
        <f t="shared" si="142"/>
        <v>0</v>
      </c>
      <c r="X399">
        <f t="shared" si="134"/>
        <v>262772.72640715452</v>
      </c>
      <c r="Y399" s="6">
        <f t="shared" si="143"/>
        <v>29178.995354967388</v>
      </c>
      <c r="Z399" s="6">
        <f t="shared" si="144"/>
        <v>17.974245827510352</v>
      </c>
      <c r="AA399" s="6">
        <f t="shared" si="145"/>
        <v>3.8139368679842802E-27</v>
      </c>
      <c r="AB399">
        <f t="shared" si="146"/>
        <v>0</v>
      </c>
      <c r="AD399" s="6">
        <f t="shared" si="135"/>
        <v>110711.05904375743</v>
      </c>
      <c r="AG399">
        <f t="shared" si="147"/>
        <v>80780.44675612537</v>
      </c>
      <c r="AH399">
        <f t="shared" si="148"/>
        <v>733.64268683715898</v>
      </c>
      <c r="AI399">
        <f t="shared" si="149"/>
        <v>9.1534484831622794E-25</v>
      </c>
      <c r="AL399">
        <f t="shared" si="136"/>
        <v>0.97323232002649818</v>
      </c>
      <c r="AM399">
        <f t="shared" si="152"/>
        <v>0.85162353110582634</v>
      </c>
      <c r="AO399">
        <v>397</v>
      </c>
      <c r="AP399">
        <v>0.97219187738234902</v>
      </c>
      <c r="AQ399">
        <v>0.83796189578969504</v>
      </c>
    </row>
    <row r="400" spans="14:43" x14ac:dyDescent="0.35">
      <c r="N400">
        <f t="shared" si="132"/>
        <v>398</v>
      </c>
      <c r="O400" s="6">
        <f t="shared" si="133"/>
        <v>262597.82764679723</v>
      </c>
      <c r="P400">
        <f t="shared" si="137"/>
        <v>13.129891382339862</v>
      </c>
      <c r="Q400">
        <f t="shared" si="138"/>
        <v>0</v>
      </c>
      <c r="R400" s="6">
        <f t="shared" si="150"/>
        <v>160.7976031729078</v>
      </c>
      <c r="S400">
        <f t="shared" si="139"/>
        <v>0.96478561903744686</v>
      </c>
      <c r="T400">
        <f t="shared" si="140"/>
        <v>0</v>
      </c>
      <c r="U400" s="6">
        <f t="shared" si="151"/>
        <v>2.9176617040079704E-26</v>
      </c>
      <c r="V400">
        <f t="shared" si="141"/>
        <v>4.3764925560119552E-27</v>
      </c>
      <c r="W400">
        <f t="shared" si="142"/>
        <v>0</v>
      </c>
      <c r="X400">
        <f t="shared" si="134"/>
        <v>262758.62524997012</v>
      </c>
      <c r="Y400" s="6">
        <f t="shared" si="143"/>
        <v>29177.53640519964</v>
      </c>
      <c r="Z400" s="6">
        <f t="shared" si="144"/>
        <v>17.866400352545291</v>
      </c>
      <c r="AA400" s="6">
        <f t="shared" si="145"/>
        <v>3.2418463377866382E-27</v>
      </c>
      <c r="AB400">
        <f t="shared" si="146"/>
        <v>0</v>
      </c>
      <c r="AD400" s="6">
        <f t="shared" si="135"/>
        <v>110701.05137005589</v>
      </c>
      <c r="AG400">
        <f t="shared" si="147"/>
        <v>80776.407733787564</v>
      </c>
      <c r="AH400">
        <f t="shared" si="148"/>
        <v>729.24083071613597</v>
      </c>
      <c r="AI400">
        <f t="shared" si="149"/>
        <v>7.7804312106879379E-25</v>
      </c>
      <c r="AL400">
        <f t="shared" si="136"/>
        <v>0.97318009351840784</v>
      </c>
      <c r="AM400">
        <f t="shared" si="152"/>
        <v>0.85154654900042992</v>
      </c>
      <c r="AO400">
        <v>398</v>
      </c>
      <c r="AP400">
        <v>0.97210501875812305</v>
      </c>
      <c r="AQ400">
        <v>0.83779151925755901</v>
      </c>
    </row>
    <row r="401" spans="14:43" x14ac:dyDescent="0.35">
      <c r="N401">
        <f t="shared" si="132"/>
        <v>399</v>
      </c>
      <c r="O401" s="6">
        <f t="shared" si="133"/>
        <v>262584.69775541488</v>
      </c>
      <c r="P401">
        <f t="shared" si="137"/>
        <v>13.129234887770744</v>
      </c>
      <c r="Q401">
        <f t="shared" si="138"/>
        <v>0</v>
      </c>
      <c r="R401" s="6">
        <f t="shared" si="150"/>
        <v>159.83281755387034</v>
      </c>
      <c r="S401">
        <f t="shared" si="139"/>
        <v>0.95899690532322213</v>
      </c>
      <c r="T401">
        <f t="shared" si="140"/>
        <v>0</v>
      </c>
      <c r="U401" s="6">
        <f t="shared" si="151"/>
        <v>2.4800124484067748E-26</v>
      </c>
      <c r="V401">
        <f t="shared" si="141"/>
        <v>3.7200186726101618E-27</v>
      </c>
      <c r="W401">
        <f t="shared" si="142"/>
        <v>0</v>
      </c>
      <c r="X401">
        <f t="shared" si="134"/>
        <v>262744.53057296877</v>
      </c>
      <c r="Y401" s="6">
        <f t="shared" si="143"/>
        <v>29176.077528379381</v>
      </c>
      <c r="Z401" s="6">
        <f t="shared" si="144"/>
        <v>17.759201950430018</v>
      </c>
      <c r="AA401" s="6">
        <f t="shared" si="145"/>
        <v>2.7555693871186426E-27</v>
      </c>
      <c r="AB401">
        <f t="shared" si="146"/>
        <v>0</v>
      </c>
      <c r="AD401" s="6">
        <f t="shared" si="135"/>
        <v>110691.07102946253</v>
      </c>
      <c r="AG401">
        <f t="shared" si="147"/>
        <v>80772.368913400875</v>
      </c>
      <c r="AH401">
        <f t="shared" si="148"/>
        <v>724.86538573183918</v>
      </c>
      <c r="AI401">
        <f t="shared" si="149"/>
        <v>6.6133665290847477E-25</v>
      </c>
      <c r="AL401">
        <f t="shared" si="136"/>
        <v>0.97312789101099539</v>
      </c>
      <c r="AM401">
        <f t="shared" si="152"/>
        <v>0.85146977714971173</v>
      </c>
      <c r="AO401">
        <v>399</v>
      </c>
      <c r="AP401">
        <v>0.97200479726862998</v>
      </c>
      <c r="AQ401">
        <v>0.83768127561911798</v>
      </c>
    </row>
    <row r="402" spans="14:43" x14ac:dyDescent="0.35">
      <c r="N402">
        <f t="shared" si="132"/>
        <v>400</v>
      </c>
      <c r="O402" s="6">
        <f t="shared" si="133"/>
        <v>262571.5685205271</v>
      </c>
      <c r="P402">
        <f t="shared" si="137"/>
        <v>13.128578426026356</v>
      </c>
      <c r="Q402">
        <f t="shared" si="138"/>
        <v>0</v>
      </c>
      <c r="R402" s="6">
        <f t="shared" si="150"/>
        <v>158.87382064854711</v>
      </c>
      <c r="S402">
        <f t="shared" si="139"/>
        <v>0.95324292389128262</v>
      </c>
      <c r="T402">
        <f t="shared" si="140"/>
        <v>0</v>
      </c>
      <c r="U402" s="6">
        <f t="shared" si="151"/>
        <v>2.1080105811457585E-26</v>
      </c>
      <c r="V402">
        <f t="shared" si="141"/>
        <v>3.1620158717186377E-27</v>
      </c>
      <c r="W402">
        <f t="shared" si="142"/>
        <v>0</v>
      </c>
      <c r="X402">
        <f t="shared" si="134"/>
        <v>262730.44234117563</v>
      </c>
      <c r="Y402" s="6">
        <f t="shared" si="143"/>
        <v>29174.618724502961</v>
      </c>
      <c r="Z402" s="6">
        <f t="shared" si="144"/>
        <v>17.652646738727437</v>
      </c>
      <c r="AA402" s="6">
        <f t="shared" si="145"/>
        <v>2.3422339790508461E-27</v>
      </c>
      <c r="AB402">
        <f t="shared" si="146"/>
        <v>0</v>
      </c>
      <c r="AD402" s="6">
        <f t="shared" si="135"/>
        <v>110681.11785961434</v>
      </c>
      <c r="AG402">
        <f t="shared" si="147"/>
        <v>80768.330294955202</v>
      </c>
      <c r="AH402">
        <f t="shared" si="148"/>
        <v>720.51619341744811</v>
      </c>
      <c r="AI402">
        <f t="shared" si="149"/>
        <v>5.6213615497220358E-25</v>
      </c>
      <c r="AL402">
        <f t="shared" si="136"/>
        <v>0.97307571237472457</v>
      </c>
      <c r="AM402">
        <f t="shared" si="152"/>
        <v>0.8513932143047257</v>
      </c>
      <c r="AO402">
        <v>400</v>
      </c>
      <c r="AP402">
        <v>0.97195802724020197</v>
      </c>
      <c r="AQ402">
        <v>0.83758105412962702</v>
      </c>
    </row>
    <row r="403" spans="14:43" x14ac:dyDescent="0.35">
      <c r="N403">
        <f t="shared" si="132"/>
        <v>401</v>
      </c>
      <c r="O403" s="6">
        <f t="shared" si="133"/>
        <v>262558.43994210107</v>
      </c>
      <c r="P403">
        <f t="shared" si="137"/>
        <v>13.127921997105055</v>
      </c>
      <c r="Q403">
        <f t="shared" si="138"/>
        <v>0</v>
      </c>
      <c r="R403" s="6">
        <f t="shared" si="150"/>
        <v>157.92057772465583</v>
      </c>
      <c r="S403">
        <f t="shared" si="139"/>
        <v>0.94752346634793494</v>
      </c>
      <c r="T403">
        <f t="shared" si="140"/>
        <v>0</v>
      </c>
      <c r="U403" s="6">
        <f t="shared" si="151"/>
        <v>1.7918089939738948E-26</v>
      </c>
      <c r="V403">
        <f t="shared" si="141"/>
        <v>2.6877134909608423E-27</v>
      </c>
      <c r="W403">
        <f t="shared" si="142"/>
        <v>0</v>
      </c>
      <c r="X403">
        <f t="shared" si="134"/>
        <v>262716.36051982571</v>
      </c>
      <c r="Y403" s="6">
        <f t="shared" si="143"/>
        <v>29173.159993566736</v>
      </c>
      <c r="Z403" s="6">
        <f t="shared" si="144"/>
        <v>17.546730858295074</v>
      </c>
      <c r="AA403" s="6">
        <f t="shared" si="145"/>
        <v>1.9908988821932191E-27</v>
      </c>
      <c r="AB403">
        <f t="shared" si="146"/>
        <v>0</v>
      </c>
      <c r="AD403" s="6">
        <f t="shared" si="135"/>
        <v>110671.19169912244</v>
      </c>
      <c r="AG403">
        <f t="shared" si="147"/>
        <v>80764.291878440461</v>
      </c>
      <c r="AH403">
        <f t="shared" si="148"/>
        <v>716.19309625694336</v>
      </c>
      <c r="AI403">
        <f t="shared" si="149"/>
        <v>4.7781573172637306E-25</v>
      </c>
      <c r="AL403">
        <f t="shared" si="136"/>
        <v>0.97302355748083602</v>
      </c>
      <c r="AM403">
        <f t="shared" si="152"/>
        <v>0.85131685922401878</v>
      </c>
      <c r="AO403">
        <v>401</v>
      </c>
      <c r="AP403">
        <v>0.97189789434650697</v>
      </c>
      <c r="AQ403">
        <v>0.83744074404433799</v>
      </c>
    </row>
    <row r="404" spans="14:43" x14ac:dyDescent="0.35">
      <c r="N404">
        <f t="shared" si="132"/>
        <v>402</v>
      </c>
      <c r="O404" s="6">
        <f t="shared" si="133"/>
        <v>262545.31202010397</v>
      </c>
      <c r="P404">
        <f t="shared" si="137"/>
        <v>13.127265601005199</v>
      </c>
      <c r="Q404">
        <f t="shared" si="138"/>
        <v>0</v>
      </c>
      <c r="R404" s="6">
        <f t="shared" si="150"/>
        <v>156.97305425830788</v>
      </c>
      <c r="S404">
        <f t="shared" si="139"/>
        <v>0.94183832554984737</v>
      </c>
      <c r="T404">
        <f t="shared" si="140"/>
        <v>0</v>
      </c>
      <c r="U404" s="6">
        <f t="shared" si="151"/>
        <v>1.5230376448778105E-26</v>
      </c>
      <c r="V404">
        <f t="shared" si="141"/>
        <v>2.2845564673167156E-27</v>
      </c>
      <c r="W404">
        <f t="shared" si="142"/>
        <v>0</v>
      </c>
      <c r="X404">
        <f t="shared" si="134"/>
        <v>262702.2850743623</v>
      </c>
      <c r="Y404" s="6">
        <f t="shared" si="143"/>
        <v>29171.701335567057</v>
      </c>
      <c r="Z404" s="6">
        <f t="shared" si="144"/>
        <v>17.441450473145302</v>
      </c>
      <c r="AA404" s="6">
        <f t="shared" si="145"/>
        <v>1.6922640498642364E-27</v>
      </c>
      <c r="AB404">
        <f t="shared" si="146"/>
        <v>0</v>
      </c>
      <c r="AD404" s="6">
        <f t="shared" si="135"/>
        <v>110661.29238756615</v>
      </c>
      <c r="AG404">
        <f t="shared" si="147"/>
        <v>80760.253663846539</v>
      </c>
      <c r="AH404">
        <f t="shared" si="148"/>
        <v>711.89593767940175</v>
      </c>
      <c r="AI404">
        <f t="shared" si="149"/>
        <v>4.0614337196741708E-25</v>
      </c>
      <c r="AL404">
        <f t="shared" si="136"/>
        <v>0.9729714262013418</v>
      </c>
      <c r="AM404">
        <f t="shared" si="152"/>
        <v>0.85124071067358575</v>
      </c>
      <c r="AO404">
        <v>402</v>
      </c>
      <c r="AP404">
        <v>0.97183108002017704</v>
      </c>
      <c r="AQ404">
        <v>0.837320478256948</v>
      </c>
    </row>
    <row r="405" spans="14:43" x14ac:dyDescent="0.35">
      <c r="N405">
        <f t="shared" si="132"/>
        <v>403</v>
      </c>
      <c r="O405" s="6">
        <f t="shared" si="133"/>
        <v>262532.18475450296</v>
      </c>
      <c r="P405">
        <f t="shared" si="137"/>
        <v>13.126609237725148</v>
      </c>
      <c r="Q405">
        <f t="shared" si="138"/>
        <v>0</v>
      </c>
      <c r="R405" s="6">
        <f t="shared" si="150"/>
        <v>156.03121593275804</v>
      </c>
      <c r="S405">
        <f t="shared" si="139"/>
        <v>0.93618729559654834</v>
      </c>
      <c r="T405">
        <f t="shared" si="140"/>
        <v>0</v>
      </c>
      <c r="U405" s="6">
        <f t="shared" si="151"/>
        <v>1.294581998146139E-26</v>
      </c>
      <c r="V405">
        <f t="shared" si="141"/>
        <v>1.9418729972192086E-27</v>
      </c>
      <c r="W405">
        <f t="shared" si="142"/>
        <v>0</v>
      </c>
      <c r="X405">
        <f t="shared" si="134"/>
        <v>262688.2159704357</v>
      </c>
      <c r="Y405" s="6">
        <f t="shared" si="143"/>
        <v>29170.242750500278</v>
      </c>
      <c r="Z405" s="6">
        <f t="shared" si="144"/>
        <v>17.33680177030643</v>
      </c>
      <c r="AA405" s="6">
        <f t="shared" si="145"/>
        <v>1.438424442384601E-27</v>
      </c>
      <c r="AB405">
        <f t="shared" si="146"/>
        <v>0</v>
      </c>
      <c r="AD405" s="6">
        <f t="shared" si="135"/>
        <v>110651.41976548727</v>
      </c>
      <c r="AG405">
        <f t="shared" si="147"/>
        <v>80756.215651163351</v>
      </c>
      <c r="AH405">
        <f t="shared" si="148"/>
        <v>707.62456205332535</v>
      </c>
      <c r="AI405">
        <f t="shared" si="149"/>
        <v>3.4522186617230455E-25</v>
      </c>
      <c r="AL405">
        <f t="shared" si="136"/>
        <v>0.97291931840902113</v>
      </c>
      <c r="AM405">
        <f t="shared" si="152"/>
        <v>0.85116476742682512</v>
      </c>
      <c r="AO405">
        <v>403</v>
      </c>
      <c r="AP405">
        <v>0.97174422139595196</v>
      </c>
      <c r="AQ405">
        <v>0.83721023461850597</v>
      </c>
    </row>
    <row r="406" spans="14:43" x14ac:dyDescent="0.35">
      <c r="N406">
        <f t="shared" si="132"/>
        <v>404</v>
      </c>
      <c r="O406" s="6">
        <f t="shared" si="133"/>
        <v>262519.05814526521</v>
      </c>
      <c r="P406">
        <f t="shared" si="137"/>
        <v>13.125952907263262</v>
      </c>
      <c r="Q406">
        <f t="shared" si="138"/>
        <v>0</v>
      </c>
      <c r="R406" s="6">
        <f t="shared" si="150"/>
        <v>155.09502863716151</v>
      </c>
      <c r="S406">
        <f t="shared" si="139"/>
        <v>0.93057017182296908</v>
      </c>
      <c r="T406">
        <f t="shared" si="140"/>
        <v>0</v>
      </c>
      <c r="U406" s="6">
        <f t="shared" si="151"/>
        <v>1.1003946984242181E-26</v>
      </c>
      <c r="V406">
        <f t="shared" si="141"/>
        <v>1.650592047636327E-27</v>
      </c>
      <c r="W406">
        <f t="shared" si="142"/>
        <v>0</v>
      </c>
      <c r="X406">
        <f t="shared" si="134"/>
        <v>262674.15317390236</v>
      </c>
      <c r="Y406" s="6">
        <f t="shared" si="143"/>
        <v>29168.784238362754</v>
      </c>
      <c r="Z406" s="6">
        <f t="shared" si="144"/>
        <v>17.23278095968459</v>
      </c>
      <c r="AA406" s="6">
        <f t="shared" si="145"/>
        <v>1.2226607760269108E-27</v>
      </c>
      <c r="AB406">
        <f t="shared" si="146"/>
        <v>0</v>
      </c>
      <c r="AD406" s="6">
        <f t="shared" si="135"/>
        <v>110641.57367438426</v>
      </c>
      <c r="AG406">
        <f t="shared" si="147"/>
        <v>80752.177840380798</v>
      </c>
      <c r="AH406">
        <f t="shared" si="148"/>
        <v>703.37881468100545</v>
      </c>
      <c r="AI406">
        <f t="shared" si="149"/>
        <v>2.9343858624645888E-25</v>
      </c>
      <c r="AL406">
        <f t="shared" si="136"/>
        <v>0.97286723397741615</v>
      </c>
      <c r="AM406">
        <f t="shared" si="152"/>
        <v>0.85108902826449429</v>
      </c>
      <c r="AO406">
        <v>404</v>
      </c>
      <c r="AP406">
        <v>0.97170079208383797</v>
      </c>
      <c r="AQ406">
        <v>0.83712003527796297</v>
      </c>
    </row>
    <row r="407" spans="14:43" x14ac:dyDescent="0.35">
      <c r="N407">
        <f t="shared" si="132"/>
        <v>405</v>
      </c>
      <c r="O407" s="6">
        <f t="shared" si="133"/>
        <v>262505.93219235796</v>
      </c>
      <c r="P407">
        <f t="shared" si="137"/>
        <v>13.125296609617898</v>
      </c>
      <c r="Q407">
        <f t="shared" si="138"/>
        <v>0</v>
      </c>
      <c r="R407" s="6">
        <f t="shared" si="150"/>
        <v>154.16445846533853</v>
      </c>
      <c r="S407">
        <f t="shared" si="139"/>
        <v>0.92498675079203119</v>
      </c>
      <c r="T407">
        <f t="shared" si="140"/>
        <v>0</v>
      </c>
      <c r="U407" s="6">
        <f t="shared" si="151"/>
        <v>9.3533549366058538E-27</v>
      </c>
      <c r="V407">
        <f t="shared" si="141"/>
        <v>1.403003240490878E-27</v>
      </c>
      <c r="W407">
        <f t="shared" si="142"/>
        <v>0</v>
      </c>
      <c r="X407">
        <f t="shared" si="134"/>
        <v>262660.09665082331</v>
      </c>
      <c r="Y407" s="6">
        <f t="shared" si="143"/>
        <v>29167.325799150836</v>
      </c>
      <c r="Z407" s="6">
        <f t="shared" si="144"/>
        <v>17.129384273926483</v>
      </c>
      <c r="AA407" s="6">
        <f t="shared" si="145"/>
        <v>1.0392616596228741E-27</v>
      </c>
      <c r="AB407">
        <f t="shared" si="146"/>
        <v>0</v>
      </c>
      <c r="AD407" s="6">
        <f t="shared" si="135"/>
        <v>110631.75395670647</v>
      </c>
      <c r="AG407">
        <f t="shared" si="147"/>
        <v>80748.140231488782</v>
      </c>
      <c r="AH407">
        <f t="shared" si="148"/>
        <v>699.15854179291944</v>
      </c>
      <c r="AI407">
        <f t="shared" si="149"/>
        <v>2.4942279830949006E-25</v>
      </c>
      <c r="AL407">
        <f t="shared" si="136"/>
        <v>0.97281517278082708</v>
      </c>
      <c r="AM407">
        <f t="shared" si="152"/>
        <v>0.85101349197466514</v>
      </c>
      <c r="AO407">
        <v>405</v>
      </c>
      <c r="AP407">
        <v>0.97162395560856296</v>
      </c>
      <c r="AQ407">
        <v>0.83702983593742097</v>
      </c>
    </row>
    <row r="408" spans="14:43" x14ac:dyDescent="0.35">
      <c r="N408">
        <f t="shared" si="132"/>
        <v>406</v>
      </c>
      <c r="O408" s="6">
        <f t="shared" si="133"/>
        <v>262492.80689574836</v>
      </c>
      <c r="P408">
        <f t="shared" si="137"/>
        <v>13.124640344787419</v>
      </c>
      <c r="Q408">
        <f t="shared" si="138"/>
        <v>0</v>
      </c>
      <c r="R408" s="6">
        <f t="shared" si="150"/>
        <v>153.23947171454648</v>
      </c>
      <c r="S408">
        <f t="shared" si="139"/>
        <v>0.91943683028727896</v>
      </c>
      <c r="T408">
        <f t="shared" si="140"/>
        <v>0</v>
      </c>
      <c r="U408" s="6">
        <f t="shared" si="151"/>
        <v>7.9503516961149764E-27</v>
      </c>
      <c r="V408">
        <f t="shared" si="141"/>
        <v>1.1925527544172464E-27</v>
      </c>
      <c r="W408">
        <f t="shared" si="142"/>
        <v>0</v>
      </c>
      <c r="X408">
        <f t="shared" si="134"/>
        <v>262646.0463674629</v>
      </c>
      <c r="Y408" s="6">
        <f t="shared" si="143"/>
        <v>29165.867432860879</v>
      </c>
      <c r="Z408" s="6">
        <f t="shared" si="144"/>
        <v>17.026607968282924</v>
      </c>
      <c r="AA408" s="6">
        <f t="shared" si="145"/>
        <v>8.833724106794429E-28</v>
      </c>
      <c r="AB408">
        <f t="shared" si="146"/>
        <v>0</v>
      </c>
      <c r="AD408" s="6">
        <f t="shared" si="135"/>
        <v>110621.96045584853</v>
      </c>
      <c r="AG408">
        <f t="shared" si="147"/>
        <v>80744.102824477202</v>
      </c>
      <c r="AH408">
        <f t="shared" si="148"/>
        <v>694.96359054216191</v>
      </c>
      <c r="AI408">
        <f t="shared" si="149"/>
        <v>2.1200937856306657E-25</v>
      </c>
      <c r="AL408">
        <f t="shared" si="136"/>
        <v>0.97276313469430709</v>
      </c>
      <c r="AM408">
        <f t="shared" si="152"/>
        <v>0.85093815735268097</v>
      </c>
      <c r="AO408">
        <v>406</v>
      </c>
      <c r="AP408">
        <v>0.97156048199855005</v>
      </c>
      <c r="AQ408">
        <v>0.83691959229898005</v>
      </c>
    </row>
    <row r="409" spans="14:43" x14ac:dyDescent="0.35">
      <c r="N409">
        <f t="shared" si="132"/>
        <v>407</v>
      </c>
      <c r="O409" s="6">
        <f t="shared" si="133"/>
        <v>262479.6822554036</v>
      </c>
      <c r="P409">
        <f t="shared" si="137"/>
        <v>13.123984112770181</v>
      </c>
      <c r="Q409">
        <f t="shared" si="138"/>
        <v>0</v>
      </c>
      <c r="R409" s="6">
        <f t="shared" si="150"/>
        <v>152.3200348842592</v>
      </c>
      <c r="S409">
        <f t="shared" si="139"/>
        <v>0.91392020930555518</v>
      </c>
      <c r="T409">
        <f t="shared" si="140"/>
        <v>0</v>
      </c>
      <c r="U409" s="6">
        <f t="shared" si="151"/>
        <v>6.7577989416977306E-27</v>
      </c>
      <c r="V409">
        <f t="shared" si="141"/>
        <v>1.0136698412546596E-27</v>
      </c>
      <c r="W409">
        <f t="shared" si="142"/>
        <v>0</v>
      </c>
      <c r="X409">
        <f t="shared" si="134"/>
        <v>262632.00229028787</v>
      </c>
      <c r="Y409" s="6">
        <f t="shared" si="143"/>
        <v>29164.409139489235</v>
      </c>
      <c r="Z409" s="6">
        <f t="shared" si="144"/>
        <v>16.924448320473228</v>
      </c>
      <c r="AA409" s="6">
        <f t="shared" si="145"/>
        <v>7.5086654907752652E-28</v>
      </c>
      <c r="AB409">
        <f t="shared" si="146"/>
        <v>0</v>
      </c>
      <c r="AD409" s="6">
        <f t="shared" si="135"/>
        <v>110612.19301614459</v>
      </c>
      <c r="AG409">
        <f t="shared" si="147"/>
        <v>80740.065619335975</v>
      </c>
      <c r="AH409">
        <f t="shared" si="148"/>
        <v>690.79380899890896</v>
      </c>
      <c r="AI409">
        <f t="shared" si="149"/>
        <v>1.8020797177860659E-25</v>
      </c>
      <c r="AL409">
        <f t="shared" si="136"/>
        <v>0.97271111959365875</v>
      </c>
      <c r="AM409">
        <f t="shared" si="152"/>
        <v>0.85086302320111229</v>
      </c>
      <c r="AO409">
        <v>407</v>
      </c>
      <c r="AP409">
        <v>0.97150034910485406</v>
      </c>
      <c r="AQ409">
        <v>0.83677928221369202</v>
      </c>
    </row>
    <row r="410" spans="14:43" x14ac:dyDescent="0.35">
      <c r="N410">
        <f t="shared" si="132"/>
        <v>408</v>
      </c>
      <c r="O410" s="6">
        <f t="shared" si="133"/>
        <v>262466.55827129085</v>
      </c>
      <c r="P410">
        <f t="shared" si="137"/>
        <v>13.123327913564543</v>
      </c>
      <c r="Q410">
        <f t="shared" si="138"/>
        <v>0</v>
      </c>
      <c r="R410" s="6">
        <f t="shared" si="150"/>
        <v>151.40611467495364</v>
      </c>
      <c r="S410">
        <f t="shared" si="139"/>
        <v>0.90843668804972189</v>
      </c>
      <c r="T410">
        <f t="shared" si="140"/>
        <v>0</v>
      </c>
      <c r="U410" s="6">
        <f t="shared" si="151"/>
        <v>5.7441291004430709E-27</v>
      </c>
      <c r="V410">
        <f t="shared" si="141"/>
        <v>8.6161936506646063E-28</v>
      </c>
      <c r="W410">
        <f t="shared" si="142"/>
        <v>0</v>
      </c>
      <c r="X410">
        <f t="shared" si="134"/>
        <v>262617.96438596578</v>
      </c>
      <c r="Y410" s="6">
        <f t="shared" si="143"/>
        <v>29162.950919032261</v>
      </c>
      <c r="Z410" s="6">
        <f t="shared" si="144"/>
        <v>16.82290163055039</v>
      </c>
      <c r="AA410" s="6">
        <f t="shared" si="145"/>
        <v>6.3823656671589755E-28</v>
      </c>
      <c r="AB410">
        <f t="shared" si="146"/>
        <v>0</v>
      </c>
      <c r="AD410" s="6">
        <f t="shared" si="135"/>
        <v>110602.45148286273</v>
      </c>
      <c r="AG410">
        <f t="shared" si="147"/>
        <v>80736.028616055002</v>
      </c>
      <c r="AH410">
        <f t="shared" si="148"/>
        <v>686.64904614491547</v>
      </c>
      <c r="AI410">
        <f t="shared" si="149"/>
        <v>1.5317677601181559E-25</v>
      </c>
      <c r="AL410">
        <f t="shared" si="136"/>
        <v>0.97265912735542881</v>
      </c>
      <c r="AM410">
        <f t="shared" si="152"/>
        <v>0.85078808832971331</v>
      </c>
      <c r="AO410">
        <v>408</v>
      </c>
      <c r="AP410">
        <v>0.97142351262957805</v>
      </c>
      <c r="AQ410">
        <v>0.83672917146894599</v>
      </c>
    </row>
    <row r="411" spans="14:43" x14ac:dyDescent="0.35">
      <c r="N411">
        <f t="shared" si="132"/>
        <v>409</v>
      </c>
      <c r="O411" s="6">
        <f t="shared" si="133"/>
        <v>262453.43494337727</v>
      </c>
      <c r="P411">
        <f t="shared" si="137"/>
        <v>13.122671747168864</v>
      </c>
      <c r="Q411">
        <f t="shared" si="138"/>
        <v>0</v>
      </c>
      <c r="R411" s="6">
        <f t="shared" si="150"/>
        <v>150.49767798690391</v>
      </c>
      <c r="S411">
        <f t="shared" si="139"/>
        <v>0.90298606792142344</v>
      </c>
      <c r="T411">
        <f t="shared" si="140"/>
        <v>0</v>
      </c>
      <c r="U411" s="6">
        <f t="shared" si="151"/>
        <v>4.8825097353766101E-27</v>
      </c>
      <c r="V411">
        <f t="shared" si="141"/>
        <v>7.3237646030649151E-28</v>
      </c>
      <c r="W411">
        <f t="shared" si="142"/>
        <v>0</v>
      </c>
      <c r="X411">
        <f t="shared" si="134"/>
        <v>262603.93262136419</v>
      </c>
      <c r="Y411" s="6">
        <f t="shared" si="143"/>
        <v>29161.492771486308</v>
      </c>
      <c r="Z411" s="6">
        <f t="shared" si="144"/>
        <v>16.721964220767088</v>
      </c>
      <c r="AA411" s="6">
        <f t="shared" si="145"/>
        <v>5.4250108170851289E-28</v>
      </c>
      <c r="AB411">
        <f t="shared" si="146"/>
        <v>0</v>
      </c>
      <c r="AD411" s="6">
        <f t="shared" si="135"/>
        <v>110592.73570219932</v>
      </c>
      <c r="AG411">
        <f t="shared" si="147"/>
        <v>80731.991814624198</v>
      </c>
      <c r="AH411">
        <f t="shared" si="148"/>
        <v>682.52915186804603</v>
      </c>
      <c r="AI411">
        <f t="shared" si="149"/>
        <v>1.3020025961004327E-25</v>
      </c>
      <c r="AL411">
        <f t="shared" si="136"/>
        <v>0.97260715785690444</v>
      </c>
      <c r="AM411">
        <f t="shared" si="152"/>
        <v>0.85071335155537942</v>
      </c>
      <c r="AO411">
        <v>409</v>
      </c>
      <c r="AP411">
        <v>0.97132997257272002</v>
      </c>
      <c r="AQ411">
        <v>0.83662894997945403</v>
      </c>
    </row>
    <row r="412" spans="14:43" x14ac:dyDescent="0.35">
      <c r="N412">
        <f t="shared" si="132"/>
        <v>410</v>
      </c>
      <c r="O412" s="6">
        <f t="shared" si="133"/>
        <v>262440.3122716301</v>
      </c>
      <c r="P412">
        <f t="shared" si="137"/>
        <v>13.122015613581505</v>
      </c>
      <c r="Q412">
        <f t="shared" si="138"/>
        <v>0</v>
      </c>
      <c r="R412" s="6">
        <f t="shared" si="150"/>
        <v>149.59469191898248</v>
      </c>
      <c r="S412">
        <f t="shared" si="139"/>
        <v>0.89756815151389491</v>
      </c>
      <c r="T412">
        <f t="shared" si="140"/>
        <v>0</v>
      </c>
      <c r="U412" s="6">
        <f t="shared" si="151"/>
        <v>4.1501332750701184E-27</v>
      </c>
      <c r="V412">
        <f t="shared" si="141"/>
        <v>6.2251999126051772E-28</v>
      </c>
      <c r="W412">
        <f t="shared" si="142"/>
        <v>0</v>
      </c>
      <c r="X412">
        <f t="shared" si="134"/>
        <v>262589.90696354909</v>
      </c>
      <c r="Y412" s="6">
        <f t="shared" si="143"/>
        <v>29160.034696847735</v>
      </c>
      <c r="Z412" s="6">
        <f t="shared" si="144"/>
        <v>16.621632435442486</v>
      </c>
      <c r="AA412" s="6">
        <f t="shared" si="145"/>
        <v>4.6112591945223596E-28</v>
      </c>
      <c r="AB412">
        <f t="shared" si="146"/>
        <v>0</v>
      </c>
      <c r="AD412" s="6">
        <f t="shared" si="135"/>
        <v>110583.04552127347</v>
      </c>
      <c r="AG412">
        <f t="shared" si="147"/>
        <v>80727.955215033464</v>
      </c>
      <c r="AH412">
        <f t="shared" si="148"/>
        <v>678.4339769568378</v>
      </c>
      <c r="AI412">
        <f t="shared" si="149"/>
        <v>1.1067022066853677E-25</v>
      </c>
      <c r="AL412">
        <f t="shared" si="136"/>
        <v>0.97255521097610775</v>
      </c>
      <c r="AM412">
        <f t="shared" si="152"/>
        <v>0.85063881170210354</v>
      </c>
      <c r="AO412">
        <v>410</v>
      </c>
      <c r="AP412">
        <v>0.97121972893427799</v>
      </c>
      <c r="AQ412">
        <v>0.83653875063891203</v>
      </c>
    </row>
    <row r="413" spans="14:43" x14ac:dyDescent="0.35">
      <c r="N413">
        <f t="shared" si="132"/>
        <v>411</v>
      </c>
      <c r="O413" s="6">
        <f t="shared" si="133"/>
        <v>262427.1902560165</v>
      </c>
      <c r="P413">
        <f t="shared" si="137"/>
        <v>13.121359512800826</v>
      </c>
      <c r="Q413">
        <f t="shared" si="138"/>
        <v>0</v>
      </c>
      <c r="R413" s="6">
        <f t="shared" si="150"/>
        <v>148.69712376746858</v>
      </c>
      <c r="S413">
        <f t="shared" si="139"/>
        <v>0.89218274260481156</v>
      </c>
      <c r="T413">
        <f t="shared" si="140"/>
        <v>0</v>
      </c>
      <c r="U413" s="6">
        <f t="shared" si="151"/>
        <v>3.5276132838096005E-27</v>
      </c>
      <c r="V413">
        <f t="shared" si="141"/>
        <v>5.2914199257144003E-28</v>
      </c>
      <c r="W413">
        <f t="shared" si="142"/>
        <v>0</v>
      </c>
      <c r="X413">
        <f t="shared" si="134"/>
        <v>262575.88737978396</v>
      </c>
      <c r="Y413" s="6">
        <f t="shared" si="143"/>
        <v>29158.576695112894</v>
      </c>
      <c r="Z413" s="6">
        <f t="shared" si="144"/>
        <v>16.521902640829829</v>
      </c>
      <c r="AA413" s="6">
        <f t="shared" si="145"/>
        <v>3.9195703153440059E-28</v>
      </c>
      <c r="AB413">
        <f t="shared" si="146"/>
        <v>0</v>
      </c>
      <c r="AD413" s="6">
        <f t="shared" si="135"/>
        <v>110573.38078812153</v>
      </c>
      <c r="AG413">
        <f t="shared" si="147"/>
        <v>80723.918817272715</v>
      </c>
      <c r="AH413">
        <f t="shared" si="148"/>
        <v>674.36337309509679</v>
      </c>
      <c r="AI413">
        <f t="shared" si="149"/>
        <v>9.4069687568256254E-26</v>
      </c>
      <c r="AL413">
        <f t="shared" si="136"/>
        <v>0.97250328659179242</v>
      </c>
      <c r="AM413">
        <f t="shared" si="152"/>
        <v>0.85056446760093485</v>
      </c>
      <c r="AO413">
        <v>411</v>
      </c>
      <c r="AP413">
        <v>0.97115291460795095</v>
      </c>
      <c r="AQ413">
        <v>0.83647861774521703</v>
      </c>
    </row>
    <row r="414" spans="14:43" x14ac:dyDescent="0.35">
      <c r="N414">
        <f t="shared" si="132"/>
        <v>412</v>
      </c>
      <c r="O414" s="6">
        <f t="shared" si="133"/>
        <v>262414.06889650371</v>
      </c>
      <c r="P414">
        <f t="shared" si="137"/>
        <v>13.120703444825185</v>
      </c>
      <c r="Q414">
        <f t="shared" si="138"/>
        <v>0</v>
      </c>
      <c r="R414" s="6">
        <f t="shared" si="150"/>
        <v>147.80494102486378</v>
      </c>
      <c r="S414">
        <f t="shared" si="139"/>
        <v>0.88682964614918269</v>
      </c>
      <c r="T414">
        <f t="shared" si="140"/>
        <v>0</v>
      </c>
      <c r="U414" s="6">
        <f t="shared" si="151"/>
        <v>2.9984712912381606E-27</v>
      </c>
      <c r="V414">
        <f t="shared" si="141"/>
        <v>4.4977069368572404E-28</v>
      </c>
      <c r="W414">
        <f t="shared" si="142"/>
        <v>0</v>
      </c>
      <c r="X414">
        <f t="shared" si="134"/>
        <v>262561.87383752858</v>
      </c>
      <c r="Y414" s="6">
        <f t="shared" si="143"/>
        <v>29157.118766278138</v>
      </c>
      <c r="Z414" s="6">
        <f t="shared" si="144"/>
        <v>16.422771224984849</v>
      </c>
      <c r="AA414" s="6">
        <f t="shared" si="145"/>
        <v>3.331634768042405E-28</v>
      </c>
      <c r="AB414">
        <f t="shared" si="146"/>
        <v>0</v>
      </c>
      <c r="AD414" s="6">
        <f t="shared" si="135"/>
        <v>110563.7413516915</v>
      </c>
      <c r="AG414">
        <f t="shared" si="147"/>
        <v>80719.882621331853</v>
      </c>
      <c r="AH414">
        <f t="shared" si="148"/>
        <v>670.31719285652616</v>
      </c>
      <c r="AI414">
        <f t="shared" si="149"/>
        <v>7.9959234433017823E-26</v>
      </c>
      <c r="AL414">
        <f t="shared" si="136"/>
        <v>0.97245138458343916</v>
      </c>
      <c r="AM414">
        <f t="shared" si="152"/>
        <v>0.85049031808993458</v>
      </c>
      <c r="AO414">
        <v>412</v>
      </c>
      <c r="AP414">
        <v>0.97107607813267405</v>
      </c>
      <c r="AQ414">
        <v>0.836338307659929</v>
      </c>
    </row>
    <row r="415" spans="14:43" x14ac:dyDescent="0.35">
      <c r="N415">
        <f t="shared" si="132"/>
        <v>413</v>
      </c>
      <c r="O415" s="6">
        <f t="shared" si="133"/>
        <v>262400.9481930589</v>
      </c>
      <c r="P415">
        <f t="shared" si="137"/>
        <v>13.120047409652946</v>
      </c>
      <c r="Q415">
        <f t="shared" si="138"/>
        <v>0</v>
      </c>
      <c r="R415" s="6">
        <f t="shared" si="150"/>
        <v>146.9181113787146</v>
      </c>
      <c r="S415">
        <f t="shared" si="139"/>
        <v>0.88150866827228758</v>
      </c>
      <c r="T415">
        <f t="shared" si="140"/>
        <v>0</v>
      </c>
      <c r="U415" s="6">
        <f t="shared" si="151"/>
        <v>2.5487005975524367E-27</v>
      </c>
      <c r="V415">
        <f t="shared" si="141"/>
        <v>3.8230508963286546E-28</v>
      </c>
      <c r="W415">
        <f t="shared" si="142"/>
        <v>0</v>
      </c>
      <c r="X415">
        <f t="shared" si="134"/>
        <v>262547.86630443763</v>
      </c>
      <c r="Y415" s="6">
        <f t="shared" si="143"/>
        <v>29155.660910339822</v>
      </c>
      <c r="Z415" s="6">
        <f t="shared" si="144"/>
        <v>16.324234597634941</v>
      </c>
      <c r="AA415" s="6">
        <f t="shared" si="145"/>
        <v>2.8318895528360444E-28</v>
      </c>
      <c r="AB415">
        <f t="shared" si="146"/>
        <v>0</v>
      </c>
      <c r="AD415" s="6">
        <f t="shared" si="135"/>
        <v>110554.12706183763</v>
      </c>
      <c r="AG415">
        <f t="shared" si="147"/>
        <v>80715.846627200794</v>
      </c>
      <c r="AH415">
        <f t="shared" si="148"/>
        <v>666.29528969938701</v>
      </c>
      <c r="AI415">
        <f t="shared" si="149"/>
        <v>6.7965349268065146E-26</v>
      </c>
      <c r="AL415">
        <f t="shared" si="136"/>
        <v>0.97239950483125048</v>
      </c>
      <c r="AM415">
        <f t="shared" si="152"/>
        <v>0.85041636201413562</v>
      </c>
      <c r="AO415">
        <v>413</v>
      </c>
      <c r="AP415">
        <v>0.97099924165739704</v>
      </c>
      <c r="AQ415">
        <v>0.83625813046833497</v>
      </c>
    </row>
    <row r="416" spans="14:43" x14ac:dyDescent="0.35">
      <c r="N416">
        <f t="shared" si="132"/>
        <v>414</v>
      </c>
      <c r="O416" s="6">
        <f t="shared" si="133"/>
        <v>262387.82814564923</v>
      </c>
      <c r="P416">
        <f t="shared" si="137"/>
        <v>13.119391407282462</v>
      </c>
      <c r="Q416">
        <f t="shared" si="138"/>
        <v>0</v>
      </c>
      <c r="R416" s="6">
        <f t="shared" si="150"/>
        <v>146.03660271044231</v>
      </c>
      <c r="S416">
        <f t="shared" si="139"/>
        <v>0.87621961626265388</v>
      </c>
      <c r="T416">
        <f t="shared" si="140"/>
        <v>0</v>
      </c>
      <c r="U416" s="6">
        <f t="shared" si="151"/>
        <v>2.1663955079195712E-27</v>
      </c>
      <c r="V416">
        <f t="shared" si="141"/>
        <v>3.2495932618793567E-28</v>
      </c>
      <c r="W416">
        <f t="shared" si="142"/>
        <v>0</v>
      </c>
      <c r="X416">
        <f t="shared" si="134"/>
        <v>262533.86474835966</v>
      </c>
      <c r="Y416" s="6">
        <f t="shared" si="143"/>
        <v>29154.203127294306</v>
      </c>
      <c r="Z416" s="6">
        <f t="shared" si="144"/>
        <v>16.226289190049133</v>
      </c>
      <c r="AA416" s="6">
        <f t="shared" si="145"/>
        <v>2.4071061199106376E-28</v>
      </c>
      <c r="AB416">
        <f t="shared" si="146"/>
        <v>0</v>
      </c>
      <c r="AD416" s="6">
        <f t="shared" si="135"/>
        <v>110544.53776931499</v>
      </c>
      <c r="AG416">
        <f t="shared" si="147"/>
        <v>80711.810834869437</v>
      </c>
      <c r="AH416">
        <f t="shared" si="148"/>
        <v>662.29751796119069</v>
      </c>
      <c r="AI416">
        <f t="shared" si="149"/>
        <v>5.7770546877855379E-26</v>
      </c>
      <c r="AL416">
        <f t="shared" si="136"/>
        <v>0.97234764721614686</v>
      </c>
      <c r="AM416">
        <f t="shared" si="152"/>
        <v>0.85034259822549996</v>
      </c>
      <c r="AO416">
        <v>414</v>
      </c>
      <c r="AP416">
        <v>0.97092240518211903</v>
      </c>
      <c r="AQ416">
        <v>0.83615790897884301</v>
      </c>
    </row>
    <row r="417" spans="14:43" x14ac:dyDescent="0.35">
      <c r="N417">
        <f t="shared" si="132"/>
        <v>415</v>
      </c>
      <c r="O417" s="6">
        <f t="shared" si="133"/>
        <v>262374.70875424193</v>
      </c>
      <c r="P417">
        <f t="shared" si="137"/>
        <v>13.118735437712097</v>
      </c>
      <c r="Q417">
        <f t="shared" si="138"/>
        <v>0</v>
      </c>
      <c r="R417" s="6">
        <f t="shared" si="150"/>
        <v>145.16038309417965</v>
      </c>
      <c r="S417">
        <f t="shared" si="139"/>
        <v>0.8709622985650779</v>
      </c>
      <c r="T417">
        <f t="shared" si="140"/>
        <v>0</v>
      </c>
      <c r="U417" s="6">
        <f t="shared" si="151"/>
        <v>1.8414361817316356E-27</v>
      </c>
      <c r="V417">
        <f t="shared" si="141"/>
        <v>2.7621542725974532E-28</v>
      </c>
      <c r="W417">
        <f t="shared" si="142"/>
        <v>0</v>
      </c>
      <c r="X417">
        <f t="shared" si="134"/>
        <v>262519.86913733609</v>
      </c>
      <c r="Y417" s="6">
        <f t="shared" si="143"/>
        <v>29152.74541713794</v>
      </c>
      <c r="Z417" s="6">
        <f t="shared" si="144"/>
        <v>16.128931454908837</v>
      </c>
      <c r="AA417" s="6">
        <f t="shared" si="145"/>
        <v>2.0460402019240422E-28</v>
      </c>
      <c r="AB417">
        <f t="shared" si="146"/>
        <v>0</v>
      </c>
      <c r="AD417" s="6">
        <f t="shared" si="135"/>
        <v>110534.97332577399</v>
      </c>
      <c r="AG417">
        <f t="shared" si="147"/>
        <v>80707.775244327699</v>
      </c>
      <c r="AH417">
        <f t="shared" si="148"/>
        <v>658.32373285342351</v>
      </c>
      <c r="AI417">
        <f t="shared" si="149"/>
        <v>4.9104964846177073E-26</v>
      </c>
      <c r="AL417">
        <f t="shared" si="136"/>
        <v>0.97229581161976331</v>
      </c>
      <c r="AM417">
        <f t="shared" si="152"/>
        <v>0.85026902558287687</v>
      </c>
      <c r="AO417">
        <v>415</v>
      </c>
      <c r="AP417">
        <v>0.97085559085579098</v>
      </c>
      <c r="AQ417">
        <v>0.83602762104250405</v>
      </c>
    </row>
    <row r="418" spans="14:43" x14ac:dyDescent="0.35">
      <c r="N418">
        <f t="shared" si="132"/>
        <v>416</v>
      </c>
      <c r="O418" s="6">
        <f t="shared" si="133"/>
        <v>262361.59001880424</v>
      </c>
      <c r="P418">
        <f t="shared" si="137"/>
        <v>13.118079500940214</v>
      </c>
      <c r="Q418">
        <f t="shared" si="138"/>
        <v>0</v>
      </c>
      <c r="R418" s="6">
        <f t="shared" si="150"/>
        <v>144.28942079561457</v>
      </c>
      <c r="S418">
        <f t="shared" si="139"/>
        <v>0.86573652477368745</v>
      </c>
      <c r="T418">
        <f t="shared" si="140"/>
        <v>0</v>
      </c>
      <c r="U418" s="6">
        <f t="shared" si="151"/>
        <v>1.5652207544718903E-27</v>
      </c>
      <c r="V418">
        <f t="shared" si="141"/>
        <v>2.3478311317078354E-28</v>
      </c>
      <c r="W418">
        <f t="shared" si="142"/>
        <v>0</v>
      </c>
      <c r="X418">
        <f t="shared" si="134"/>
        <v>262505.87943959987</v>
      </c>
      <c r="Y418" s="6">
        <f t="shared" si="143"/>
        <v>29151.287779867082</v>
      </c>
      <c r="Z418" s="6">
        <f t="shared" si="144"/>
        <v>16.032157866179386</v>
      </c>
      <c r="AA418" s="6">
        <f t="shared" si="145"/>
        <v>1.7391341716354359E-28</v>
      </c>
      <c r="AB418">
        <f t="shared" si="146"/>
        <v>0</v>
      </c>
      <c r="AD418" s="6">
        <f t="shared" si="135"/>
        <v>110525.43358375505</v>
      </c>
      <c r="AG418">
        <f t="shared" si="147"/>
        <v>80703.73985556548</v>
      </c>
      <c r="AH418">
        <f t="shared" si="148"/>
        <v>654.37379045630291</v>
      </c>
      <c r="AI418">
        <f t="shared" si="149"/>
        <v>4.1739220119250511E-26</v>
      </c>
      <c r="AL418">
        <f t="shared" si="136"/>
        <v>0.97224399792444394</v>
      </c>
      <c r="AM418">
        <f t="shared" si="152"/>
        <v>0.85019564295196193</v>
      </c>
      <c r="AO418">
        <v>416</v>
      </c>
      <c r="AP418">
        <v>0.97075536936629903</v>
      </c>
      <c r="AQ418">
        <v>0.83595746599985898</v>
      </c>
    </row>
    <row r="419" spans="14:43" x14ac:dyDescent="0.35">
      <c r="N419">
        <f t="shared" si="132"/>
        <v>417</v>
      </c>
      <c r="O419" s="6">
        <f t="shared" si="133"/>
        <v>262348.47193930333</v>
      </c>
      <c r="P419">
        <f t="shared" si="137"/>
        <v>13.117423596965168</v>
      </c>
      <c r="Q419">
        <f t="shared" si="138"/>
        <v>0</v>
      </c>
      <c r="R419" s="6">
        <f t="shared" si="150"/>
        <v>143.42368427084088</v>
      </c>
      <c r="S419">
        <f t="shared" si="139"/>
        <v>0.86054210562504529</v>
      </c>
      <c r="T419">
        <f t="shared" si="140"/>
        <v>0</v>
      </c>
      <c r="U419" s="6">
        <f t="shared" si="151"/>
        <v>1.3304376413011068E-27</v>
      </c>
      <c r="V419">
        <f t="shared" si="141"/>
        <v>1.9956564619516601E-28</v>
      </c>
      <c r="W419">
        <f t="shared" si="142"/>
        <v>0</v>
      </c>
      <c r="X419">
        <f t="shared" si="134"/>
        <v>262491.89562357415</v>
      </c>
      <c r="Y419" s="6">
        <f t="shared" si="143"/>
        <v>29149.830215478087</v>
      </c>
      <c r="Z419" s="6">
        <f t="shared" si="144"/>
        <v>15.935964918982309</v>
      </c>
      <c r="AA419" s="6">
        <f t="shared" si="145"/>
        <v>1.4782640458901206E-28</v>
      </c>
      <c r="AB419">
        <f t="shared" si="146"/>
        <v>0</v>
      </c>
      <c r="AD419" s="6">
        <f t="shared" si="135"/>
        <v>110515.91839668334</v>
      </c>
      <c r="AG419">
        <f t="shared" si="147"/>
        <v>80699.704668572696</v>
      </c>
      <c r="AH419">
        <f t="shared" si="148"/>
        <v>650.44754771356509</v>
      </c>
      <c r="AI419">
        <f t="shared" si="149"/>
        <v>3.5478337101362935E-26</v>
      </c>
      <c r="AL419">
        <f t="shared" si="136"/>
        <v>0.97219220601323764</v>
      </c>
      <c r="AM419">
        <f t="shared" si="152"/>
        <v>0.85012244920525648</v>
      </c>
      <c r="AO419">
        <v>417</v>
      </c>
      <c r="AP419">
        <v>0.97068187360734004</v>
      </c>
      <c r="AQ419">
        <v>0.83588731095721502</v>
      </c>
    </row>
    <row r="420" spans="14:43" x14ac:dyDescent="0.35">
      <c r="N420">
        <f t="shared" si="132"/>
        <v>418</v>
      </c>
      <c r="O420" s="6">
        <f t="shared" si="133"/>
        <v>262335.35451570636</v>
      </c>
      <c r="P420">
        <f t="shared" si="137"/>
        <v>13.116767725785319</v>
      </c>
      <c r="Q420">
        <f t="shared" si="138"/>
        <v>0</v>
      </c>
      <c r="R420" s="6">
        <f t="shared" si="150"/>
        <v>142.56314216521582</v>
      </c>
      <c r="S420">
        <f t="shared" si="139"/>
        <v>0.8553788529912949</v>
      </c>
      <c r="T420">
        <f t="shared" si="140"/>
        <v>0</v>
      </c>
      <c r="U420" s="6">
        <f t="shared" si="151"/>
        <v>1.1308719951059408E-27</v>
      </c>
      <c r="V420">
        <f t="shared" si="141"/>
        <v>1.6963079926589113E-28</v>
      </c>
      <c r="W420">
        <f t="shared" si="142"/>
        <v>0</v>
      </c>
      <c r="X420">
        <f t="shared" si="134"/>
        <v>262477.91765787156</v>
      </c>
      <c r="Y420" s="6">
        <f t="shared" si="143"/>
        <v>29148.372723967314</v>
      </c>
      <c r="Z420" s="6">
        <f t="shared" si="144"/>
        <v>15.840349129468414</v>
      </c>
      <c r="AA420" s="6">
        <f t="shared" si="145"/>
        <v>1.2565244390066025E-28</v>
      </c>
      <c r="AB420">
        <f t="shared" si="146"/>
        <v>0</v>
      </c>
      <c r="AD420" s="6">
        <f t="shared" si="135"/>
        <v>110506.42761886332</v>
      </c>
      <c r="AG420">
        <f t="shared" si="147"/>
        <v>80695.669683339263</v>
      </c>
      <c r="AH420">
        <f t="shared" si="148"/>
        <v>646.54486242728365</v>
      </c>
      <c r="AI420">
        <f t="shared" si="149"/>
        <v>3.0156586536158494E-26</v>
      </c>
      <c r="AL420">
        <f t="shared" si="136"/>
        <v>0.97214043576989462</v>
      </c>
      <c r="AM420">
        <f t="shared" si="152"/>
        <v>0.85004944322202558</v>
      </c>
      <c r="AO420">
        <v>418</v>
      </c>
      <c r="AP420">
        <v>0.97059167426679605</v>
      </c>
      <c r="AQ420">
        <v>0.83581715591456995</v>
      </c>
    </row>
    <row r="421" spans="14:43" x14ac:dyDescent="0.35">
      <c r="N421">
        <f t="shared" ref="N421:N484" si="153">N420+1</f>
        <v>419</v>
      </c>
      <c r="O421" s="6">
        <f t="shared" si="133"/>
        <v>262322.23774798057</v>
      </c>
      <c r="P421">
        <f t="shared" si="137"/>
        <v>13.116111887399029</v>
      </c>
      <c r="Q421">
        <f t="shared" si="138"/>
        <v>0</v>
      </c>
      <c r="R421" s="6">
        <f t="shared" si="150"/>
        <v>141.70776331222453</v>
      </c>
      <c r="S421">
        <f t="shared" si="139"/>
        <v>0.85024657987334717</v>
      </c>
      <c r="T421">
        <f t="shared" si="140"/>
        <v>0</v>
      </c>
      <c r="U421" s="6">
        <f t="shared" si="151"/>
        <v>9.6124119584004976E-28</v>
      </c>
      <c r="V421">
        <f t="shared" si="141"/>
        <v>1.4418617937600746E-28</v>
      </c>
      <c r="W421">
        <f t="shared" si="142"/>
        <v>0</v>
      </c>
      <c r="X421">
        <f t="shared" si="134"/>
        <v>262463.94551129278</v>
      </c>
      <c r="Y421" s="6">
        <f t="shared" si="143"/>
        <v>29146.915305331117</v>
      </c>
      <c r="Z421" s="6">
        <f t="shared" si="144"/>
        <v>15.745307034691605</v>
      </c>
      <c r="AA421" s="6">
        <f t="shared" si="145"/>
        <v>1.0680457731556122E-28</v>
      </c>
      <c r="AB421">
        <f t="shared" si="146"/>
        <v>0</v>
      </c>
      <c r="AD421" s="6">
        <f t="shared" si="135"/>
        <v>110496.96110547363</v>
      </c>
      <c r="AG421">
        <f t="shared" si="147"/>
        <v>80691.634899855097</v>
      </c>
      <c r="AH421">
        <f t="shared" si="148"/>
        <v>642.66559325271999</v>
      </c>
      <c r="AI421">
        <f t="shared" si="149"/>
        <v>2.5633098555734719E-26</v>
      </c>
      <c r="AL421">
        <f t="shared" si="136"/>
        <v>0.9720886870788622</v>
      </c>
      <c r="AM421">
        <f t="shared" si="152"/>
        <v>0.84997662388825868</v>
      </c>
      <c r="AO421">
        <v>419</v>
      </c>
      <c r="AP421">
        <v>0.97051149707520401</v>
      </c>
      <c r="AQ421">
        <v>0.83566682368033396</v>
      </c>
    </row>
    <row r="422" spans="14:43" x14ac:dyDescent="0.35">
      <c r="N422">
        <f t="shared" si="153"/>
        <v>420</v>
      </c>
      <c r="O422" s="6">
        <f t="shared" si="133"/>
        <v>262309.12163609319</v>
      </c>
      <c r="P422">
        <f t="shared" si="137"/>
        <v>13.115456081804661</v>
      </c>
      <c r="Q422">
        <f t="shared" si="138"/>
        <v>0</v>
      </c>
      <c r="R422" s="6">
        <f t="shared" si="150"/>
        <v>140.85751673235117</v>
      </c>
      <c r="S422">
        <f t="shared" si="139"/>
        <v>0.84514510039410706</v>
      </c>
      <c r="T422">
        <f t="shared" si="140"/>
        <v>0</v>
      </c>
      <c r="U422" s="6">
        <f t="shared" si="151"/>
        <v>8.1705501646404236E-28</v>
      </c>
      <c r="V422">
        <f t="shared" si="141"/>
        <v>1.2255825246960634E-28</v>
      </c>
      <c r="W422">
        <f t="shared" si="142"/>
        <v>0</v>
      </c>
      <c r="X422">
        <f t="shared" si="134"/>
        <v>262449.97915282554</v>
      </c>
      <c r="Y422" s="6">
        <f t="shared" si="143"/>
        <v>29145.457959565851</v>
      </c>
      <c r="Z422" s="6">
        <f t="shared" si="144"/>
        <v>15.650835192483456</v>
      </c>
      <c r="AA422" s="6">
        <f t="shared" si="145"/>
        <v>9.078389071822703E-29</v>
      </c>
      <c r="AB422">
        <f t="shared" si="146"/>
        <v>0</v>
      </c>
      <c r="AD422" s="6">
        <f t="shared" si="135"/>
        <v>110487.51871256164</v>
      </c>
      <c r="AG422">
        <f t="shared" si="147"/>
        <v>80687.600318110097</v>
      </c>
      <c r="AH422">
        <f t="shared" si="148"/>
        <v>638.80959969320372</v>
      </c>
      <c r="AI422">
        <f t="shared" si="149"/>
        <v>2.1788133772374512E-26</v>
      </c>
      <c r="AL422">
        <f t="shared" si="136"/>
        <v>0.97203695982527982</v>
      </c>
      <c r="AM422">
        <f t="shared" si="152"/>
        <v>0.84990399009662798</v>
      </c>
      <c r="AO422">
        <v>420</v>
      </c>
      <c r="AP422">
        <v>0.970434660599926</v>
      </c>
      <c r="AQ422">
        <v>0.83558664648873904</v>
      </c>
    </row>
    <row r="423" spans="14:43" x14ac:dyDescent="0.35">
      <c r="N423">
        <f t="shared" si="153"/>
        <v>421</v>
      </c>
      <c r="O423" s="6">
        <f t="shared" si="133"/>
        <v>262296.00618001138</v>
      </c>
      <c r="P423">
        <f t="shared" si="137"/>
        <v>13.11480030900057</v>
      </c>
      <c r="Q423">
        <f t="shared" si="138"/>
        <v>0</v>
      </c>
      <c r="R423" s="6">
        <f t="shared" si="150"/>
        <v>140.01237163195705</v>
      </c>
      <c r="S423">
        <f t="shared" si="139"/>
        <v>0.84007422979174229</v>
      </c>
      <c r="T423">
        <f t="shared" si="140"/>
        <v>0</v>
      </c>
      <c r="U423" s="6">
        <f t="shared" si="151"/>
        <v>6.94496763994436E-28</v>
      </c>
      <c r="V423">
        <f t="shared" si="141"/>
        <v>1.041745145991654E-28</v>
      </c>
      <c r="W423">
        <f t="shared" si="142"/>
        <v>0</v>
      </c>
      <c r="X423">
        <f t="shared" si="134"/>
        <v>262436.01855164336</v>
      </c>
      <c r="Y423" s="6">
        <f t="shared" si="143"/>
        <v>29144.000686667874</v>
      </c>
      <c r="Z423" s="6">
        <f t="shared" si="144"/>
        <v>15.556930181328555</v>
      </c>
      <c r="AA423" s="6">
        <f t="shared" si="145"/>
        <v>7.7166307110492977E-29</v>
      </c>
      <c r="AB423">
        <f t="shared" si="146"/>
        <v>0</v>
      </c>
      <c r="AD423" s="6">
        <f t="shared" si="135"/>
        <v>110478.10029703843</v>
      </c>
      <c r="AG423">
        <f t="shared" si="147"/>
        <v>80683.565938094194</v>
      </c>
      <c r="AH423">
        <f t="shared" si="148"/>
        <v>634.97674209504453</v>
      </c>
      <c r="AI423">
        <f t="shared" si="149"/>
        <v>1.8519913706518336E-26</v>
      </c>
      <c r="AL423">
        <f t="shared" si="136"/>
        <v>0.97198525389497537</v>
      </c>
      <c r="AM423">
        <f t="shared" si="152"/>
        <v>0.8498315407464494</v>
      </c>
      <c r="AO423">
        <v>421</v>
      </c>
      <c r="AP423">
        <v>0.97034780197570003</v>
      </c>
      <c r="AQ423">
        <v>0.83551649144609497</v>
      </c>
    </row>
    <row r="424" spans="14:43" x14ac:dyDescent="0.35">
      <c r="N424">
        <f t="shared" si="153"/>
        <v>422</v>
      </c>
      <c r="O424" s="6">
        <f t="shared" si="133"/>
        <v>262282.89137970237</v>
      </c>
      <c r="P424">
        <f t="shared" si="137"/>
        <v>13.11414456898512</v>
      </c>
      <c r="Q424">
        <f t="shared" si="138"/>
        <v>0</v>
      </c>
      <c r="R424" s="6">
        <f t="shared" si="150"/>
        <v>139.1722974021653</v>
      </c>
      <c r="S424">
        <f t="shared" si="139"/>
        <v>0.83503378441299181</v>
      </c>
      <c r="T424">
        <f t="shared" si="140"/>
        <v>0</v>
      </c>
      <c r="U424" s="6">
        <f t="shared" si="151"/>
        <v>5.9032224939527061E-28</v>
      </c>
      <c r="V424">
        <f t="shared" si="141"/>
        <v>8.8548337409290593E-29</v>
      </c>
      <c r="W424">
        <f t="shared" si="142"/>
        <v>0</v>
      </c>
      <c r="X424">
        <f t="shared" si="134"/>
        <v>262422.06367710454</v>
      </c>
      <c r="Y424" s="6">
        <f t="shared" si="143"/>
        <v>29142.543486633542</v>
      </c>
      <c r="Z424" s="6">
        <f t="shared" si="144"/>
        <v>15.463588600240584</v>
      </c>
      <c r="AA424" s="6">
        <f t="shared" si="145"/>
        <v>6.5591361043919036E-29</v>
      </c>
      <c r="AB424">
        <f t="shared" si="146"/>
        <v>0</v>
      </c>
      <c r="AD424" s="6">
        <f t="shared" si="135"/>
        <v>110468.70571667355</v>
      </c>
      <c r="AG424">
        <f t="shared" si="147"/>
        <v>80679.53175979729</v>
      </c>
      <c r="AH424">
        <f t="shared" si="148"/>
        <v>631.16688164247421</v>
      </c>
      <c r="AI424">
        <f t="shared" si="149"/>
        <v>1.5741926650540584E-26</v>
      </c>
      <c r="AL424">
        <f t="shared" si="136"/>
        <v>0.97193356917446128</v>
      </c>
      <c r="AM424">
        <f t="shared" si="152"/>
        <v>0.84975927474364266</v>
      </c>
      <c r="AO424">
        <v>422</v>
      </c>
      <c r="AP424">
        <v>0.97028432836568901</v>
      </c>
      <c r="AQ424">
        <v>0.83543631425450204</v>
      </c>
    </row>
    <row r="425" spans="14:43" x14ac:dyDescent="0.35">
      <c r="N425">
        <f t="shared" si="153"/>
        <v>423</v>
      </c>
      <c r="O425" s="6">
        <f t="shared" si="133"/>
        <v>262269.7772351334</v>
      </c>
      <c r="P425">
        <f t="shared" si="137"/>
        <v>13.11348886175667</v>
      </c>
      <c r="Q425">
        <f t="shared" si="138"/>
        <v>0</v>
      </c>
      <c r="R425" s="6">
        <f t="shared" si="150"/>
        <v>138.33726361775231</v>
      </c>
      <c r="S425">
        <f t="shared" si="139"/>
        <v>0.83002358170651391</v>
      </c>
      <c r="T425">
        <f t="shared" si="140"/>
        <v>0</v>
      </c>
      <c r="U425" s="6">
        <f t="shared" si="151"/>
        <v>5.0177391198598005E-28</v>
      </c>
      <c r="V425">
        <f t="shared" si="141"/>
        <v>7.5266086797897005E-29</v>
      </c>
      <c r="W425">
        <f t="shared" si="142"/>
        <v>0</v>
      </c>
      <c r="X425">
        <f t="shared" si="134"/>
        <v>262408.11449875118</v>
      </c>
      <c r="Y425" s="6">
        <f t="shared" si="143"/>
        <v>29141.086359459208</v>
      </c>
      <c r="Z425" s="6">
        <f t="shared" si="144"/>
        <v>15.37080706863914</v>
      </c>
      <c r="AA425" s="6">
        <f t="shared" si="145"/>
        <v>5.5752656887331176E-29</v>
      </c>
      <c r="AB425">
        <f t="shared" si="146"/>
        <v>0</v>
      </c>
      <c r="AD425" s="6">
        <f t="shared" si="135"/>
        <v>110459.33483008976</v>
      </c>
      <c r="AG425">
        <f t="shared" si="147"/>
        <v>80675.497783209299</v>
      </c>
      <c r="AH425">
        <f t="shared" si="148"/>
        <v>627.37988035261935</v>
      </c>
      <c r="AI425">
        <f t="shared" si="149"/>
        <v>1.3380637652959497E-26</v>
      </c>
      <c r="AL425">
        <f t="shared" si="136"/>
        <v>0.97188190555093035</v>
      </c>
      <c r="AM425">
        <f t="shared" si="152"/>
        <v>0.84968719100069046</v>
      </c>
      <c r="AO425">
        <v>423</v>
      </c>
      <c r="AP425">
        <v>0.97019412902514501</v>
      </c>
      <c r="AQ425">
        <v>0.83535613706290901</v>
      </c>
    </row>
    <row r="426" spans="14:43" x14ac:dyDescent="0.35">
      <c r="N426">
        <f t="shared" si="153"/>
        <v>424</v>
      </c>
      <c r="O426" s="6">
        <f t="shared" si="133"/>
        <v>262256.66374627163</v>
      </c>
      <c r="P426">
        <f t="shared" si="137"/>
        <v>13.112833187313582</v>
      </c>
      <c r="Q426">
        <f t="shared" si="138"/>
        <v>0</v>
      </c>
      <c r="R426" s="6">
        <f t="shared" si="150"/>
        <v>137.5072400360458</v>
      </c>
      <c r="S426">
        <f t="shared" si="139"/>
        <v>0.82504344021627485</v>
      </c>
      <c r="T426">
        <f t="shared" si="140"/>
        <v>0</v>
      </c>
      <c r="U426" s="6">
        <f t="shared" si="151"/>
        <v>4.2650782518808307E-28</v>
      </c>
      <c r="V426">
        <f t="shared" si="141"/>
        <v>6.3976173778212459E-29</v>
      </c>
      <c r="W426">
        <f t="shared" si="142"/>
        <v>0</v>
      </c>
      <c r="X426">
        <f t="shared" si="134"/>
        <v>262394.17098630767</v>
      </c>
      <c r="Y426" s="6">
        <f t="shared" si="143"/>
        <v>29139.629305141236</v>
      </c>
      <c r="Z426" s="6">
        <f t="shared" si="144"/>
        <v>15.278582226227305</v>
      </c>
      <c r="AA426" s="6">
        <f t="shared" si="145"/>
        <v>4.7389758354231501E-29</v>
      </c>
      <c r="AB426">
        <f t="shared" si="146"/>
        <v>0</v>
      </c>
      <c r="AD426" s="6">
        <f t="shared" si="135"/>
        <v>110449.9874967581</v>
      </c>
      <c r="AG426">
        <f t="shared" si="147"/>
        <v>80671.464008320138</v>
      </c>
      <c r="AH426">
        <f t="shared" si="148"/>
        <v>623.61560107050366</v>
      </c>
      <c r="AI426">
        <f t="shared" si="149"/>
        <v>1.1373542005015572E-26</v>
      </c>
      <c r="AL426">
        <f t="shared" si="136"/>
        <v>0.97183026291225061</v>
      </c>
      <c r="AM426">
        <f t="shared" si="152"/>
        <v>0.84961528843660072</v>
      </c>
      <c r="AO426">
        <v>424</v>
      </c>
      <c r="AP426">
        <v>0.970117292549869</v>
      </c>
      <c r="AQ426">
        <v>0.83522584912656905</v>
      </c>
    </row>
    <row r="427" spans="14:43" x14ac:dyDescent="0.35">
      <c r="N427">
        <f t="shared" si="153"/>
        <v>425</v>
      </c>
      <c r="O427" s="6">
        <f t="shared" si="133"/>
        <v>262243.5509130843</v>
      </c>
      <c r="P427">
        <f t="shared" si="137"/>
        <v>13.112177545654216</v>
      </c>
      <c r="Q427">
        <f t="shared" si="138"/>
        <v>0</v>
      </c>
      <c r="R427" s="6">
        <f t="shared" si="150"/>
        <v>136.68219659582954</v>
      </c>
      <c r="S427">
        <f t="shared" si="139"/>
        <v>0.82009317957497729</v>
      </c>
      <c r="T427">
        <f t="shared" si="140"/>
        <v>0</v>
      </c>
      <c r="U427" s="6">
        <f t="shared" si="151"/>
        <v>3.6253165140987063E-28</v>
      </c>
      <c r="V427">
        <f t="shared" si="141"/>
        <v>5.4379747711480594E-29</v>
      </c>
      <c r="W427">
        <f t="shared" si="142"/>
        <v>0</v>
      </c>
      <c r="X427">
        <f t="shared" si="134"/>
        <v>262380.23310968012</v>
      </c>
      <c r="Y427" s="6">
        <f t="shared" si="143"/>
        <v>29138.172323675979</v>
      </c>
      <c r="Z427" s="6">
        <f t="shared" si="144"/>
        <v>15.186910732869942</v>
      </c>
      <c r="AA427" s="6">
        <f t="shared" si="145"/>
        <v>4.0281294601096779E-29</v>
      </c>
      <c r="AB427">
        <f t="shared" si="146"/>
        <v>0</v>
      </c>
      <c r="AD427" s="6">
        <f t="shared" si="135"/>
        <v>110440.66357699265</v>
      </c>
      <c r="AG427">
        <f t="shared" si="147"/>
        <v>80667.430435119721</v>
      </c>
      <c r="AH427">
        <f t="shared" si="148"/>
        <v>619.87390746408062</v>
      </c>
      <c r="AI427">
        <f t="shared" si="149"/>
        <v>9.6675107042632359E-27</v>
      </c>
      <c r="AL427">
        <f t="shared" si="136"/>
        <v>0.97177864114696344</v>
      </c>
      <c r="AM427">
        <f t="shared" si="152"/>
        <v>0.84954356597686653</v>
      </c>
      <c r="AO427">
        <v>425</v>
      </c>
      <c r="AP427">
        <v>0.97003043392564203</v>
      </c>
      <c r="AQ427">
        <v>0.83514567193497602</v>
      </c>
    </row>
    <row r="428" spans="14:43" x14ac:dyDescent="0.35">
      <c r="N428">
        <f t="shared" si="153"/>
        <v>426</v>
      </c>
      <c r="O428" s="6">
        <f t="shared" si="133"/>
        <v>262230.43873553863</v>
      </c>
      <c r="P428">
        <f t="shared" si="137"/>
        <v>13.111521936776931</v>
      </c>
      <c r="Q428">
        <f t="shared" si="138"/>
        <v>0</v>
      </c>
      <c r="R428" s="6">
        <f t="shared" si="150"/>
        <v>135.86210341625457</v>
      </c>
      <c r="S428">
        <f t="shared" si="139"/>
        <v>0.81517262049752748</v>
      </c>
      <c r="T428">
        <f t="shared" si="140"/>
        <v>0</v>
      </c>
      <c r="U428" s="6">
        <f t="shared" si="151"/>
        <v>3.0815190369839001E-28</v>
      </c>
      <c r="V428">
        <f t="shared" si="141"/>
        <v>4.6222785554758499E-29</v>
      </c>
      <c r="W428">
        <f t="shared" si="142"/>
        <v>0</v>
      </c>
      <c r="X428">
        <f t="shared" si="134"/>
        <v>262366.30083895486</v>
      </c>
      <c r="Y428" s="6">
        <f t="shared" si="143"/>
        <v>29136.715415059796</v>
      </c>
      <c r="Z428" s="6">
        <f t="shared" si="144"/>
        <v>15.095789268472721</v>
      </c>
      <c r="AA428" s="6">
        <f t="shared" si="145"/>
        <v>3.4239100410932261E-29</v>
      </c>
      <c r="AB428">
        <f t="shared" si="146"/>
        <v>0</v>
      </c>
      <c r="AD428" s="6">
        <f t="shared" si="135"/>
        <v>110431.36293194554</v>
      </c>
      <c r="AG428">
        <f t="shared" si="147"/>
        <v>80663.397063597964</v>
      </c>
      <c r="AH428">
        <f t="shared" si="148"/>
        <v>616.15466401929609</v>
      </c>
      <c r="AI428">
        <f t="shared" si="149"/>
        <v>8.2173840986237508E-27</v>
      </c>
      <c r="AL428">
        <f t="shared" si="136"/>
        <v>0.97172704014427724</v>
      </c>
      <c r="AM428">
        <f t="shared" si="152"/>
        <v>0.84947202255342724</v>
      </c>
      <c r="AO428">
        <v>426</v>
      </c>
      <c r="AP428">
        <v>0.96994023458510004</v>
      </c>
      <c r="AQ428">
        <v>0.83506549474338299</v>
      </c>
    </row>
    <row r="429" spans="14:43" x14ac:dyDescent="0.35">
      <c r="N429">
        <f t="shared" si="153"/>
        <v>427</v>
      </c>
      <c r="O429" s="6">
        <f t="shared" si="133"/>
        <v>262217.32721360185</v>
      </c>
      <c r="P429">
        <f t="shared" si="137"/>
        <v>13.110866360680093</v>
      </c>
      <c r="Q429">
        <f t="shared" si="138"/>
        <v>0</v>
      </c>
      <c r="R429" s="6">
        <f t="shared" si="150"/>
        <v>135.04693079575705</v>
      </c>
      <c r="S429">
        <f t="shared" si="139"/>
        <v>0.81028158477454226</v>
      </c>
      <c r="T429">
        <f t="shared" si="140"/>
        <v>0</v>
      </c>
      <c r="U429" s="6">
        <f t="shared" si="151"/>
        <v>2.6192911814363152E-28</v>
      </c>
      <c r="V429">
        <f t="shared" si="141"/>
        <v>3.9289367721544727E-29</v>
      </c>
      <c r="W429">
        <f t="shared" si="142"/>
        <v>0</v>
      </c>
      <c r="X429">
        <f t="shared" si="134"/>
        <v>262352.37414439762</v>
      </c>
      <c r="Y429" s="6">
        <f t="shared" si="143"/>
        <v>29135.258579289042</v>
      </c>
      <c r="Z429" s="6">
        <f t="shared" si="144"/>
        <v>15.005214532861885</v>
      </c>
      <c r="AA429" s="6">
        <f t="shared" si="145"/>
        <v>2.9103235349292419E-29</v>
      </c>
      <c r="AB429">
        <f t="shared" si="146"/>
        <v>0</v>
      </c>
      <c r="AD429" s="6">
        <f t="shared" si="135"/>
        <v>110422.08542360186</v>
      </c>
      <c r="AG429">
        <f t="shared" si="147"/>
        <v>80659.363893744783</v>
      </c>
      <c r="AH429">
        <f t="shared" si="148"/>
        <v>612.45773603518035</v>
      </c>
      <c r="AI429">
        <f t="shared" si="149"/>
        <v>6.9847764838301876E-27</v>
      </c>
      <c r="AL429">
        <f t="shared" si="136"/>
        <v>0.97167545979406522</v>
      </c>
      <c r="AM429">
        <f t="shared" si="152"/>
        <v>0.84940065710462975</v>
      </c>
      <c r="AO429">
        <v>427</v>
      </c>
      <c r="AP429">
        <v>0.96985337596087495</v>
      </c>
      <c r="AQ429">
        <v>0.83500536184968699</v>
      </c>
    </row>
    <row r="430" spans="14:43" x14ac:dyDescent="0.35">
      <c r="N430">
        <f t="shared" si="153"/>
        <v>428</v>
      </c>
      <c r="O430" s="6">
        <f t="shared" si="133"/>
        <v>262204.21634724119</v>
      </c>
      <c r="P430">
        <f t="shared" si="137"/>
        <v>13.110210817362061</v>
      </c>
      <c r="Q430">
        <f t="shared" si="138"/>
        <v>0</v>
      </c>
      <c r="R430" s="6">
        <f t="shared" si="150"/>
        <v>134.23664921098251</v>
      </c>
      <c r="S430">
        <f t="shared" si="139"/>
        <v>0.80541989526589508</v>
      </c>
      <c r="T430">
        <f t="shared" si="140"/>
        <v>0</v>
      </c>
      <c r="U430" s="6">
        <f t="shared" si="151"/>
        <v>2.2263975042208678E-28</v>
      </c>
      <c r="V430">
        <f t="shared" si="141"/>
        <v>3.3395962563313013E-29</v>
      </c>
      <c r="W430">
        <f t="shared" si="142"/>
        <v>0</v>
      </c>
      <c r="X430">
        <f t="shared" si="134"/>
        <v>262338.45299645216</v>
      </c>
      <c r="Y430" s="6">
        <f t="shared" si="143"/>
        <v>29133.801816360079</v>
      </c>
      <c r="Z430" s="6">
        <f t="shared" si="144"/>
        <v>14.915183245664714</v>
      </c>
      <c r="AA430" s="6">
        <f t="shared" si="145"/>
        <v>2.4737750046898557E-29</v>
      </c>
      <c r="AB430">
        <f t="shared" si="146"/>
        <v>0</v>
      </c>
      <c r="AD430" s="6">
        <f t="shared" si="135"/>
        <v>110412.83091477481</v>
      </c>
      <c r="AG430">
        <f t="shared" si="147"/>
        <v>80655.330925550094</v>
      </c>
      <c r="AH430">
        <f t="shared" si="148"/>
        <v>608.78298961896928</v>
      </c>
      <c r="AI430">
        <f t="shared" si="149"/>
        <v>5.9370600112556599E-27</v>
      </c>
      <c r="AL430">
        <f t="shared" si="136"/>
        <v>0.97162389998685983</v>
      </c>
      <c r="AM430">
        <f t="shared" si="152"/>
        <v>0.84932946857519087</v>
      </c>
      <c r="AO430">
        <v>428</v>
      </c>
      <c r="AP430">
        <v>0.96973645088979998</v>
      </c>
      <c r="AQ430">
        <v>0.83486505176439996</v>
      </c>
    </row>
    <row r="431" spans="14:43" x14ac:dyDescent="0.35">
      <c r="N431">
        <f t="shared" si="153"/>
        <v>429</v>
      </c>
      <c r="O431" s="6">
        <f t="shared" si="133"/>
        <v>262191.10613642383</v>
      </c>
      <c r="P431">
        <f t="shared" si="137"/>
        <v>13.109555306821193</v>
      </c>
      <c r="Q431">
        <f t="shared" si="138"/>
        <v>0</v>
      </c>
      <c r="R431" s="6">
        <f t="shared" si="150"/>
        <v>133.43122931571662</v>
      </c>
      <c r="S431">
        <f t="shared" si="139"/>
        <v>0.80058737589429974</v>
      </c>
      <c r="T431">
        <f t="shared" si="140"/>
        <v>0</v>
      </c>
      <c r="U431" s="6">
        <f t="shared" si="151"/>
        <v>1.8924378785877377E-28</v>
      </c>
      <c r="V431">
        <f t="shared" si="141"/>
        <v>2.8386568178816063E-29</v>
      </c>
      <c r="W431">
        <f t="shared" si="142"/>
        <v>0</v>
      </c>
      <c r="X431">
        <f t="shared" si="134"/>
        <v>262324.53736573952</v>
      </c>
      <c r="Y431" s="6">
        <f t="shared" si="143"/>
        <v>29132.345126269262</v>
      </c>
      <c r="Z431" s="6">
        <f t="shared" si="144"/>
        <v>14.825692146190725</v>
      </c>
      <c r="AA431" s="6">
        <f t="shared" si="145"/>
        <v>2.1027087539863773E-29</v>
      </c>
      <c r="AB431">
        <f t="shared" si="146"/>
        <v>0</v>
      </c>
      <c r="AD431" s="6">
        <f t="shared" si="135"/>
        <v>110403.59926910052</v>
      </c>
      <c r="AG431">
        <f t="shared" si="147"/>
        <v>80651.298159003811</v>
      </c>
      <c r="AH431">
        <f t="shared" si="148"/>
        <v>605.13029168125547</v>
      </c>
      <c r="AI431">
        <f t="shared" si="149"/>
        <v>5.0465010095673113E-27</v>
      </c>
      <c r="AL431">
        <f t="shared" si="136"/>
        <v>0.97157236061385011</v>
      </c>
      <c r="AM431">
        <f t="shared" si="152"/>
        <v>0.84925845591615789</v>
      </c>
      <c r="AO431">
        <v>429</v>
      </c>
      <c r="AP431">
        <v>0.96962954796767598</v>
      </c>
      <c r="AQ431">
        <v>0.83478487457280603</v>
      </c>
    </row>
    <row r="432" spans="14:43" x14ac:dyDescent="0.35">
      <c r="N432">
        <f t="shared" si="153"/>
        <v>430</v>
      </c>
      <c r="O432" s="6">
        <f t="shared" si="133"/>
        <v>262177.99658111698</v>
      </c>
      <c r="P432">
        <f t="shared" si="137"/>
        <v>13.108899829055849</v>
      </c>
      <c r="Q432">
        <f t="shared" si="138"/>
        <v>0</v>
      </c>
      <c r="R432" s="6">
        <f t="shared" si="150"/>
        <v>132.63064193982231</v>
      </c>
      <c r="S432">
        <f t="shared" si="139"/>
        <v>0.79578385163893384</v>
      </c>
      <c r="T432">
        <f t="shared" si="140"/>
        <v>0</v>
      </c>
      <c r="U432" s="6">
        <f t="shared" si="151"/>
        <v>1.6085721967995771E-28</v>
      </c>
      <c r="V432">
        <f t="shared" si="141"/>
        <v>2.4128582951993656E-29</v>
      </c>
      <c r="W432">
        <f t="shared" si="142"/>
        <v>0</v>
      </c>
      <c r="X432">
        <f t="shared" si="134"/>
        <v>262310.6272230568</v>
      </c>
      <c r="Y432" s="6">
        <f t="shared" si="143"/>
        <v>29130.888509012948</v>
      </c>
      <c r="Z432" s="6">
        <f t="shared" si="144"/>
        <v>14.73673799331358</v>
      </c>
      <c r="AA432" s="6">
        <f t="shared" si="145"/>
        <v>1.7873024408884208E-29</v>
      </c>
      <c r="AB432">
        <f t="shared" si="146"/>
        <v>0</v>
      </c>
      <c r="AD432" s="6">
        <f t="shared" si="135"/>
        <v>110394.39035103329</v>
      </c>
      <c r="AG432">
        <f t="shared" si="147"/>
        <v>80647.265594095865</v>
      </c>
      <c r="AH432">
        <f t="shared" si="148"/>
        <v>601.49950993116795</v>
      </c>
      <c r="AI432">
        <f t="shared" si="149"/>
        <v>4.289525858132215E-27</v>
      </c>
      <c r="AL432">
        <f t="shared" si="136"/>
        <v>0.97152084156687701</v>
      </c>
      <c r="AM432">
        <f t="shared" si="152"/>
        <v>0.84918761808487142</v>
      </c>
      <c r="AO432">
        <v>430</v>
      </c>
      <c r="AP432">
        <v>0.96956941507397998</v>
      </c>
      <c r="AQ432">
        <v>0.83466460878541504</v>
      </c>
    </row>
    <row r="433" spans="14:43" x14ac:dyDescent="0.35">
      <c r="N433">
        <f t="shared" si="153"/>
        <v>431</v>
      </c>
      <c r="O433" s="6">
        <f t="shared" si="133"/>
        <v>262164.88768128795</v>
      </c>
      <c r="P433">
        <f t="shared" si="137"/>
        <v>13.108244384064397</v>
      </c>
      <c r="Q433">
        <f t="shared" si="138"/>
        <v>0</v>
      </c>
      <c r="R433" s="6">
        <f t="shared" si="150"/>
        <v>131.83485808818338</v>
      </c>
      <c r="S433">
        <f t="shared" si="139"/>
        <v>0.79100914852910031</v>
      </c>
      <c r="T433">
        <f t="shared" si="140"/>
        <v>0</v>
      </c>
      <c r="U433" s="6">
        <f t="shared" si="151"/>
        <v>1.3672863672796405E-28</v>
      </c>
      <c r="V433">
        <f t="shared" si="141"/>
        <v>2.0509295509194607E-29</v>
      </c>
      <c r="W433">
        <f t="shared" si="142"/>
        <v>0</v>
      </c>
      <c r="X433">
        <f t="shared" si="134"/>
        <v>262296.72253937612</v>
      </c>
      <c r="Y433" s="6">
        <f t="shared" si="143"/>
        <v>29129.431964587497</v>
      </c>
      <c r="Z433" s="6">
        <f t="shared" si="144"/>
        <v>14.648317565353699</v>
      </c>
      <c r="AA433" s="6">
        <f t="shared" si="145"/>
        <v>1.5192070747551577E-29</v>
      </c>
      <c r="AB433">
        <f t="shared" si="146"/>
        <v>0</v>
      </c>
      <c r="AD433" s="6">
        <f t="shared" si="135"/>
        <v>110385.20402584059</v>
      </c>
      <c r="AG433">
        <f t="shared" si="147"/>
        <v>80643.233230816157</v>
      </c>
      <c r="AH433">
        <f t="shared" si="148"/>
        <v>597.890512871581</v>
      </c>
      <c r="AI433">
        <f t="shared" si="149"/>
        <v>3.6460969794123824E-27</v>
      </c>
      <c r="AL433">
        <f t="shared" si="136"/>
        <v>0.97146934273843011</v>
      </c>
      <c r="AM433">
        <f t="shared" si="152"/>
        <v>0.8491169540449276</v>
      </c>
      <c r="AO433">
        <v>431</v>
      </c>
      <c r="AP433">
        <v>0.96950260074765304</v>
      </c>
      <c r="AQ433">
        <v>0.83456438729592397</v>
      </c>
    </row>
    <row r="434" spans="14:43" x14ac:dyDescent="0.35">
      <c r="N434">
        <f t="shared" si="153"/>
        <v>432</v>
      </c>
      <c r="O434" s="6">
        <f t="shared" si="133"/>
        <v>262151.77943690389</v>
      </c>
      <c r="P434">
        <f t="shared" si="137"/>
        <v>13.107588971845194</v>
      </c>
      <c r="Q434">
        <f t="shared" si="138"/>
        <v>0</v>
      </c>
      <c r="R434" s="6">
        <f t="shared" si="150"/>
        <v>131.04384893965428</v>
      </c>
      <c r="S434">
        <f t="shared" si="139"/>
        <v>0.78626309363792568</v>
      </c>
      <c r="T434">
        <f t="shared" si="140"/>
        <v>0</v>
      </c>
      <c r="U434" s="6">
        <f t="shared" si="151"/>
        <v>1.1621934121876943E-28</v>
      </c>
      <c r="V434">
        <f t="shared" si="141"/>
        <v>1.7432901182815415E-29</v>
      </c>
      <c r="W434">
        <f t="shared" si="142"/>
        <v>0</v>
      </c>
      <c r="X434">
        <f t="shared" si="134"/>
        <v>262282.82328584354</v>
      </c>
      <c r="Y434" s="6">
        <f t="shared" si="143"/>
        <v>29127.975492989266</v>
      </c>
      <c r="Z434" s="6">
        <f t="shared" si="144"/>
        <v>14.560427659961576</v>
      </c>
      <c r="AA434" s="6">
        <f t="shared" si="145"/>
        <v>1.2913260135418841E-29</v>
      </c>
      <c r="AB434">
        <f t="shared" si="146"/>
        <v>0</v>
      </c>
      <c r="AD434" s="6">
        <f t="shared" si="135"/>
        <v>110376.0401595982</v>
      </c>
      <c r="AG434">
        <f t="shared" si="147"/>
        <v>80639.201069154617</v>
      </c>
      <c r="AH434">
        <f t="shared" si="148"/>
        <v>594.30316979435156</v>
      </c>
      <c r="AI434">
        <f t="shared" si="149"/>
        <v>3.0991824325005252E-27</v>
      </c>
      <c r="AL434">
        <f t="shared" si="136"/>
        <v>0.97141786402164276</v>
      </c>
      <c r="AM434">
        <f t="shared" si="152"/>
        <v>0.84904646276613993</v>
      </c>
      <c r="AO434">
        <v>432</v>
      </c>
      <c r="AP434">
        <v>0.96941574212342696</v>
      </c>
      <c r="AQ434">
        <v>0.83448421010432905</v>
      </c>
    </row>
    <row r="435" spans="14:43" x14ac:dyDescent="0.35">
      <c r="N435">
        <f t="shared" si="153"/>
        <v>433</v>
      </c>
      <c r="O435" s="6">
        <f t="shared" si="133"/>
        <v>262138.67184793204</v>
      </c>
      <c r="P435">
        <f t="shared" si="137"/>
        <v>13.106933592396603</v>
      </c>
      <c r="Q435">
        <f t="shared" si="138"/>
        <v>0</v>
      </c>
      <c r="R435" s="6">
        <f t="shared" si="150"/>
        <v>130.25758584601635</v>
      </c>
      <c r="S435">
        <f t="shared" si="139"/>
        <v>0.78154551507609815</v>
      </c>
      <c r="T435">
        <f t="shared" si="140"/>
        <v>0</v>
      </c>
      <c r="U435" s="6">
        <f t="shared" si="151"/>
        <v>9.8786440035954012E-29</v>
      </c>
      <c r="V435">
        <f t="shared" si="141"/>
        <v>1.4817966005393101E-29</v>
      </c>
      <c r="W435">
        <f t="shared" si="142"/>
        <v>0</v>
      </c>
      <c r="X435">
        <f t="shared" si="134"/>
        <v>262268.92943377804</v>
      </c>
      <c r="Y435" s="6">
        <f t="shared" si="143"/>
        <v>29126.519094214618</v>
      </c>
      <c r="Z435" s="6">
        <f t="shared" si="144"/>
        <v>14.473065094001806</v>
      </c>
      <c r="AA435" s="6">
        <f t="shared" si="145"/>
        <v>1.0976271115106015E-29</v>
      </c>
      <c r="AB435">
        <f t="shared" si="146"/>
        <v>0</v>
      </c>
      <c r="AD435" s="6">
        <f t="shared" si="135"/>
        <v>110366.89861918536</v>
      </c>
      <c r="AG435">
        <f t="shared" si="147"/>
        <v>80635.16910910116</v>
      </c>
      <c r="AH435">
        <f t="shared" si="148"/>
        <v>590.73735077558547</v>
      </c>
      <c r="AI435">
        <f t="shared" si="149"/>
        <v>2.6343050676254465E-27</v>
      </c>
      <c r="AL435">
        <f t="shared" si="136"/>
        <v>0.97136640531028906</v>
      </c>
      <c r="AM435">
        <f t="shared" si="152"/>
        <v>0.84897614322450277</v>
      </c>
      <c r="AO435">
        <v>433</v>
      </c>
      <c r="AP435">
        <v>0.969345587080782</v>
      </c>
      <c r="AQ435">
        <v>0.83439401076378805</v>
      </c>
    </row>
    <row r="436" spans="14:43" x14ac:dyDescent="0.35">
      <c r="N436">
        <f t="shared" si="153"/>
        <v>434</v>
      </c>
      <c r="O436" s="6">
        <f t="shared" ref="O436:O499" si="154">O435-(P435-Q435)</f>
        <v>262125.56491433966</v>
      </c>
      <c r="P436">
        <f t="shared" si="137"/>
        <v>13.106278245716984</v>
      </c>
      <c r="Q436">
        <f t="shared" si="138"/>
        <v>0</v>
      </c>
      <c r="R436" s="6">
        <f t="shared" si="150"/>
        <v>129.47604033094026</v>
      </c>
      <c r="S436">
        <f t="shared" si="139"/>
        <v>0.77685624198564163</v>
      </c>
      <c r="T436">
        <f t="shared" si="140"/>
        <v>0</v>
      </c>
      <c r="U436" s="6">
        <f t="shared" si="151"/>
        <v>8.3968474030560908E-29</v>
      </c>
      <c r="V436">
        <f t="shared" si="141"/>
        <v>1.2595271104584135E-29</v>
      </c>
      <c r="W436">
        <f t="shared" si="142"/>
        <v>0</v>
      </c>
      <c r="X436">
        <f t="shared" ref="X436:X499" si="155">O436+R436+U436-$J$57</f>
        <v>262255.04095467058</v>
      </c>
      <c r="Y436" s="6">
        <f t="shared" si="143"/>
        <v>29125.062768259908</v>
      </c>
      <c r="Z436" s="6">
        <f t="shared" si="144"/>
        <v>14.386226703437794</v>
      </c>
      <c r="AA436" s="6">
        <f t="shared" si="145"/>
        <v>9.3298304478401132E-30</v>
      </c>
      <c r="AB436">
        <f t="shared" si="146"/>
        <v>0</v>
      </c>
      <c r="AD436" s="6">
        <f t="shared" ref="AD436:AD499" si="156">Y436+Z436+AA436+AG436+AH436+AI436-AB436+$M$59</f>
        <v>110357.77927227998</v>
      </c>
      <c r="AG436">
        <f t="shared" si="147"/>
        <v>80631.137350645702</v>
      </c>
      <c r="AH436">
        <f t="shared" si="148"/>
        <v>587.19292667093191</v>
      </c>
      <c r="AI436">
        <f t="shared" si="149"/>
        <v>2.2391593074816295E-27</v>
      </c>
      <c r="AL436">
        <f t="shared" ref="AL436:AL499" si="157">X436/$X$2</f>
        <v>0.97131496649877991</v>
      </c>
      <c r="AM436">
        <f t="shared" si="152"/>
        <v>0.84890599440215364</v>
      </c>
      <c r="AO436">
        <v>434</v>
      </c>
      <c r="AP436">
        <v>0.96926875060550399</v>
      </c>
      <c r="AQ436">
        <v>0.83429378927429598</v>
      </c>
    </row>
    <row r="437" spans="14:43" x14ac:dyDescent="0.35">
      <c r="N437">
        <f t="shared" si="153"/>
        <v>435</v>
      </c>
      <c r="O437" s="6">
        <f t="shared" si="154"/>
        <v>262112.45863609394</v>
      </c>
      <c r="P437">
        <f t="shared" si="137"/>
        <v>13.105622931804698</v>
      </c>
      <c r="Q437">
        <f t="shared" si="138"/>
        <v>0</v>
      </c>
      <c r="R437" s="6">
        <f t="shared" si="150"/>
        <v>128.69918408895461</v>
      </c>
      <c r="S437">
        <f t="shared" si="139"/>
        <v>0.77219510453372764</v>
      </c>
      <c r="T437">
        <f t="shared" si="140"/>
        <v>0</v>
      </c>
      <c r="U437" s="6">
        <f t="shared" si="151"/>
        <v>7.1373202925976769E-29</v>
      </c>
      <c r="V437">
        <f t="shared" si="141"/>
        <v>1.0705980438896514E-29</v>
      </c>
      <c r="W437">
        <f t="shared" si="142"/>
        <v>0</v>
      </c>
      <c r="X437">
        <f t="shared" si="155"/>
        <v>262241.15782018291</v>
      </c>
      <c r="Y437" s="6">
        <f t="shared" si="143"/>
        <v>29123.606515121493</v>
      </c>
      <c r="Z437" s="6">
        <f t="shared" si="144"/>
        <v>14.299909343217168</v>
      </c>
      <c r="AA437" s="6">
        <f t="shared" si="145"/>
        <v>7.9303558806640963E-30</v>
      </c>
      <c r="AB437">
        <f t="shared" si="146"/>
        <v>0</v>
      </c>
      <c r="AD437" s="6">
        <f t="shared" si="156"/>
        <v>110348.68198735379</v>
      </c>
      <c r="AG437">
        <f t="shared" si="147"/>
        <v>80627.105793778173</v>
      </c>
      <c r="AH437">
        <f t="shared" si="148"/>
        <v>583.66976911090637</v>
      </c>
      <c r="AI437">
        <f t="shared" si="149"/>
        <v>1.9032854113593852E-27</v>
      </c>
      <c r="AL437">
        <f t="shared" si="157"/>
        <v>0.97126354748215893</v>
      </c>
      <c r="AM437">
        <f t="shared" si="152"/>
        <v>0.84883601528733688</v>
      </c>
      <c r="AO437">
        <v>435</v>
      </c>
      <c r="AP437">
        <v>0.96920527699549397</v>
      </c>
      <c r="AQ437">
        <v>0.83419356778480402</v>
      </c>
    </row>
    <row r="438" spans="14:43" x14ac:dyDescent="0.35">
      <c r="N438">
        <f t="shared" si="153"/>
        <v>436</v>
      </c>
      <c r="O438" s="6">
        <f t="shared" si="154"/>
        <v>262099.35301316215</v>
      </c>
      <c r="P438">
        <f t="shared" si="137"/>
        <v>13.104967650658109</v>
      </c>
      <c r="Q438">
        <f t="shared" si="138"/>
        <v>0</v>
      </c>
      <c r="R438" s="6">
        <f t="shared" si="150"/>
        <v>127.92698898442089</v>
      </c>
      <c r="S438">
        <f t="shared" si="139"/>
        <v>0.76756193390652538</v>
      </c>
      <c r="T438">
        <f t="shared" si="140"/>
        <v>0</v>
      </c>
      <c r="U438" s="6">
        <f t="shared" si="151"/>
        <v>6.0667222487080253E-29</v>
      </c>
      <c r="V438">
        <f t="shared" si="141"/>
        <v>9.1000833730620377E-30</v>
      </c>
      <c r="W438">
        <f t="shared" si="142"/>
        <v>0</v>
      </c>
      <c r="X438">
        <f t="shared" si="155"/>
        <v>262227.28000214655</v>
      </c>
      <c r="Y438" s="6">
        <f t="shared" si="143"/>
        <v>29122.150334795737</v>
      </c>
      <c r="Z438" s="6">
        <f t="shared" si="144"/>
        <v>14.214109887157864</v>
      </c>
      <c r="AA438" s="6">
        <f t="shared" si="145"/>
        <v>6.7408024985644817E-30</v>
      </c>
      <c r="AB438">
        <f t="shared" si="146"/>
        <v>0</v>
      </c>
      <c r="AD438" s="6">
        <f t="shared" si="156"/>
        <v>110339.60663366763</v>
      </c>
      <c r="AG438">
        <f t="shared" si="147"/>
        <v>80623.074438488489</v>
      </c>
      <c r="AH438">
        <f t="shared" si="148"/>
        <v>580.16775049624096</v>
      </c>
      <c r="AI438">
        <f t="shared" si="149"/>
        <v>1.6177925996554775E-27</v>
      </c>
      <c r="AL438">
        <f t="shared" si="157"/>
        <v>0.97121214815609835</v>
      </c>
      <c r="AM438">
        <f t="shared" si="152"/>
        <v>0.84876620487436638</v>
      </c>
      <c r="AO438">
        <v>436</v>
      </c>
      <c r="AP438">
        <v>0.969148484818115</v>
      </c>
      <c r="AQ438">
        <v>0.83411339059321099</v>
      </c>
    </row>
    <row r="439" spans="14:43" x14ac:dyDescent="0.35">
      <c r="N439">
        <f t="shared" si="153"/>
        <v>437</v>
      </c>
      <c r="O439" s="6">
        <f t="shared" si="154"/>
        <v>262086.24804551149</v>
      </c>
      <c r="P439">
        <f t="shared" si="137"/>
        <v>13.104312402275575</v>
      </c>
      <c r="Q439">
        <f t="shared" si="138"/>
        <v>0</v>
      </c>
      <c r="R439" s="6">
        <f t="shared" si="150"/>
        <v>127.15942705051437</v>
      </c>
      <c r="S439">
        <f t="shared" si="139"/>
        <v>0.76295656230308617</v>
      </c>
      <c r="T439">
        <f t="shared" si="140"/>
        <v>0</v>
      </c>
      <c r="U439" s="6">
        <f t="shared" si="151"/>
        <v>5.1567139114018219E-29</v>
      </c>
      <c r="V439">
        <f t="shared" si="141"/>
        <v>7.7350708671027329E-30</v>
      </c>
      <c r="W439">
        <f t="shared" si="142"/>
        <v>0</v>
      </c>
      <c r="X439">
        <f t="shared" si="155"/>
        <v>262213.40747256199</v>
      </c>
      <c r="Y439" s="6">
        <f t="shared" si="143"/>
        <v>29120.694227278997</v>
      </c>
      <c r="Z439" s="6">
        <f t="shared" si="144"/>
        <v>14.128825227834916</v>
      </c>
      <c r="AA439" s="6">
        <f t="shared" si="145"/>
        <v>5.7296821237798094E-30</v>
      </c>
      <c r="AB439">
        <f t="shared" si="146"/>
        <v>0</v>
      </c>
      <c r="AD439" s="6">
        <f t="shared" si="156"/>
        <v>110330.55308126667</v>
      </c>
      <c r="AG439">
        <f t="shared" si="147"/>
        <v>80619.043284766565</v>
      </c>
      <c r="AH439">
        <f t="shared" si="148"/>
        <v>576.68674399326346</v>
      </c>
      <c r="AI439">
        <f t="shared" si="149"/>
        <v>1.3751237097071559E-27</v>
      </c>
      <c r="AL439">
        <f t="shared" si="157"/>
        <v>0.97116076841689625</v>
      </c>
      <c r="AM439">
        <f t="shared" si="152"/>
        <v>0.8486965621635898</v>
      </c>
      <c r="AO439">
        <v>437</v>
      </c>
      <c r="AP439">
        <v>0.96908835192442</v>
      </c>
      <c r="AQ439">
        <v>0.83406327984846396</v>
      </c>
    </row>
    <row r="440" spans="14:43" x14ac:dyDescent="0.35">
      <c r="N440">
        <f t="shared" si="153"/>
        <v>438</v>
      </c>
      <c r="O440" s="6">
        <f t="shared" si="154"/>
        <v>262073.1437331092</v>
      </c>
      <c r="P440">
        <f t="shared" si="137"/>
        <v>13.103657186655461</v>
      </c>
      <c r="Q440">
        <f t="shared" si="138"/>
        <v>0</v>
      </c>
      <c r="R440" s="6">
        <f t="shared" si="150"/>
        <v>126.39647048821128</v>
      </c>
      <c r="S440">
        <f t="shared" si="139"/>
        <v>0.75837882292926773</v>
      </c>
      <c r="T440">
        <f t="shared" si="140"/>
        <v>0</v>
      </c>
      <c r="U440" s="6">
        <f t="shared" si="151"/>
        <v>4.3832068246915487E-29</v>
      </c>
      <c r="V440">
        <f t="shared" si="141"/>
        <v>6.5748102370373227E-30</v>
      </c>
      <c r="W440">
        <f t="shared" si="142"/>
        <v>0</v>
      </c>
      <c r="X440">
        <f t="shared" si="155"/>
        <v>262199.5402035974</v>
      </c>
      <c r="Y440" s="6">
        <f t="shared" si="143"/>
        <v>29119.238192567631</v>
      </c>
      <c r="Z440" s="6">
        <f t="shared" si="144"/>
        <v>14.044052276467907</v>
      </c>
      <c r="AA440" s="6">
        <f t="shared" si="145"/>
        <v>4.8702298052128384E-30</v>
      </c>
      <c r="AB440">
        <f t="shared" si="146"/>
        <v>0</v>
      </c>
      <c r="AD440" s="6">
        <f t="shared" si="156"/>
        <v>110321.52120097574</v>
      </c>
      <c r="AG440">
        <f t="shared" si="147"/>
        <v>80615.012332602331</v>
      </c>
      <c r="AH440">
        <f t="shared" si="148"/>
        <v>573.22662352930388</v>
      </c>
      <c r="AI440">
        <f t="shared" si="149"/>
        <v>1.1688551532510826E-27</v>
      </c>
      <c r="AL440">
        <f t="shared" si="157"/>
        <v>0.97110940816147184</v>
      </c>
      <c r="AM440">
        <f t="shared" si="152"/>
        <v>0.84862708616135185</v>
      </c>
      <c r="AO440">
        <v>438</v>
      </c>
      <c r="AP440">
        <v>0.96900149330019303</v>
      </c>
      <c r="AQ440">
        <v>0.83397308050792196</v>
      </c>
    </row>
    <row r="441" spans="14:43" x14ac:dyDescent="0.35">
      <c r="N441">
        <f t="shared" si="153"/>
        <v>439</v>
      </c>
      <c r="O441" s="6">
        <f t="shared" si="154"/>
        <v>262060.04007592256</v>
      </c>
      <c r="P441">
        <f t="shared" si="137"/>
        <v>13.103002003796128</v>
      </c>
      <c r="Q441">
        <f t="shared" si="138"/>
        <v>0</v>
      </c>
      <c r="R441" s="6">
        <f t="shared" si="150"/>
        <v>125.638091665282</v>
      </c>
      <c r="S441">
        <f t="shared" si="139"/>
        <v>0.75382854999169202</v>
      </c>
      <c r="T441">
        <f t="shared" si="140"/>
        <v>0</v>
      </c>
      <c r="U441" s="6">
        <f t="shared" si="151"/>
        <v>3.7257258009878161E-29</v>
      </c>
      <c r="V441">
        <f t="shared" si="141"/>
        <v>5.588588701481724E-30</v>
      </c>
      <c r="W441">
        <f t="shared" si="142"/>
        <v>0</v>
      </c>
      <c r="X441">
        <f t="shared" si="155"/>
        <v>262185.67816758784</v>
      </c>
      <c r="Y441" s="6">
        <f t="shared" si="143"/>
        <v>29117.782230658002</v>
      </c>
      <c r="Z441" s="6">
        <f t="shared" si="144"/>
        <v>13.9597879628091</v>
      </c>
      <c r="AA441" s="6">
        <f t="shared" si="145"/>
        <v>4.1396953344309126E-30</v>
      </c>
      <c r="AB441">
        <f t="shared" si="146"/>
        <v>0</v>
      </c>
      <c r="AD441" s="6">
        <f t="shared" si="156"/>
        <v>110312.51086439464</v>
      </c>
      <c r="AG441">
        <f t="shared" si="147"/>
        <v>80610.981581985703</v>
      </c>
      <c r="AH441">
        <f t="shared" si="148"/>
        <v>569.78726378812803</v>
      </c>
      <c r="AI441">
        <f t="shared" si="149"/>
        <v>9.9352688026342014E-28</v>
      </c>
      <c r="AL441">
        <f t="shared" si="157"/>
        <v>0.97105806728736244</v>
      </c>
      <c r="AM441">
        <f t="shared" si="152"/>
        <v>0.84855777587995884</v>
      </c>
      <c r="AO441">
        <v>439</v>
      </c>
      <c r="AP441">
        <v>0.96893467897386698</v>
      </c>
      <c r="AQ441">
        <v>0.833963058358973</v>
      </c>
    </row>
    <row r="442" spans="14:43" x14ac:dyDescent="0.35">
      <c r="N442">
        <f t="shared" si="153"/>
        <v>440</v>
      </c>
      <c r="O442" s="6">
        <f t="shared" si="154"/>
        <v>262046.93707391876</v>
      </c>
      <c r="P442">
        <f t="shared" si="137"/>
        <v>13.102346853695938</v>
      </c>
      <c r="Q442">
        <f t="shared" si="138"/>
        <v>0</v>
      </c>
      <c r="R442" s="6">
        <f t="shared" si="150"/>
        <v>124.88426311529031</v>
      </c>
      <c r="S442">
        <f t="shared" si="139"/>
        <v>0.74930557869174186</v>
      </c>
      <c r="T442">
        <f t="shared" si="140"/>
        <v>0</v>
      </c>
      <c r="U442" s="6">
        <f t="shared" si="151"/>
        <v>3.1668669308396439E-29</v>
      </c>
      <c r="V442">
        <f t="shared" si="141"/>
        <v>4.7503003962594655E-30</v>
      </c>
      <c r="W442">
        <f t="shared" si="142"/>
        <v>0</v>
      </c>
      <c r="X442">
        <f t="shared" si="155"/>
        <v>262171.82133703405</v>
      </c>
      <c r="Y442" s="6">
        <f t="shared" si="143"/>
        <v>29116.326341546468</v>
      </c>
      <c r="Z442" s="6">
        <f t="shared" si="144"/>
        <v>13.876029235032245</v>
      </c>
      <c r="AA442" s="6">
        <f t="shared" si="145"/>
        <v>3.5187410342662758E-30</v>
      </c>
      <c r="AB442">
        <f t="shared" si="146"/>
        <v>0</v>
      </c>
      <c r="AD442" s="6">
        <f t="shared" si="156"/>
        <v>110303.5219438935</v>
      </c>
      <c r="AG442">
        <f t="shared" si="147"/>
        <v>80606.951032906611</v>
      </c>
      <c r="AH442">
        <f t="shared" si="148"/>
        <v>566.36854020539931</v>
      </c>
      <c r="AI442">
        <f t="shared" si="149"/>
        <v>8.4449784822390714E-28</v>
      </c>
      <c r="AL442">
        <f t="shared" si="157"/>
        <v>0.97100674569271872</v>
      </c>
      <c r="AM442">
        <f t="shared" si="152"/>
        <v>0.84848863033764232</v>
      </c>
      <c r="AO442">
        <v>440</v>
      </c>
      <c r="AP442">
        <v>0.96887788679648801</v>
      </c>
      <c r="AQ442">
        <v>0.83388288116737996</v>
      </c>
    </row>
    <row r="443" spans="14:43" x14ac:dyDescent="0.35">
      <c r="N443">
        <f t="shared" si="153"/>
        <v>441</v>
      </c>
      <c r="O443" s="6">
        <f t="shared" si="154"/>
        <v>262033.83472706506</v>
      </c>
      <c r="P443">
        <f t="shared" si="137"/>
        <v>13.101691736353253</v>
      </c>
      <c r="Q443">
        <f t="shared" si="138"/>
        <v>0</v>
      </c>
      <c r="R443" s="6">
        <f t="shared" si="150"/>
        <v>124.13495753659856</v>
      </c>
      <c r="S443">
        <f t="shared" si="139"/>
        <v>0.74480974521959142</v>
      </c>
      <c r="T443">
        <f t="shared" si="140"/>
        <v>0</v>
      </c>
      <c r="U443" s="6">
        <f t="shared" si="151"/>
        <v>2.6918368912136974E-29</v>
      </c>
      <c r="V443">
        <f t="shared" si="141"/>
        <v>4.0377553368205459E-30</v>
      </c>
      <c r="W443">
        <f t="shared" si="142"/>
        <v>0</v>
      </c>
      <c r="X443">
        <f t="shared" si="155"/>
        <v>262157.96968460164</v>
      </c>
      <c r="Y443" s="6">
        <f t="shared" si="143"/>
        <v>29114.870525229391</v>
      </c>
      <c r="Z443" s="6">
        <f t="shared" si="144"/>
        <v>13.792773059622052</v>
      </c>
      <c r="AA443" s="6">
        <f t="shared" si="145"/>
        <v>2.9909298791263342E-30</v>
      </c>
      <c r="AB443">
        <f t="shared" si="146"/>
        <v>0</v>
      </c>
      <c r="AD443" s="6">
        <f t="shared" si="156"/>
        <v>110294.55431260815</v>
      </c>
      <c r="AG443">
        <f t="shared" si="147"/>
        <v>80602.920685354969</v>
      </c>
      <c r="AH443">
        <f t="shared" si="148"/>
        <v>562.97032896416692</v>
      </c>
      <c r="AI443">
        <f t="shared" si="149"/>
        <v>7.1782317099032102E-28</v>
      </c>
      <c r="AL443">
        <f t="shared" si="157"/>
        <v>0.97095544327630234</v>
      </c>
      <c r="AM443">
        <f t="shared" si="152"/>
        <v>0.84841964855852425</v>
      </c>
      <c r="AO443">
        <v>441</v>
      </c>
      <c r="AP443">
        <v>0.96880439103752602</v>
      </c>
      <c r="AQ443">
        <v>0.83379268182683697</v>
      </c>
    </row>
    <row r="444" spans="14:43" x14ac:dyDescent="0.35">
      <c r="N444">
        <f t="shared" si="153"/>
        <v>442</v>
      </c>
      <c r="O444" s="6">
        <f t="shared" si="154"/>
        <v>262020.73303532871</v>
      </c>
      <c r="P444">
        <f t="shared" si="137"/>
        <v>13.101036651766437</v>
      </c>
      <c r="Q444">
        <f t="shared" si="138"/>
        <v>0</v>
      </c>
      <c r="R444" s="6">
        <f t="shared" si="150"/>
        <v>123.39014779137896</v>
      </c>
      <c r="S444">
        <f t="shared" si="139"/>
        <v>0.74034088674827381</v>
      </c>
      <c r="T444">
        <f t="shared" si="140"/>
        <v>0</v>
      </c>
      <c r="U444" s="6">
        <f t="shared" si="151"/>
        <v>2.2880613575316429E-29</v>
      </c>
      <c r="V444">
        <f t="shared" si="141"/>
        <v>3.432092036297464E-30</v>
      </c>
      <c r="W444">
        <f t="shared" si="142"/>
        <v>0</v>
      </c>
      <c r="X444">
        <f t="shared" si="155"/>
        <v>262144.1231831201</v>
      </c>
      <c r="Y444" s="6">
        <f t="shared" si="143"/>
        <v>29113.41478170313</v>
      </c>
      <c r="Z444" s="6">
        <f t="shared" si="144"/>
        <v>13.710016421264319</v>
      </c>
      <c r="AA444" s="6">
        <f t="shared" si="145"/>
        <v>2.542290397257384E-30</v>
      </c>
      <c r="AB444">
        <f t="shared" si="146"/>
        <v>0</v>
      </c>
      <c r="AD444" s="6">
        <f t="shared" si="156"/>
        <v>110285.60784443546</v>
      </c>
      <c r="AG444">
        <f t="shared" si="147"/>
        <v>80598.890539320695</v>
      </c>
      <c r="AH444">
        <f t="shared" si="148"/>
        <v>559.59250699038193</v>
      </c>
      <c r="AI444">
        <f t="shared" si="149"/>
        <v>6.1014969534177288E-28</v>
      </c>
      <c r="AL444">
        <f t="shared" si="157"/>
        <v>0.9709041599374818</v>
      </c>
      <c r="AM444">
        <f t="shared" si="152"/>
        <v>0.84835082957258046</v>
      </c>
      <c r="AO444">
        <v>442</v>
      </c>
      <c r="AP444">
        <v>0.96874759886014705</v>
      </c>
      <c r="AQ444">
        <v>0.83368243818839605</v>
      </c>
    </row>
    <row r="445" spans="14:43" x14ac:dyDescent="0.35">
      <c r="N445">
        <f t="shared" si="153"/>
        <v>443</v>
      </c>
      <c r="O445" s="6">
        <f t="shared" si="154"/>
        <v>262007.63199867695</v>
      </c>
      <c r="P445">
        <f t="shared" si="137"/>
        <v>13.100381599933849</v>
      </c>
      <c r="Q445">
        <f t="shared" si="138"/>
        <v>0</v>
      </c>
      <c r="R445" s="6">
        <f t="shared" si="150"/>
        <v>122.64980690463069</v>
      </c>
      <c r="S445">
        <f t="shared" si="139"/>
        <v>0.73589884142778417</v>
      </c>
      <c r="T445">
        <f t="shared" si="140"/>
        <v>0</v>
      </c>
      <c r="U445" s="6">
        <f t="shared" si="151"/>
        <v>1.9448521539018964E-29</v>
      </c>
      <c r="V445">
        <f t="shared" si="141"/>
        <v>2.9172782308528446E-30</v>
      </c>
      <c r="W445">
        <f t="shared" si="142"/>
        <v>0</v>
      </c>
      <c r="X445">
        <f t="shared" si="155"/>
        <v>262130.28180558159</v>
      </c>
      <c r="Y445" s="6">
        <f t="shared" si="143"/>
        <v>29111.959110964046</v>
      </c>
      <c r="Z445" s="6">
        <f t="shared" si="144"/>
        <v>13.627756322736733</v>
      </c>
      <c r="AA445" s="6">
        <f t="shared" si="145"/>
        <v>2.1609468376687764E-30</v>
      </c>
      <c r="AB445">
        <f t="shared" si="146"/>
        <v>0</v>
      </c>
      <c r="AD445" s="6">
        <f t="shared" si="156"/>
        <v>110276.68241402895</v>
      </c>
      <c r="AG445">
        <f t="shared" si="147"/>
        <v>80594.860594793732</v>
      </c>
      <c r="AH445">
        <f t="shared" si="148"/>
        <v>556.23495194843963</v>
      </c>
      <c r="AI445">
        <f t="shared" si="149"/>
        <v>5.1862724104050697E-28</v>
      </c>
      <c r="AL445">
        <f t="shared" si="157"/>
        <v>0.97085289557622811</v>
      </c>
      <c r="AM445">
        <f t="shared" si="152"/>
        <v>0.84828217241560733</v>
      </c>
      <c r="AO445">
        <v>443</v>
      </c>
      <c r="AP445">
        <v>0.96866742166855502</v>
      </c>
      <c r="AQ445">
        <v>0.83360226099680201</v>
      </c>
    </row>
    <row r="446" spans="14:43" x14ac:dyDescent="0.35">
      <c r="N446">
        <f t="shared" si="153"/>
        <v>444</v>
      </c>
      <c r="O446" s="6">
        <f t="shared" si="154"/>
        <v>261994.53161707701</v>
      </c>
      <c r="P446">
        <f t="shared" si="137"/>
        <v>13.099726580853851</v>
      </c>
      <c r="Q446">
        <f t="shared" si="138"/>
        <v>0</v>
      </c>
      <c r="R446" s="6">
        <f t="shared" si="150"/>
        <v>121.91390806320291</v>
      </c>
      <c r="S446">
        <f t="shared" si="139"/>
        <v>0.73148344837921753</v>
      </c>
      <c r="T446">
        <f t="shared" si="140"/>
        <v>0</v>
      </c>
      <c r="U446" s="6">
        <f t="shared" si="151"/>
        <v>1.6531243308166119E-29</v>
      </c>
      <c r="V446">
        <f t="shared" si="141"/>
        <v>2.4796864962249176E-30</v>
      </c>
      <c r="W446">
        <f t="shared" si="142"/>
        <v>0</v>
      </c>
      <c r="X446">
        <f t="shared" si="155"/>
        <v>262116.44552514021</v>
      </c>
      <c r="Y446" s="6">
        <f t="shared" si="143"/>
        <v>29110.503513008498</v>
      </c>
      <c r="Z446" s="6">
        <f t="shared" si="144"/>
        <v>13.545989784800312</v>
      </c>
      <c r="AA446" s="6">
        <f t="shared" si="145"/>
        <v>1.8368048120184601E-30</v>
      </c>
      <c r="AB446">
        <f t="shared" si="146"/>
        <v>0</v>
      </c>
      <c r="AD446" s="6">
        <f t="shared" si="156"/>
        <v>110267.77789679405</v>
      </c>
      <c r="AG446">
        <f t="shared" si="147"/>
        <v>80590.830851763996</v>
      </c>
      <c r="AH446">
        <f t="shared" si="148"/>
        <v>552.89754223674902</v>
      </c>
      <c r="AI446">
        <f t="shared" si="149"/>
        <v>4.4083315488443095E-28</v>
      </c>
      <c r="AL446">
        <f t="shared" si="157"/>
        <v>0.97080165009311192</v>
      </c>
      <c r="AM446">
        <f t="shared" si="152"/>
        <v>0.84821367612918508</v>
      </c>
      <c r="AO446">
        <v>444</v>
      </c>
      <c r="AP446">
        <v>0.968603948058543</v>
      </c>
      <c r="AQ446">
        <v>0.83352208380520998</v>
      </c>
    </row>
    <row r="447" spans="14:43" x14ac:dyDescent="0.35">
      <c r="N447">
        <f t="shared" si="153"/>
        <v>445</v>
      </c>
      <c r="O447" s="6">
        <f t="shared" si="154"/>
        <v>261981.43189049617</v>
      </c>
      <c r="P447">
        <f t="shared" si="137"/>
        <v>13.099071594524808</v>
      </c>
      <c r="Q447">
        <f t="shared" si="138"/>
        <v>0</v>
      </c>
      <c r="R447" s="6">
        <f t="shared" si="150"/>
        <v>121.18242461482369</v>
      </c>
      <c r="S447">
        <f t="shared" si="139"/>
        <v>0.72709454768894211</v>
      </c>
      <c r="T447">
        <f t="shared" si="140"/>
        <v>0</v>
      </c>
      <c r="U447" s="6">
        <f t="shared" si="151"/>
        <v>1.4051556811941201E-29</v>
      </c>
      <c r="V447">
        <f t="shared" si="141"/>
        <v>2.1077335217911799E-30</v>
      </c>
      <c r="W447">
        <f t="shared" si="142"/>
        <v>0</v>
      </c>
      <c r="X447">
        <f t="shared" si="155"/>
        <v>262102.61431511099</v>
      </c>
      <c r="Y447" s="6">
        <f t="shared" si="143"/>
        <v>29109.047987832848</v>
      </c>
      <c r="Z447" s="6">
        <f t="shared" si="144"/>
        <v>13.464713846091511</v>
      </c>
      <c r="AA447" s="6">
        <f t="shared" si="145"/>
        <v>1.561284090215691E-30</v>
      </c>
      <c r="AB447">
        <f t="shared" si="146"/>
        <v>0</v>
      </c>
      <c r="AD447" s="6">
        <f t="shared" si="156"/>
        <v>110258.89416888366</v>
      </c>
      <c r="AG447">
        <f t="shared" si="147"/>
        <v>80586.801310221403</v>
      </c>
      <c r="AH447">
        <f t="shared" si="148"/>
        <v>549.58015698332849</v>
      </c>
      <c r="AI447">
        <f t="shared" si="149"/>
        <v>3.7470818165176631E-28</v>
      </c>
      <c r="AL447">
        <f t="shared" si="157"/>
        <v>0.97075042338929995</v>
      </c>
      <c r="AM447">
        <f t="shared" si="152"/>
        <v>0.84814533976064355</v>
      </c>
      <c r="AO447">
        <v>445</v>
      </c>
      <c r="AP447">
        <v>0.96853045229958201</v>
      </c>
      <c r="AQ447">
        <v>0.83344190661361595</v>
      </c>
    </row>
    <row r="448" spans="14:43" x14ac:dyDescent="0.35">
      <c r="N448">
        <f t="shared" si="153"/>
        <v>446</v>
      </c>
      <c r="O448" s="6">
        <f t="shared" si="154"/>
        <v>261968.33281890163</v>
      </c>
      <c r="P448">
        <f t="shared" si="137"/>
        <v>13.098416640945082</v>
      </c>
      <c r="Q448">
        <f t="shared" si="138"/>
        <v>0</v>
      </c>
      <c r="R448" s="6">
        <f t="shared" si="150"/>
        <v>120.45533006713475</v>
      </c>
      <c r="S448">
        <f t="shared" si="139"/>
        <v>0.7227319804028085</v>
      </c>
      <c r="T448">
        <f t="shared" si="140"/>
        <v>0</v>
      </c>
      <c r="U448" s="6">
        <f t="shared" si="151"/>
        <v>1.1943823290150021E-29</v>
      </c>
      <c r="V448">
        <f t="shared" si="141"/>
        <v>1.7915734935225031E-30</v>
      </c>
      <c r="W448">
        <f t="shared" si="142"/>
        <v>0</v>
      </c>
      <c r="X448">
        <f t="shared" si="155"/>
        <v>262088.78814896877</v>
      </c>
      <c r="Y448" s="6">
        <f t="shared" si="143"/>
        <v>29107.592535433458</v>
      </c>
      <c r="Z448" s="6">
        <f t="shared" si="144"/>
        <v>13.383925563014962</v>
      </c>
      <c r="AA448" s="6">
        <f t="shared" si="145"/>
        <v>1.3270914766833374E-30</v>
      </c>
      <c r="AB448">
        <f t="shared" si="146"/>
        <v>0</v>
      </c>
      <c r="AD448" s="6">
        <f t="shared" si="156"/>
        <v>110250.0311071938</v>
      </c>
      <c r="AG448">
        <f t="shared" si="147"/>
        <v>80582.771970155896</v>
      </c>
      <c r="AH448">
        <f t="shared" si="148"/>
        <v>546.28267604142854</v>
      </c>
      <c r="AI448">
        <f t="shared" si="149"/>
        <v>3.1850195440400137E-28</v>
      </c>
      <c r="AL448">
        <f t="shared" si="157"/>
        <v>0.97069921536655102</v>
      </c>
      <c r="AM448">
        <f t="shared" si="152"/>
        <v>0.84807716236302921</v>
      </c>
      <c r="AO448">
        <v>446</v>
      </c>
      <c r="AP448">
        <v>0.968483682271154</v>
      </c>
      <c r="AQ448">
        <v>0.83339179586887002</v>
      </c>
    </row>
    <row r="449" spans="14:43" x14ac:dyDescent="0.35">
      <c r="N449">
        <f t="shared" si="153"/>
        <v>447</v>
      </c>
      <c r="O449" s="6">
        <f t="shared" si="154"/>
        <v>261955.23440226068</v>
      </c>
      <c r="P449">
        <f t="shared" si="137"/>
        <v>13.097761720113034</v>
      </c>
      <c r="Q449">
        <f t="shared" si="138"/>
        <v>0</v>
      </c>
      <c r="R449" s="6">
        <f t="shared" si="150"/>
        <v>119.73259808673194</v>
      </c>
      <c r="S449">
        <f t="shared" si="139"/>
        <v>0.71839558852039165</v>
      </c>
      <c r="T449">
        <f t="shared" si="140"/>
        <v>0</v>
      </c>
      <c r="U449" s="6">
        <f t="shared" si="151"/>
        <v>1.0152249796627518E-29</v>
      </c>
      <c r="V449">
        <f t="shared" si="141"/>
        <v>1.5228374694941276E-30</v>
      </c>
      <c r="W449">
        <f t="shared" si="142"/>
        <v>0</v>
      </c>
      <c r="X449">
        <f t="shared" si="155"/>
        <v>262074.96700034742</v>
      </c>
      <c r="Y449" s="6">
        <f t="shared" si="143"/>
        <v>29106.137155806686</v>
      </c>
      <c r="Z449" s="6">
        <f t="shared" si="144"/>
        <v>13.303622009636873</v>
      </c>
      <c r="AA449" s="6">
        <f t="shared" si="145"/>
        <v>1.1280277551808368E-30</v>
      </c>
      <c r="AB449">
        <f t="shared" si="146"/>
        <v>0</v>
      </c>
      <c r="AD449" s="6">
        <f t="shared" si="156"/>
        <v>110241.18858935891</v>
      </c>
      <c r="AG449">
        <f t="shared" si="147"/>
        <v>80578.742831557392</v>
      </c>
      <c r="AH449">
        <f t="shared" si="148"/>
        <v>543.00497998517994</v>
      </c>
      <c r="AI449">
        <f t="shared" si="149"/>
        <v>2.7072666124340116E-28</v>
      </c>
      <c r="AL449">
        <f t="shared" si="157"/>
        <v>0.97064802592721267</v>
      </c>
      <c r="AM449">
        <f t="shared" si="152"/>
        <v>0.84800914299506847</v>
      </c>
      <c r="AO449">
        <v>447</v>
      </c>
      <c r="AP449">
        <v>0.96843691224272299</v>
      </c>
      <c r="AQ449">
        <v>0.83326150793253095</v>
      </c>
    </row>
    <row r="450" spans="14:43" x14ac:dyDescent="0.35">
      <c r="N450">
        <f t="shared" si="153"/>
        <v>448</v>
      </c>
      <c r="O450" s="6">
        <f t="shared" si="154"/>
        <v>261942.13664054059</v>
      </c>
      <c r="P450">
        <f t="shared" ref="P450:P513" si="158">IF(N450&lt;$H$12,O450*($F$3+$H$3),O450*$F$3)</f>
        <v>13.097106832027031</v>
      </c>
      <c r="Q450">
        <f t="shared" ref="Q450:Q513" si="159">IF(N450&lt;$H$12,P450*$I$3,0)</f>
        <v>0</v>
      </c>
      <c r="R450" s="6">
        <f t="shared" si="150"/>
        <v>119.01420249821155</v>
      </c>
      <c r="S450">
        <f t="shared" ref="S450:S513" si="160">IF(N450&lt;$H$12,R450*($F$4+$H$4),R450*$F$4)</f>
        <v>0.71408521498926925</v>
      </c>
      <c r="T450">
        <f t="shared" ref="T450:T513" si="161">IF(N450&lt;$H$12,S450*$I$4,0)</f>
        <v>0</v>
      </c>
      <c r="U450" s="6">
        <f t="shared" si="151"/>
        <v>8.6294123271333909E-30</v>
      </c>
      <c r="V450">
        <f t="shared" ref="V450:V513" si="162">IF(N450&lt;$H$12,U450*($F$5+$H$5),U450*$F$5)</f>
        <v>1.2944118490700086E-30</v>
      </c>
      <c r="W450">
        <f t="shared" ref="W450:W513" si="163">IF(N450&lt;$H$12,V450*$I$5,0)</f>
        <v>0</v>
      </c>
      <c r="X450">
        <f t="shared" si="155"/>
        <v>262061.15084303881</v>
      </c>
      <c r="Y450" s="6">
        <f t="shared" si="143"/>
        <v>29104.681848948894</v>
      </c>
      <c r="Z450" s="6">
        <f t="shared" si="144"/>
        <v>13.223800277579052</v>
      </c>
      <c r="AA450" s="6">
        <f t="shared" si="145"/>
        <v>9.5882359190371125E-31</v>
      </c>
      <c r="AB450">
        <f t="shared" si="146"/>
        <v>0</v>
      </c>
      <c r="AD450" s="6">
        <f t="shared" si="156"/>
        <v>110232.36649374757</v>
      </c>
      <c r="AG450">
        <f t="shared" si="147"/>
        <v>80574.713894415821</v>
      </c>
      <c r="AH450">
        <f t="shared" si="148"/>
        <v>539.74695010526887</v>
      </c>
      <c r="AI450">
        <f t="shared" si="149"/>
        <v>2.3011766205689098E-28</v>
      </c>
      <c r="AL450">
        <f t="shared" si="157"/>
        <v>0.97059685497421777</v>
      </c>
      <c r="AM450">
        <f t="shared" si="152"/>
        <v>0.84794128072113517</v>
      </c>
      <c r="AO450">
        <v>448</v>
      </c>
      <c r="AP450">
        <v>0.96836007576744698</v>
      </c>
      <c r="AQ450">
        <v>0.833131219996191</v>
      </c>
    </row>
    <row r="451" spans="14:43" x14ac:dyDescent="0.35">
      <c r="N451">
        <f t="shared" si="153"/>
        <v>449</v>
      </c>
      <c r="O451" s="6">
        <f t="shared" si="154"/>
        <v>261929.03953370856</v>
      </c>
      <c r="P451">
        <f t="shared" si="158"/>
        <v>13.096451976685429</v>
      </c>
      <c r="Q451">
        <f t="shared" si="159"/>
        <v>0</v>
      </c>
      <c r="R451" s="6">
        <f t="shared" si="150"/>
        <v>118.30011728322228</v>
      </c>
      <c r="S451">
        <f t="shared" si="160"/>
        <v>0.70980070369933368</v>
      </c>
      <c r="T451">
        <f t="shared" si="161"/>
        <v>0</v>
      </c>
      <c r="U451" s="6">
        <f t="shared" si="151"/>
        <v>7.3350004780633829E-30</v>
      </c>
      <c r="V451">
        <f t="shared" si="162"/>
        <v>1.1002500717095073E-30</v>
      </c>
      <c r="W451">
        <f t="shared" si="163"/>
        <v>0</v>
      </c>
      <c r="X451">
        <f t="shared" si="155"/>
        <v>262047.33965099178</v>
      </c>
      <c r="Y451" s="6">
        <f t="shared" ref="Y451:Y514" si="164">Y450-Y450*$F$3-Q451</f>
        <v>29103.226614856445</v>
      </c>
      <c r="Z451" s="6">
        <f t="shared" ref="Z451:Z514" si="165">Z450-Z450*$F$4</f>
        <v>13.144457475913578</v>
      </c>
      <c r="AA451" s="6">
        <f t="shared" ref="AA451:AA514" si="166">AA450-AA450*$F$5</f>
        <v>8.150000531181545E-31</v>
      </c>
      <c r="AB451">
        <f t="shared" ref="AB451:AB514" si="167">Q451+T451+W451</f>
        <v>0</v>
      </c>
      <c r="AD451" s="6">
        <f t="shared" si="156"/>
        <v>110223.56469945809</v>
      </c>
      <c r="AG451">
        <f t="shared" ref="AG451:AG514" si="168">IF(N450&lt;$H$12,AG450-AG450*($F$7+$H$7),AG450-AG450*$F$7)</f>
        <v>80570.685158721099</v>
      </c>
      <c r="AH451">
        <f t="shared" ref="AH451:AH514" si="169">IF(N450&lt;$H$12,AH450-AH450*($F$8+$H$8),AH450-AH450*$F$8)</f>
        <v>536.50846840463726</v>
      </c>
      <c r="AI451">
        <f t="shared" ref="AI451:AI514" si="170">IF(N450&lt;$H$12,AI450-AI450*($F$9+$H$9),AI450-AI450*$F$9)</f>
        <v>1.9560001274835733E-28</v>
      </c>
      <c r="AL451">
        <f t="shared" si="157"/>
        <v>0.97054570241108062</v>
      </c>
      <c r="AM451">
        <f t="shared" si="152"/>
        <v>0.84787357461121604</v>
      </c>
      <c r="AO451">
        <v>449</v>
      </c>
      <c r="AP451">
        <v>0.96830662430638403</v>
      </c>
      <c r="AQ451">
        <v>0.83302097635774996</v>
      </c>
    </row>
    <row r="452" spans="14:43" x14ac:dyDescent="0.35">
      <c r="N452">
        <f t="shared" si="153"/>
        <v>450</v>
      </c>
      <c r="O452" s="6">
        <f t="shared" si="154"/>
        <v>261915.94308173188</v>
      </c>
      <c r="P452">
        <f t="shared" si="158"/>
        <v>13.095797154086595</v>
      </c>
      <c r="Q452">
        <f t="shared" si="159"/>
        <v>0</v>
      </c>
      <c r="R452" s="6">
        <f t="shared" ref="R452:R515" si="171">R451-(S451-T451)</f>
        <v>117.59031657952295</v>
      </c>
      <c r="S452">
        <f t="shared" si="160"/>
        <v>0.70554189947713775</v>
      </c>
      <c r="T452">
        <f t="shared" si="161"/>
        <v>0</v>
      </c>
      <c r="U452" s="6">
        <f t="shared" ref="U452:U515" si="172">U451-(V451-W451)</f>
        <v>6.2347504063538758E-30</v>
      </c>
      <c r="V452">
        <f t="shared" si="162"/>
        <v>9.3521256095308137E-31</v>
      </c>
      <c r="W452">
        <f t="shared" si="163"/>
        <v>0</v>
      </c>
      <c r="X452">
        <f t="shared" si="155"/>
        <v>262033.53339831141</v>
      </c>
      <c r="Y452" s="6">
        <f t="shared" si="164"/>
        <v>29101.771453525704</v>
      </c>
      <c r="Z452" s="6">
        <f t="shared" si="165"/>
        <v>13.065590731058096</v>
      </c>
      <c r="AA452" s="6">
        <f t="shared" si="166"/>
        <v>6.9275004515043131E-31</v>
      </c>
      <c r="AB452">
        <f t="shared" si="167"/>
        <v>0</v>
      </c>
      <c r="AD452" s="6">
        <f t="shared" si="156"/>
        <v>110214.78308631413</v>
      </c>
      <c r="AG452">
        <f t="shared" si="168"/>
        <v>80566.656624463169</v>
      </c>
      <c r="AH452">
        <f t="shared" si="169"/>
        <v>533.28941759420945</v>
      </c>
      <c r="AI452">
        <f t="shared" si="170"/>
        <v>1.6626001083610375E-28</v>
      </c>
      <c r="AL452">
        <f t="shared" si="157"/>
        <v>0.97049456814189416</v>
      </c>
      <c r="AM452">
        <f t="shared" ref="AM452:AM515" si="173">IF(AD452/$AD$2&lt;AM451,AD452/$AD$2,AM451)</f>
        <v>0.84780602374087788</v>
      </c>
      <c r="AO452">
        <v>450</v>
      </c>
      <c r="AP452">
        <v>0.96821308424952501</v>
      </c>
      <c r="AQ452">
        <v>0.83294079916615604</v>
      </c>
    </row>
    <row r="453" spans="14:43" x14ac:dyDescent="0.35">
      <c r="N453">
        <f t="shared" si="153"/>
        <v>451</v>
      </c>
      <c r="O453" s="6">
        <f t="shared" si="154"/>
        <v>261902.84728457779</v>
      </c>
      <c r="P453">
        <f t="shared" si="158"/>
        <v>13.09514236422889</v>
      </c>
      <c r="Q453">
        <f t="shared" si="159"/>
        <v>0</v>
      </c>
      <c r="R453" s="6">
        <f t="shared" si="171"/>
        <v>116.88477468004581</v>
      </c>
      <c r="S453">
        <f t="shared" si="160"/>
        <v>0.70130864808027482</v>
      </c>
      <c r="T453">
        <f t="shared" si="161"/>
        <v>0</v>
      </c>
      <c r="U453" s="6">
        <f t="shared" si="172"/>
        <v>5.2995378454007946E-30</v>
      </c>
      <c r="V453">
        <f t="shared" si="162"/>
        <v>7.9493067681011922E-31</v>
      </c>
      <c r="W453">
        <f t="shared" si="163"/>
        <v>0</v>
      </c>
      <c r="X453">
        <f t="shared" si="155"/>
        <v>262019.73205925783</v>
      </c>
      <c r="Y453" s="6">
        <f t="shared" si="164"/>
        <v>29100.316364953029</v>
      </c>
      <c r="Z453" s="6">
        <f t="shared" si="165"/>
        <v>12.987197186671748</v>
      </c>
      <c r="AA453" s="6">
        <f t="shared" si="166"/>
        <v>5.8883753837786663E-31</v>
      </c>
      <c r="AB453">
        <f t="shared" si="167"/>
        <v>0</v>
      </c>
      <c r="AD453" s="6">
        <f t="shared" si="156"/>
        <v>110206.02153486029</v>
      </c>
      <c r="AG453">
        <f t="shared" si="168"/>
        <v>80562.628291631947</v>
      </c>
      <c r="AH453">
        <f t="shared" si="169"/>
        <v>530.08968108864417</v>
      </c>
      <c r="AI453">
        <f t="shared" si="170"/>
        <v>1.4132100921068818E-28</v>
      </c>
      <c r="AL453">
        <f t="shared" si="157"/>
        <v>0.97044345207132532</v>
      </c>
      <c r="AM453">
        <f t="shared" si="173"/>
        <v>0.84773862719123305</v>
      </c>
      <c r="AO453">
        <v>451</v>
      </c>
      <c r="AP453">
        <v>0.96811954419266599</v>
      </c>
      <c r="AQ453">
        <v>0.83289068842141101</v>
      </c>
    </row>
    <row r="454" spans="14:43" x14ac:dyDescent="0.35">
      <c r="N454">
        <f t="shared" si="153"/>
        <v>452</v>
      </c>
      <c r="O454" s="6">
        <f t="shared" si="154"/>
        <v>261889.75214221355</v>
      </c>
      <c r="P454">
        <f t="shared" si="158"/>
        <v>13.094487607110677</v>
      </c>
      <c r="Q454">
        <f t="shared" si="159"/>
        <v>0</v>
      </c>
      <c r="R454" s="6">
        <f t="shared" si="171"/>
        <v>116.18346603196554</v>
      </c>
      <c r="S454">
        <f t="shared" si="160"/>
        <v>0.69710079619179321</v>
      </c>
      <c r="T454">
        <f t="shared" si="161"/>
        <v>0</v>
      </c>
      <c r="U454" s="6">
        <f t="shared" si="172"/>
        <v>4.5046071685906752E-30</v>
      </c>
      <c r="V454">
        <f t="shared" si="162"/>
        <v>6.7569107528860123E-31</v>
      </c>
      <c r="W454">
        <f t="shared" si="163"/>
        <v>0</v>
      </c>
      <c r="X454">
        <f t="shared" si="155"/>
        <v>262005.93560824552</v>
      </c>
      <c r="Y454" s="6">
        <f t="shared" si="164"/>
        <v>29098.861349134782</v>
      </c>
      <c r="Z454" s="6">
        <f t="shared" si="165"/>
        <v>12.909274003551717</v>
      </c>
      <c r="AA454" s="6">
        <f t="shared" si="166"/>
        <v>5.0051190762118661E-31</v>
      </c>
      <c r="AB454">
        <f t="shared" si="167"/>
        <v>0</v>
      </c>
      <c r="AD454" s="6">
        <f t="shared" si="156"/>
        <v>110197.27992635781</v>
      </c>
      <c r="AG454">
        <f t="shared" si="168"/>
        <v>80558.600160217364</v>
      </c>
      <c r="AH454">
        <f t="shared" si="169"/>
        <v>526.90914300211227</v>
      </c>
      <c r="AI454">
        <f t="shared" si="170"/>
        <v>1.2012285782908496E-28</v>
      </c>
      <c r="AL454">
        <f t="shared" si="157"/>
        <v>0.970392354104613</v>
      </c>
      <c r="AM454">
        <f t="shared" si="173"/>
        <v>0.84767138404890618</v>
      </c>
      <c r="AO454">
        <v>452</v>
      </c>
      <c r="AP454">
        <v>0.96805607058265497</v>
      </c>
      <c r="AQ454">
        <v>0.83280048908086801</v>
      </c>
    </row>
    <row r="455" spans="14:43" x14ac:dyDescent="0.35">
      <c r="N455">
        <f t="shared" si="153"/>
        <v>453</v>
      </c>
      <c r="O455" s="6">
        <f t="shared" si="154"/>
        <v>261876.65765460645</v>
      </c>
      <c r="P455">
        <f t="shared" si="158"/>
        <v>13.093832882730323</v>
      </c>
      <c r="Q455">
        <f t="shared" si="159"/>
        <v>0</v>
      </c>
      <c r="R455" s="6">
        <f t="shared" si="171"/>
        <v>115.48636523577375</v>
      </c>
      <c r="S455">
        <f t="shared" si="160"/>
        <v>0.6929181914146425</v>
      </c>
      <c r="T455">
        <f t="shared" si="161"/>
        <v>0</v>
      </c>
      <c r="U455" s="6">
        <f t="shared" si="172"/>
        <v>3.8289160933020741E-30</v>
      </c>
      <c r="V455">
        <f t="shared" si="162"/>
        <v>5.7433741399531106E-31</v>
      </c>
      <c r="W455">
        <f t="shared" si="163"/>
        <v>0</v>
      </c>
      <c r="X455">
        <f t="shared" si="155"/>
        <v>261992.14401984221</v>
      </c>
      <c r="Y455" s="6">
        <f t="shared" si="164"/>
        <v>29097.406406067326</v>
      </c>
      <c r="Z455" s="6">
        <f t="shared" si="165"/>
        <v>12.831818359530407</v>
      </c>
      <c r="AA455" s="6">
        <f t="shared" si="166"/>
        <v>4.2543512147800858E-31</v>
      </c>
      <c r="AB455">
        <f t="shared" si="167"/>
        <v>0</v>
      </c>
      <c r="AD455" s="6">
        <f t="shared" si="156"/>
        <v>110188.5581427803</v>
      </c>
      <c r="AG455">
        <f t="shared" si="168"/>
        <v>80554.572230209349</v>
      </c>
      <c r="AH455">
        <f t="shared" si="169"/>
        <v>523.74768814409958</v>
      </c>
      <c r="AI455">
        <f t="shared" si="170"/>
        <v>1.0210442915472221E-28</v>
      </c>
      <c r="AL455">
        <f t="shared" si="157"/>
        <v>0.97034127414756377</v>
      </c>
      <c r="AM455">
        <f t="shared" si="173"/>
        <v>0.8476042934060023</v>
      </c>
      <c r="AO455">
        <v>453</v>
      </c>
      <c r="AP455">
        <v>0.96794916766052996</v>
      </c>
      <c r="AQ455">
        <v>0.83272031188927498</v>
      </c>
    </row>
    <row r="456" spans="14:43" x14ac:dyDescent="0.35">
      <c r="N456">
        <f t="shared" si="153"/>
        <v>454</v>
      </c>
      <c r="O456" s="6">
        <f t="shared" si="154"/>
        <v>261863.56382172371</v>
      </c>
      <c r="P456">
        <f t="shared" si="158"/>
        <v>13.093178191086187</v>
      </c>
      <c r="Q456">
        <f t="shared" si="159"/>
        <v>0</v>
      </c>
      <c r="R456" s="6">
        <f t="shared" si="171"/>
        <v>114.7934470443591</v>
      </c>
      <c r="S456">
        <f t="shared" si="160"/>
        <v>0.68876068226615461</v>
      </c>
      <c r="T456">
        <f t="shared" si="161"/>
        <v>0</v>
      </c>
      <c r="U456" s="6">
        <f t="shared" si="172"/>
        <v>3.2545786793067633E-30</v>
      </c>
      <c r="V456">
        <f t="shared" si="162"/>
        <v>4.8818680189601444E-31</v>
      </c>
      <c r="W456">
        <f t="shared" si="163"/>
        <v>0</v>
      </c>
      <c r="X456">
        <f t="shared" si="155"/>
        <v>261978.35726876807</v>
      </c>
      <c r="Y456" s="6">
        <f t="shared" si="164"/>
        <v>29095.951535747023</v>
      </c>
      <c r="Z456" s="6">
        <f t="shared" si="165"/>
        <v>12.754827449373225</v>
      </c>
      <c r="AA456" s="6">
        <f t="shared" si="166"/>
        <v>3.6161985325630729E-31</v>
      </c>
      <c r="AB456">
        <f t="shared" si="167"/>
        <v>0</v>
      </c>
      <c r="AD456" s="6">
        <f t="shared" si="156"/>
        <v>110179.85606680947</v>
      </c>
      <c r="AG456">
        <f t="shared" si="168"/>
        <v>80550.544501597833</v>
      </c>
      <c r="AH456">
        <f t="shared" si="169"/>
        <v>520.60520201523502</v>
      </c>
      <c r="AI456">
        <f t="shared" si="170"/>
        <v>8.6788764781513878E-29</v>
      </c>
      <c r="AL456">
        <f t="shared" si="157"/>
        <v>0.97029021210654842</v>
      </c>
      <c r="AM456">
        <f t="shared" si="173"/>
        <v>0.84753735436007283</v>
      </c>
      <c r="AO456">
        <v>454</v>
      </c>
      <c r="AP456">
        <v>0.96787233118525295</v>
      </c>
      <c r="AQ456">
        <v>0.83260004610188398</v>
      </c>
    </row>
    <row r="457" spans="14:43" x14ac:dyDescent="0.35">
      <c r="N457">
        <f t="shared" si="153"/>
        <v>455</v>
      </c>
      <c r="O457" s="6">
        <f t="shared" si="154"/>
        <v>261850.47064353264</v>
      </c>
      <c r="P457">
        <f t="shared" si="158"/>
        <v>13.092523532176633</v>
      </c>
      <c r="Q457">
        <f t="shared" si="159"/>
        <v>0</v>
      </c>
      <c r="R457" s="6">
        <f t="shared" si="171"/>
        <v>114.10468636209295</v>
      </c>
      <c r="S457">
        <f t="shared" si="160"/>
        <v>0.68462811817255775</v>
      </c>
      <c r="T457">
        <f t="shared" si="161"/>
        <v>0</v>
      </c>
      <c r="U457" s="6">
        <f t="shared" si="172"/>
        <v>2.7663918774107489E-30</v>
      </c>
      <c r="V457">
        <f t="shared" si="162"/>
        <v>4.1495878161161234E-31</v>
      </c>
      <c r="W457">
        <f t="shared" si="163"/>
        <v>0</v>
      </c>
      <c r="X457">
        <f t="shared" si="155"/>
        <v>261964.57532989472</v>
      </c>
      <c r="Y457" s="6">
        <f t="shared" si="164"/>
        <v>29094.496738170234</v>
      </c>
      <c r="Z457" s="6">
        <f t="shared" si="165"/>
        <v>12.678298484676986</v>
      </c>
      <c r="AA457" s="6">
        <f t="shared" si="166"/>
        <v>3.0737687526786118E-31</v>
      </c>
      <c r="AB457">
        <f t="shared" si="167"/>
        <v>0</v>
      </c>
      <c r="AD457" s="6">
        <f t="shared" si="156"/>
        <v>110171.17358183081</v>
      </c>
      <c r="AG457">
        <f t="shared" si="168"/>
        <v>80546.51697437276</v>
      </c>
      <c r="AH457">
        <f t="shared" si="169"/>
        <v>517.48157080314365</v>
      </c>
      <c r="AI457">
        <f t="shared" si="170"/>
        <v>7.3770450064286802E-29</v>
      </c>
      <c r="AL457">
        <f t="shared" si="157"/>
        <v>0.97023916788849895</v>
      </c>
      <c r="AM457">
        <f t="shared" si="173"/>
        <v>0.8474705660140831</v>
      </c>
      <c r="AO457">
        <v>455</v>
      </c>
      <c r="AP457">
        <v>0.96780885757524204</v>
      </c>
      <c r="AQ457">
        <v>0.83254993535713895</v>
      </c>
    </row>
    <row r="458" spans="14:43" x14ac:dyDescent="0.35">
      <c r="N458">
        <f t="shared" si="153"/>
        <v>456</v>
      </c>
      <c r="O458" s="6">
        <f t="shared" si="154"/>
        <v>261837.37812000047</v>
      </c>
      <c r="P458">
        <f t="shared" si="158"/>
        <v>13.091868906000025</v>
      </c>
      <c r="Q458">
        <f t="shared" si="159"/>
        <v>0</v>
      </c>
      <c r="R458" s="6">
        <f t="shared" si="171"/>
        <v>113.42005824392039</v>
      </c>
      <c r="S458">
        <f t="shared" si="160"/>
        <v>0.68052034946352236</v>
      </c>
      <c r="T458">
        <f t="shared" si="161"/>
        <v>0</v>
      </c>
      <c r="U458" s="6">
        <f t="shared" si="172"/>
        <v>2.3514330957991366E-30</v>
      </c>
      <c r="V458">
        <f t="shared" si="162"/>
        <v>3.5271496436987049E-31</v>
      </c>
      <c r="W458">
        <f t="shared" si="163"/>
        <v>0</v>
      </c>
      <c r="X458">
        <f t="shared" si="155"/>
        <v>261950.79817824438</v>
      </c>
      <c r="Y458" s="6">
        <f t="shared" si="164"/>
        <v>29093.042013333325</v>
      </c>
      <c r="Z458" s="6">
        <f t="shared" si="165"/>
        <v>12.602228693768925</v>
      </c>
      <c r="AA458" s="6">
        <f t="shared" si="166"/>
        <v>2.6127034397768201E-31</v>
      </c>
      <c r="AB458">
        <f t="shared" si="167"/>
        <v>0</v>
      </c>
      <c r="AD458" s="6">
        <f t="shared" si="156"/>
        <v>110162.51057192947</v>
      </c>
      <c r="AG458">
        <f t="shared" si="168"/>
        <v>80542.489648524046</v>
      </c>
      <c r="AH458">
        <f t="shared" si="169"/>
        <v>514.37668137832475</v>
      </c>
      <c r="AI458">
        <f t="shared" si="170"/>
        <v>6.2704882554643784E-29</v>
      </c>
      <c r="AL458">
        <f t="shared" si="157"/>
        <v>0.97018814140090515</v>
      </c>
      <c r="AM458">
        <f t="shared" si="173"/>
        <v>0.84740392747638049</v>
      </c>
      <c r="AO458">
        <v>456</v>
      </c>
      <c r="AP458">
        <v>0.96773202109996403</v>
      </c>
      <c r="AQ458">
        <v>0.83241964742079899</v>
      </c>
    </row>
    <row r="459" spans="14:43" x14ac:dyDescent="0.35">
      <c r="N459">
        <f t="shared" si="153"/>
        <v>457</v>
      </c>
      <c r="O459" s="6">
        <f t="shared" si="154"/>
        <v>261824.28625109448</v>
      </c>
      <c r="P459">
        <f t="shared" si="158"/>
        <v>13.091214312554724</v>
      </c>
      <c r="Q459">
        <f t="shared" si="159"/>
        <v>0</v>
      </c>
      <c r="R459" s="6">
        <f t="shared" si="171"/>
        <v>112.73953789445687</v>
      </c>
      <c r="S459">
        <f t="shared" si="160"/>
        <v>0.67643722736674128</v>
      </c>
      <c r="T459">
        <f t="shared" si="161"/>
        <v>0</v>
      </c>
      <c r="U459" s="6">
        <f t="shared" si="172"/>
        <v>1.9987181314292661E-30</v>
      </c>
      <c r="V459">
        <f t="shared" si="162"/>
        <v>2.9980771971438991E-31</v>
      </c>
      <c r="W459">
        <f t="shared" si="163"/>
        <v>0</v>
      </c>
      <c r="X459">
        <f t="shared" si="155"/>
        <v>261937.02578898895</v>
      </c>
      <c r="Y459" s="6">
        <f t="shared" si="164"/>
        <v>29091.587361232658</v>
      </c>
      <c r="Z459" s="6">
        <f t="shared" si="165"/>
        <v>12.526615321606311</v>
      </c>
      <c r="AA459" s="6">
        <f t="shared" si="166"/>
        <v>2.220797923810297E-31</v>
      </c>
      <c r="AB459">
        <f t="shared" si="167"/>
        <v>0</v>
      </c>
      <c r="AD459" s="6">
        <f t="shared" si="156"/>
        <v>110153.86692188594</v>
      </c>
      <c r="AG459">
        <f t="shared" si="168"/>
        <v>80538.462524041621</v>
      </c>
      <c r="AH459">
        <f t="shared" si="169"/>
        <v>511.29042129005478</v>
      </c>
      <c r="AI459">
        <f t="shared" si="170"/>
        <v>5.3299150171447221E-29</v>
      </c>
      <c r="AL459">
        <f t="shared" si="157"/>
        <v>0.97013713255181089</v>
      </c>
      <c r="AM459">
        <f t="shared" si="173"/>
        <v>0.84733743786066107</v>
      </c>
      <c r="AO459">
        <v>457</v>
      </c>
      <c r="AP459">
        <v>0.96767522892258695</v>
      </c>
      <c r="AQ459">
        <v>0.83231942593130803</v>
      </c>
    </row>
    <row r="460" spans="14:43" x14ac:dyDescent="0.35">
      <c r="N460">
        <f t="shared" si="153"/>
        <v>458</v>
      </c>
      <c r="O460" s="6">
        <f t="shared" si="154"/>
        <v>261811.19503678192</v>
      </c>
      <c r="P460">
        <f t="shared" si="158"/>
        <v>13.090559751839097</v>
      </c>
      <c r="Q460">
        <f t="shared" si="159"/>
        <v>0</v>
      </c>
      <c r="R460" s="6">
        <f t="shared" si="171"/>
        <v>112.06310066709013</v>
      </c>
      <c r="S460">
        <f t="shared" si="160"/>
        <v>0.67237860400254079</v>
      </c>
      <c r="T460">
        <f t="shared" si="161"/>
        <v>0</v>
      </c>
      <c r="U460" s="6">
        <f t="shared" si="172"/>
        <v>1.6989104117148763E-30</v>
      </c>
      <c r="V460">
        <f t="shared" si="162"/>
        <v>2.5483656175723145E-31</v>
      </c>
      <c r="W460">
        <f t="shared" si="163"/>
        <v>0</v>
      </c>
      <c r="X460">
        <f t="shared" si="155"/>
        <v>261923.25813744901</v>
      </c>
      <c r="Y460" s="6">
        <f t="shared" si="164"/>
        <v>29090.132781864595</v>
      </c>
      <c r="Z460" s="6">
        <f t="shared" si="165"/>
        <v>12.451455629676673</v>
      </c>
      <c r="AA460" s="6">
        <f t="shared" si="166"/>
        <v>1.8876782352387524E-31</v>
      </c>
      <c r="AB460">
        <f t="shared" si="167"/>
        <v>0</v>
      </c>
      <c r="AD460" s="6">
        <f t="shared" si="156"/>
        <v>110145.242517172</v>
      </c>
      <c r="AG460">
        <f t="shared" si="168"/>
        <v>80534.435600915414</v>
      </c>
      <c r="AH460">
        <f t="shared" si="169"/>
        <v>508.22267876231444</v>
      </c>
      <c r="AI460">
        <f t="shared" si="170"/>
        <v>4.5304277645730138E-29</v>
      </c>
      <c r="AL460">
        <f t="shared" si="157"/>
        <v>0.97008614124981118</v>
      </c>
      <c r="AM460">
        <f t="shared" si="173"/>
        <v>0.84727109628593844</v>
      </c>
      <c r="AO460">
        <v>458</v>
      </c>
      <c r="AP460">
        <v>0.96758502958204196</v>
      </c>
      <c r="AQ460">
        <v>0.83225929303761303</v>
      </c>
    </row>
    <row r="461" spans="14:43" x14ac:dyDescent="0.35">
      <c r="N461">
        <f t="shared" si="153"/>
        <v>459</v>
      </c>
      <c r="O461" s="6">
        <f t="shared" si="154"/>
        <v>261798.10447703008</v>
      </c>
      <c r="P461">
        <f t="shared" si="158"/>
        <v>13.089905223851504</v>
      </c>
      <c r="Q461">
        <f t="shared" si="159"/>
        <v>0</v>
      </c>
      <c r="R461" s="6">
        <f t="shared" si="171"/>
        <v>111.39072206308758</v>
      </c>
      <c r="S461">
        <f t="shared" si="160"/>
        <v>0.66834433237852553</v>
      </c>
      <c r="T461">
        <f t="shared" si="161"/>
        <v>0</v>
      </c>
      <c r="U461" s="6">
        <f t="shared" si="172"/>
        <v>1.4440738499576448E-30</v>
      </c>
      <c r="V461">
        <f t="shared" si="162"/>
        <v>2.166110774936467E-31</v>
      </c>
      <c r="W461">
        <f t="shared" si="163"/>
        <v>0</v>
      </c>
      <c r="X461">
        <f t="shared" si="155"/>
        <v>261909.49519909316</v>
      </c>
      <c r="Y461" s="6">
        <f t="shared" si="164"/>
        <v>29088.678275225502</v>
      </c>
      <c r="Z461" s="6">
        <f t="shared" si="165"/>
        <v>12.376746895898613</v>
      </c>
      <c r="AA461" s="6">
        <f t="shared" si="166"/>
        <v>1.6045264999529396E-31</v>
      </c>
      <c r="AB461">
        <f t="shared" si="167"/>
        <v>0</v>
      </c>
      <c r="AD461" s="6">
        <f t="shared" si="156"/>
        <v>110136.6372439465</v>
      </c>
      <c r="AG461">
        <f t="shared" si="168"/>
        <v>80530.408879135372</v>
      </c>
      <c r="AH461">
        <f t="shared" si="169"/>
        <v>505.17334268974054</v>
      </c>
      <c r="AI461">
        <f t="shared" si="170"/>
        <v>3.8508635998870621E-29</v>
      </c>
      <c r="AL461">
        <f t="shared" si="157"/>
        <v>0.97003516740404871</v>
      </c>
      <c r="AM461">
        <f t="shared" si="173"/>
        <v>0.84720490187651154</v>
      </c>
      <c r="AO461">
        <v>459</v>
      </c>
      <c r="AP461">
        <v>0.96751487453939899</v>
      </c>
      <c r="AQ461">
        <v>0.83215907154812196</v>
      </c>
    </row>
    <row r="462" spans="14:43" x14ac:dyDescent="0.35">
      <c r="N462">
        <f t="shared" si="153"/>
        <v>460</v>
      </c>
      <c r="O462" s="6">
        <f t="shared" si="154"/>
        <v>261785.01457180624</v>
      </c>
      <c r="P462">
        <f t="shared" si="158"/>
        <v>13.089250728590313</v>
      </c>
      <c r="Q462">
        <f t="shared" si="159"/>
        <v>0</v>
      </c>
      <c r="R462" s="6">
        <f t="shared" si="171"/>
        <v>110.72237773070906</v>
      </c>
      <c r="S462">
        <f t="shared" si="160"/>
        <v>0.6643342663842543</v>
      </c>
      <c r="T462">
        <f t="shared" si="161"/>
        <v>0</v>
      </c>
      <c r="U462" s="6">
        <f t="shared" si="172"/>
        <v>1.2274627724639982E-30</v>
      </c>
      <c r="V462">
        <f t="shared" si="162"/>
        <v>1.8411941586959971E-31</v>
      </c>
      <c r="W462">
        <f t="shared" si="163"/>
        <v>0</v>
      </c>
      <c r="X462">
        <f t="shared" si="155"/>
        <v>261895.73694953695</v>
      </c>
      <c r="Y462" s="6">
        <f t="shared" si="164"/>
        <v>29087.223841311741</v>
      </c>
      <c r="Z462" s="6">
        <f t="shared" si="165"/>
        <v>12.302486414523221</v>
      </c>
      <c r="AA462" s="6">
        <f t="shared" si="166"/>
        <v>1.3638475249599987E-31</v>
      </c>
      <c r="AB462">
        <f t="shared" si="167"/>
        <v>0</v>
      </c>
      <c r="AD462" s="6">
        <f t="shared" si="156"/>
        <v>110128.05098905128</v>
      </c>
      <c r="AG462">
        <f t="shared" si="168"/>
        <v>80526.382358691408</v>
      </c>
      <c r="AH462">
        <f t="shared" si="169"/>
        <v>502.14230263360207</v>
      </c>
      <c r="AI462">
        <f t="shared" si="170"/>
        <v>3.2732340599040028E-29</v>
      </c>
      <c r="AL462">
        <f t="shared" si="157"/>
        <v>0.96998421092421094</v>
      </c>
      <c r="AM462">
        <f t="shared" si="173"/>
        <v>0.84713885376193288</v>
      </c>
      <c r="AO462">
        <v>460</v>
      </c>
      <c r="AP462">
        <v>0.967424675198856</v>
      </c>
      <c r="AQ462">
        <v>0.83205885005862901</v>
      </c>
    </row>
    <row r="463" spans="14:43" x14ac:dyDescent="0.35">
      <c r="N463">
        <f t="shared" si="153"/>
        <v>461</v>
      </c>
      <c r="O463" s="6">
        <f t="shared" si="154"/>
        <v>261771.92532107764</v>
      </c>
      <c r="P463">
        <f t="shared" si="158"/>
        <v>13.088596266053882</v>
      </c>
      <c r="Q463">
        <f t="shared" si="159"/>
        <v>0</v>
      </c>
      <c r="R463" s="6">
        <f t="shared" si="171"/>
        <v>110.0580434643248</v>
      </c>
      <c r="S463">
        <f t="shared" si="160"/>
        <v>0.66034826078594877</v>
      </c>
      <c r="T463">
        <f t="shared" si="161"/>
        <v>0</v>
      </c>
      <c r="U463" s="6">
        <f t="shared" si="172"/>
        <v>1.0433433565943985E-30</v>
      </c>
      <c r="V463">
        <f t="shared" si="162"/>
        <v>1.5650150348915976E-31</v>
      </c>
      <c r="W463">
        <f t="shared" si="163"/>
        <v>0</v>
      </c>
      <c r="X463">
        <f t="shared" si="155"/>
        <v>261881.98336454196</v>
      </c>
      <c r="Y463" s="6">
        <f t="shared" si="164"/>
        <v>29085.769480119674</v>
      </c>
      <c r="Z463" s="6">
        <f t="shared" si="165"/>
        <v>12.228671496036082</v>
      </c>
      <c r="AA463" s="6">
        <f t="shared" si="166"/>
        <v>1.159270396215999E-31</v>
      </c>
      <c r="AB463">
        <f t="shared" si="167"/>
        <v>0</v>
      </c>
      <c r="AD463" s="6">
        <f t="shared" si="156"/>
        <v>110119.48364000698</v>
      </c>
      <c r="AG463">
        <f t="shared" si="168"/>
        <v>80522.356039573468</v>
      </c>
      <c r="AH463">
        <f t="shared" si="169"/>
        <v>499.12944881780044</v>
      </c>
      <c r="AI463">
        <f t="shared" si="170"/>
        <v>2.7822489509184024E-29</v>
      </c>
      <c r="AL463">
        <f t="shared" si="157"/>
        <v>0.96993327172052579</v>
      </c>
      <c r="AM463">
        <f t="shared" si="173"/>
        <v>0.84707295107697678</v>
      </c>
      <c r="AO463">
        <v>461</v>
      </c>
      <c r="AP463">
        <v>0.96734115729094605</v>
      </c>
      <c r="AQ463">
        <v>0.83198869501598505</v>
      </c>
    </row>
    <row r="464" spans="14:43" x14ac:dyDescent="0.35">
      <c r="N464">
        <f t="shared" si="153"/>
        <v>462</v>
      </c>
      <c r="O464" s="6">
        <f t="shared" si="154"/>
        <v>261758.83672481158</v>
      </c>
      <c r="P464">
        <f t="shared" si="158"/>
        <v>13.08794183624058</v>
      </c>
      <c r="Q464">
        <f t="shared" si="159"/>
        <v>0</v>
      </c>
      <c r="R464" s="6">
        <f t="shared" si="171"/>
        <v>109.39769520353885</v>
      </c>
      <c r="S464">
        <f t="shared" si="160"/>
        <v>0.65638617122123311</v>
      </c>
      <c r="T464">
        <f t="shared" si="161"/>
        <v>0</v>
      </c>
      <c r="U464" s="6">
        <f t="shared" si="172"/>
        <v>8.8684185310523871E-31</v>
      </c>
      <c r="V464">
        <f t="shared" si="162"/>
        <v>1.3302627796578581E-31</v>
      </c>
      <c r="W464">
        <f t="shared" si="163"/>
        <v>0</v>
      </c>
      <c r="X464">
        <f t="shared" si="155"/>
        <v>261868.23442001513</v>
      </c>
      <c r="Y464" s="6">
        <f t="shared" si="164"/>
        <v>29084.315191645666</v>
      </c>
      <c r="Z464" s="6">
        <f t="shared" si="165"/>
        <v>12.155299467059866</v>
      </c>
      <c r="AA464" s="6">
        <f t="shared" si="166"/>
        <v>9.8537983678359913E-32</v>
      </c>
      <c r="AB464">
        <f t="shared" si="167"/>
        <v>0</v>
      </c>
      <c r="AD464" s="6">
        <f t="shared" si="156"/>
        <v>110110.93508500911</v>
      </c>
      <c r="AG464">
        <f t="shared" si="168"/>
        <v>80518.329921771496</v>
      </c>
      <c r="AH464">
        <f t="shared" si="169"/>
        <v>496.13467212489365</v>
      </c>
      <c r="AI464">
        <f t="shared" si="170"/>
        <v>2.3649116082806421E-29</v>
      </c>
      <c r="AL464">
        <f t="shared" si="157"/>
        <v>0.96988234970375975</v>
      </c>
      <c r="AM464">
        <f t="shared" si="173"/>
        <v>0.84700719296160853</v>
      </c>
      <c r="AO464">
        <v>462</v>
      </c>
      <c r="AP464">
        <v>0.96726432081567004</v>
      </c>
      <c r="AQ464">
        <v>0.83190851782439201</v>
      </c>
    </row>
    <row r="465" spans="14:43" x14ac:dyDescent="0.35">
      <c r="N465">
        <f t="shared" si="153"/>
        <v>463</v>
      </c>
      <c r="O465" s="6">
        <f t="shared" si="154"/>
        <v>261745.74878297534</v>
      </c>
      <c r="P465">
        <f t="shared" si="158"/>
        <v>13.087287439148767</v>
      </c>
      <c r="Q465">
        <f t="shared" si="159"/>
        <v>0</v>
      </c>
      <c r="R465" s="6">
        <f t="shared" si="171"/>
        <v>108.74130903231762</v>
      </c>
      <c r="S465">
        <f t="shared" si="160"/>
        <v>0.65244785419390572</v>
      </c>
      <c r="T465">
        <f t="shared" si="161"/>
        <v>0</v>
      </c>
      <c r="U465" s="6">
        <f t="shared" si="172"/>
        <v>7.5381557513945288E-31</v>
      </c>
      <c r="V465">
        <f t="shared" si="162"/>
        <v>1.1307233627091793E-31</v>
      </c>
      <c r="W465">
        <f t="shared" si="163"/>
        <v>0</v>
      </c>
      <c r="X465">
        <f t="shared" si="155"/>
        <v>261854.49009200765</v>
      </c>
      <c r="Y465" s="6">
        <f t="shared" si="164"/>
        <v>29082.860975886084</v>
      </c>
      <c r="Z465" s="6">
        <f t="shared" si="165"/>
        <v>12.082367670257506</v>
      </c>
      <c r="AA465" s="6">
        <f t="shared" si="166"/>
        <v>8.3757286126605931E-32</v>
      </c>
      <c r="AB465">
        <f t="shared" si="167"/>
        <v>0</v>
      </c>
      <c r="AD465" s="6">
        <f t="shared" si="156"/>
        <v>110102.4052129239</v>
      </c>
      <c r="AG465">
        <f t="shared" si="168"/>
        <v>80514.304005275408</v>
      </c>
      <c r="AH465">
        <f t="shared" si="169"/>
        <v>493.15786409214428</v>
      </c>
      <c r="AI465">
        <f t="shared" si="170"/>
        <v>2.0101748670385457E-29</v>
      </c>
      <c r="AL465">
        <f t="shared" si="157"/>
        <v>0.96983144478521355</v>
      </c>
      <c r="AM465">
        <f t="shared" si="173"/>
        <v>0.84694157856095309</v>
      </c>
      <c r="AO465">
        <v>463</v>
      </c>
      <c r="AP465">
        <v>0.96717412147512605</v>
      </c>
      <c r="AQ465">
        <v>0.83182834063279898</v>
      </c>
    </row>
    <row r="466" spans="14:43" x14ac:dyDescent="0.35">
      <c r="N466">
        <f t="shared" si="153"/>
        <v>464</v>
      </c>
      <c r="O466" s="6">
        <f t="shared" si="154"/>
        <v>261732.66149553619</v>
      </c>
      <c r="P466">
        <f t="shared" si="158"/>
        <v>13.08663307477681</v>
      </c>
      <c r="Q466">
        <f t="shared" si="159"/>
        <v>0</v>
      </c>
      <c r="R466" s="6">
        <f t="shared" si="171"/>
        <v>108.08886117812371</v>
      </c>
      <c r="S466">
        <f t="shared" si="160"/>
        <v>0.64853316706874231</v>
      </c>
      <c r="T466">
        <f t="shared" si="161"/>
        <v>0</v>
      </c>
      <c r="U466" s="6">
        <f t="shared" si="172"/>
        <v>6.4074323886853497E-31</v>
      </c>
      <c r="V466">
        <f t="shared" si="162"/>
        <v>9.6111485830280241E-32</v>
      </c>
      <c r="W466">
        <f t="shared" si="163"/>
        <v>0</v>
      </c>
      <c r="X466">
        <f t="shared" si="155"/>
        <v>261840.7503567143</v>
      </c>
      <c r="Y466" s="6">
        <f t="shared" si="164"/>
        <v>29081.406832837289</v>
      </c>
      <c r="Z466" s="6">
        <f t="shared" si="165"/>
        <v>12.009873464235961</v>
      </c>
      <c r="AA466" s="6">
        <f t="shared" si="166"/>
        <v>7.1193693207615038E-32</v>
      </c>
      <c r="AB466">
        <f t="shared" si="167"/>
        <v>0</v>
      </c>
      <c r="AD466" s="6">
        <f t="shared" si="156"/>
        <v>110093.89391328426</v>
      </c>
      <c r="AG466">
        <f t="shared" si="168"/>
        <v>80510.278290075148</v>
      </c>
      <c r="AH466">
        <f t="shared" si="169"/>
        <v>490.19891690759141</v>
      </c>
      <c r="AI466">
        <f t="shared" si="170"/>
        <v>1.7086486369827638E-29</v>
      </c>
      <c r="AL466">
        <f t="shared" si="157"/>
        <v>0.9697805568767196</v>
      </c>
      <c r="AM466">
        <f t="shared" si="173"/>
        <v>0.84687610702526361</v>
      </c>
      <c r="AO466">
        <v>464</v>
      </c>
      <c r="AP466">
        <v>0.96712067001406499</v>
      </c>
      <c r="AQ466">
        <v>0.83173814129225598</v>
      </c>
    </row>
    <row r="467" spans="14:43" x14ac:dyDescent="0.35">
      <c r="N467">
        <f t="shared" si="153"/>
        <v>465</v>
      </c>
      <c r="O467" s="6">
        <f t="shared" si="154"/>
        <v>261719.57486246142</v>
      </c>
      <c r="P467">
        <f t="shared" si="158"/>
        <v>13.085978743123071</v>
      </c>
      <c r="Q467">
        <f t="shared" si="159"/>
        <v>0</v>
      </c>
      <c r="R467" s="6">
        <f t="shared" si="171"/>
        <v>107.44032801105496</v>
      </c>
      <c r="S467">
        <f t="shared" si="160"/>
        <v>0.64464196806632978</v>
      </c>
      <c r="T467">
        <f t="shared" si="161"/>
        <v>0</v>
      </c>
      <c r="U467" s="6">
        <f t="shared" si="172"/>
        <v>5.4463175303825475E-31</v>
      </c>
      <c r="V467">
        <f t="shared" si="162"/>
        <v>8.1694762955738213E-32</v>
      </c>
      <c r="W467">
        <f t="shared" si="163"/>
        <v>0</v>
      </c>
      <c r="X467">
        <f t="shared" si="155"/>
        <v>261827.01519047248</v>
      </c>
      <c r="Y467" s="6">
        <f t="shared" si="164"/>
        <v>29079.952762495646</v>
      </c>
      <c r="Z467" s="6">
        <f t="shared" si="165"/>
        <v>11.937814223450545</v>
      </c>
      <c r="AA467" s="6">
        <f t="shared" si="166"/>
        <v>6.0514639226472777E-32</v>
      </c>
      <c r="AB467">
        <f t="shared" si="167"/>
        <v>0</v>
      </c>
      <c r="AD467" s="6">
        <f t="shared" si="156"/>
        <v>110085.40107628588</v>
      </c>
      <c r="AG467">
        <f t="shared" si="168"/>
        <v>80506.252776160647</v>
      </c>
      <c r="AH467">
        <f t="shared" si="169"/>
        <v>487.25772340614589</v>
      </c>
      <c r="AI467">
        <f t="shared" si="170"/>
        <v>1.4523513414353493E-29</v>
      </c>
      <c r="AL467">
        <f t="shared" si="157"/>
        <v>0.96972968589063879</v>
      </c>
      <c r="AM467">
        <f t="shared" si="173"/>
        <v>0.84681077750989142</v>
      </c>
      <c r="AO467">
        <v>465</v>
      </c>
      <c r="AP467">
        <v>0.96703381138983802</v>
      </c>
      <c r="AQ467">
        <v>0.83165796410066195</v>
      </c>
    </row>
    <row r="468" spans="14:43" x14ac:dyDescent="0.35">
      <c r="N468">
        <f t="shared" si="153"/>
        <v>466</v>
      </c>
      <c r="O468" s="6">
        <f t="shared" si="154"/>
        <v>261706.4888837183</v>
      </c>
      <c r="P468">
        <f t="shared" si="158"/>
        <v>13.085324444185915</v>
      </c>
      <c r="Q468">
        <f t="shared" si="159"/>
        <v>0</v>
      </c>
      <c r="R468" s="6">
        <f t="shared" si="171"/>
        <v>106.79568604298863</v>
      </c>
      <c r="S468">
        <f t="shared" si="160"/>
        <v>0.64077411625793179</v>
      </c>
      <c r="T468">
        <f t="shared" si="161"/>
        <v>0</v>
      </c>
      <c r="U468" s="6">
        <f t="shared" si="172"/>
        <v>4.629369900825165E-31</v>
      </c>
      <c r="V468">
        <f t="shared" si="162"/>
        <v>6.9440548512377468E-32</v>
      </c>
      <c r="W468">
        <f t="shared" si="163"/>
        <v>0</v>
      </c>
      <c r="X468">
        <f t="shared" si="155"/>
        <v>261813.28456976128</v>
      </c>
      <c r="Y468" s="6">
        <f t="shared" si="164"/>
        <v>29078.498764857522</v>
      </c>
      <c r="Z468" s="6">
        <f t="shared" si="165"/>
        <v>11.866187338109841</v>
      </c>
      <c r="AA468" s="6">
        <f t="shared" si="166"/>
        <v>5.1437443342501857E-32</v>
      </c>
      <c r="AB468">
        <f t="shared" si="167"/>
        <v>0</v>
      </c>
      <c r="AD468" s="6">
        <f t="shared" si="156"/>
        <v>110076.92659278317</v>
      </c>
      <c r="AG468">
        <f t="shared" si="168"/>
        <v>80502.227463521835</v>
      </c>
      <c r="AH468">
        <f t="shared" si="169"/>
        <v>484.33417706570901</v>
      </c>
      <c r="AI468">
        <f t="shared" si="170"/>
        <v>1.2344986402200469E-29</v>
      </c>
      <c r="AL468">
        <f t="shared" si="157"/>
        <v>0.96967883173985658</v>
      </c>
      <c r="AM468">
        <f t="shared" si="173"/>
        <v>0.84674558917525522</v>
      </c>
      <c r="AO468">
        <v>466</v>
      </c>
      <c r="AP468">
        <v>0.96697367849614402</v>
      </c>
      <c r="AQ468">
        <v>0.83155774261116999</v>
      </c>
    </row>
    <row r="469" spans="14:43" x14ac:dyDescent="0.35">
      <c r="N469">
        <f t="shared" si="153"/>
        <v>467</v>
      </c>
      <c r="O469" s="6">
        <f t="shared" si="154"/>
        <v>261693.4035592741</v>
      </c>
      <c r="P469">
        <f t="shared" si="158"/>
        <v>13.084670177963705</v>
      </c>
      <c r="Q469">
        <f t="shared" si="159"/>
        <v>0</v>
      </c>
      <c r="R469" s="6">
        <f t="shared" si="171"/>
        <v>106.1549119267307</v>
      </c>
      <c r="S469">
        <f t="shared" si="160"/>
        <v>0.63692947156038426</v>
      </c>
      <c r="T469">
        <f t="shared" si="161"/>
        <v>0</v>
      </c>
      <c r="U469" s="6">
        <f t="shared" si="172"/>
        <v>3.9349644157013904E-31</v>
      </c>
      <c r="V469">
        <f t="shared" si="162"/>
        <v>5.9024466235520851E-32</v>
      </c>
      <c r="W469">
        <f t="shared" si="163"/>
        <v>0</v>
      </c>
      <c r="X469">
        <f t="shared" si="155"/>
        <v>261799.55847120084</v>
      </c>
      <c r="Y469" s="6">
        <f t="shared" si="164"/>
        <v>29077.044839919279</v>
      </c>
      <c r="Z469" s="6">
        <f t="shared" si="165"/>
        <v>11.794990214081182</v>
      </c>
      <c r="AA469" s="6">
        <f t="shared" si="166"/>
        <v>4.3721826841126577E-32</v>
      </c>
      <c r="AB469">
        <f t="shared" si="167"/>
        <v>0</v>
      </c>
      <c r="AD469" s="6">
        <f t="shared" si="156"/>
        <v>110068.47035428534</v>
      </c>
      <c r="AG469">
        <f t="shared" si="168"/>
        <v>80498.202352148655</v>
      </c>
      <c r="AH469">
        <f t="shared" si="169"/>
        <v>481.42817200331478</v>
      </c>
      <c r="AI469">
        <f t="shared" si="170"/>
        <v>1.0493238441870399E-29</v>
      </c>
      <c r="AL469">
        <f t="shared" si="157"/>
        <v>0.96962799433778091</v>
      </c>
      <c r="AM469">
        <f t="shared" si="173"/>
        <v>0.84668054118681024</v>
      </c>
      <c r="AO469">
        <v>467</v>
      </c>
      <c r="AP469">
        <v>0.96688681987191705</v>
      </c>
      <c r="AQ469">
        <v>0.83148758756852603</v>
      </c>
    </row>
    <row r="470" spans="14:43" x14ac:dyDescent="0.35">
      <c r="N470">
        <f t="shared" si="153"/>
        <v>468</v>
      </c>
      <c r="O470" s="6">
        <f t="shared" si="154"/>
        <v>261680.31888909615</v>
      </c>
      <c r="P470">
        <f t="shared" si="158"/>
        <v>13.084015944454809</v>
      </c>
      <c r="Q470">
        <f t="shared" si="159"/>
        <v>0</v>
      </c>
      <c r="R470" s="6">
        <f t="shared" si="171"/>
        <v>105.51798245517033</v>
      </c>
      <c r="S470">
        <f t="shared" si="160"/>
        <v>0.63310789473102203</v>
      </c>
      <c r="T470">
        <f t="shared" si="161"/>
        <v>0</v>
      </c>
      <c r="U470" s="6">
        <f t="shared" si="172"/>
        <v>3.3447197533461817E-31</v>
      </c>
      <c r="V470">
        <f t="shared" si="162"/>
        <v>5.0170796300192718E-32</v>
      </c>
      <c r="W470">
        <f t="shared" si="163"/>
        <v>0</v>
      </c>
      <c r="X470">
        <f t="shared" si="155"/>
        <v>261785.83687155132</v>
      </c>
      <c r="Y470" s="6">
        <f t="shared" si="164"/>
        <v>29075.590987677282</v>
      </c>
      <c r="Z470" s="6">
        <f t="shared" si="165"/>
        <v>11.724220272796694</v>
      </c>
      <c r="AA470" s="6">
        <f t="shared" si="166"/>
        <v>3.7163552814957593E-32</v>
      </c>
      <c r="AB470">
        <f t="shared" si="167"/>
        <v>0</v>
      </c>
      <c r="AD470" s="6">
        <f t="shared" si="156"/>
        <v>110060.03225295244</v>
      </c>
      <c r="AG470">
        <f t="shared" si="168"/>
        <v>80494.177442031054</v>
      </c>
      <c r="AH470">
        <f t="shared" si="169"/>
        <v>478.53960297129487</v>
      </c>
      <c r="AI470">
        <f t="shared" si="170"/>
        <v>8.9192526755898383E-30</v>
      </c>
      <c r="AL470">
        <f t="shared" si="157"/>
        <v>0.96957717359833817</v>
      </c>
      <c r="AM470">
        <f t="shared" si="173"/>
        <v>0.84661563271501883</v>
      </c>
      <c r="AO470">
        <v>468</v>
      </c>
      <c r="AP470">
        <v>0.96680664268032401</v>
      </c>
      <c r="AQ470">
        <v>0.83141743252588196</v>
      </c>
    </row>
    <row r="471" spans="14:43" x14ac:dyDescent="0.35">
      <c r="N471">
        <f t="shared" si="153"/>
        <v>469</v>
      </c>
      <c r="O471" s="6">
        <f t="shared" si="154"/>
        <v>261667.2348731517</v>
      </c>
      <c r="P471">
        <f t="shared" si="158"/>
        <v>13.083361743657585</v>
      </c>
      <c r="Q471">
        <f t="shared" si="159"/>
        <v>0</v>
      </c>
      <c r="R471" s="6">
        <f t="shared" si="171"/>
        <v>104.8848745604393</v>
      </c>
      <c r="S471">
        <f t="shared" si="160"/>
        <v>0.62930924736263583</v>
      </c>
      <c r="T471">
        <f t="shared" si="161"/>
        <v>0</v>
      </c>
      <c r="U471" s="6">
        <f t="shared" si="172"/>
        <v>2.8430117903442546E-31</v>
      </c>
      <c r="V471">
        <f t="shared" si="162"/>
        <v>4.264517685516382E-32</v>
      </c>
      <c r="W471">
        <f t="shared" si="163"/>
        <v>0</v>
      </c>
      <c r="X471">
        <f t="shared" si="155"/>
        <v>261772.11974771213</v>
      </c>
      <c r="Y471" s="6">
        <f t="shared" si="164"/>
        <v>29074.137208127897</v>
      </c>
      <c r="Z471" s="6">
        <f t="shared" si="165"/>
        <v>11.653874951159914</v>
      </c>
      <c r="AA471" s="6">
        <f t="shared" si="166"/>
        <v>3.1589019892713952E-32</v>
      </c>
      <c r="AB471">
        <f t="shared" si="167"/>
        <v>0</v>
      </c>
      <c r="AD471" s="6">
        <f t="shared" si="156"/>
        <v>110051.61218159147</v>
      </c>
      <c r="AG471">
        <f t="shared" si="168"/>
        <v>80490.152733158946</v>
      </c>
      <c r="AH471">
        <f t="shared" si="169"/>
        <v>475.6683653534671</v>
      </c>
      <c r="AI471">
        <f t="shared" si="170"/>
        <v>7.5813647742513628E-30</v>
      </c>
      <c r="AL471">
        <f t="shared" si="157"/>
        <v>0.96952636943597081</v>
      </c>
      <c r="AM471">
        <f t="shared" si="173"/>
        <v>0.846550862935319</v>
      </c>
      <c r="AO471">
        <v>469</v>
      </c>
      <c r="AP471">
        <v>0.96673648763767905</v>
      </c>
      <c r="AQ471">
        <v>0.83132723318533897</v>
      </c>
    </row>
    <row r="472" spans="14:43" x14ac:dyDescent="0.35">
      <c r="N472">
        <f t="shared" si="153"/>
        <v>470</v>
      </c>
      <c r="O472" s="6">
        <f t="shared" si="154"/>
        <v>261654.15151140804</v>
      </c>
      <c r="P472">
        <f t="shared" si="158"/>
        <v>13.082707575570403</v>
      </c>
      <c r="Q472">
        <f t="shared" si="159"/>
        <v>0</v>
      </c>
      <c r="R472" s="6">
        <f t="shared" si="171"/>
        <v>104.25556531307666</v>
      </c>
      <c r="S472">
        <f t="shared" si="160"/>
        <v>0.62553339187845991</v>
      </c>
      <c r="T472">
        <f t="shared" si="161"/>
        <v>0</v>
      </c>
      <c r="U472" s="6">
        <f t="shared" si="172"/>
        <v>2.4165600217926162E-31</v>
      </c>
      <c r="V472">
        <f t="shared" si="162"/>
        <v>3.6248400326889242E-32</v>
      </c>
      <c r="W472">
        <f t="shared" si="163"/>
        <v>0</v>
      </c>
      <c r="X472">
        <f t="shared" si="155"/>
        <v>261758.40707672111</v>
      </c>
      <c r="Y472" s="6">
        <f t="shared" si="164"/>
        <v>29072.683501267489</v>
      </c>
      <c r="Z472" s="6">
        <f t="shared" si="165"/>
        <v>11.583951701452953</v>
      </c>
      <c r="AA472" s="6">
        <f t="shared" si="166"/>
        <v>2.685066690880686E-32</v>
      </c>
      <c r="AB472">
        <f t="shared" si="167"/>
        <v>0</v>
      </c>
      <c r="AD472" s="6">
        <f t="shared" si="156"/>
        <v>110043.21003365258</v>
      </c>
      <c r="AG472">
        <f t="shared" si="168"/>
        <v>80486.12822552229</v>
      </c>
      <c r="AH472">
        <f t="shared" si="169"/>
        <v>472.81435516134627</v>
      </c>
      <c r="AI472">
        <f t="shared" si="170"/>
        <v>6.4441600581136589E-30</v>
      </c>
      <c r="AL472">
        <f t="shared" si="157"/>
        <v>0.96947558176563375</v>
      </c>
      <c r="AM472">
        <f t="shared" si="173"/>
        <v>0.84648623102809673</v>
      </c>
      <c r="AO472">
        <v>470</v>
      </c>
      <c r="AP472">
        <v>0.96666967331135201</v>
      </c>
      <c r="AQ472">
        <v>0.83126710029164397</v>
      </c>
    </row>
    <row r="473" spans="14:43" x14ac:dyDescent="0.35">
      <c r="N473">
        <f t="shared" si="153"/>
        <v>471</v>
      </c>
      <c r="O473" s="6">
        <f t="shared" si="154"/>
        <v>261641.06880383246</v>
      </c>
      <c r="P473">
        <f t="shared" si="158"/>
        <v>13.082053440191624</v>
      </c>
      <c r="Q473">
        <f t="shared" si="159"/>
        <v>0</v>
      </c>
      <c r="R473" s="6">
        <f t="shared" si="171"/>
        <v>103.6300319211982</v>
      </c>
      <c r="S473">
        <f t="shared" si="160"/>
        <v>0.62178019152718922</v>
      </c>
      <c r="T473">
        <f t="shared" si="161"/>
        <v>0</v>
      </c>
      <c r="U473" s="6">
        <f t="shared" si="172"/>
        <v>2.0540760185237239E-31</v>
      </c>
      <c r="V473">
        <f t="shared" si="162"/>
        <v>3.0811140277855856E-32</v>
      </c>
      <c r="W473">
        <f t="shared" si="163"/>
        <v>0</v>
      </c>
      <c r="X473">
        <f t="shared" si="155"/>
        <v>261744.69883575366</v>
      </c>
      <c r="Y473" s="6">
        <f t="shared" si="164"/>
        <v>29071.229867092425</v>
      </c>
      <c r="Z473" s="6">
        <f t="shared" si="165"/>
        <v>11.514447991244236</v>
      </c>
      <c r="AA473" s="6">
        <f t="shared" si="166"/>
        <v>2.2823066872485831E-32</v>
      </c>
      <c r="AB473">
        <f t="shared" si="167"/>
        <v>0</v>
      </c>
      <c r="AD473" s="6">
        <f t="shared" si="156"/>
        <v>110034.82570322505</v>
      </c>
      <c r="AG473">
        <f t="shared" si="168"/>
        <v>80482.103919111018</v>
      </c>
      <c r="AH473">
        <f t="shared" si="169"/>
        <v>469.97746903037819</v>
      </c>
      <c r="AI473">
        <f t="shared" si="170"/>
        <v>5.4775360493966098E-30</v>
      </c>
      <c r="AL473">
        <f t="shared" si="157"/>
        <v>0.96942481050279139</v>
      </c>
      <c r="AM473">
        <f t="shared" si="173"/>
        <v>0.84642173617865424</v>
      </c>
      <c r="AO473">
        <v>471</v>
      </c>
      <c r="AP473">
        <v>0.96658281468712504</v>
      </c>
      <c r="AQ473">
        <v>0.83113681235530501</v>
      </c>
    </row>
    <row r="474" spans="14:43" x14ac:dyDescent="0.35">
      <c r="N474">
        <f t="shared" si="153"/>
        <v>472</v>
      </c>
      <c r="O474" s="6">
        <f t="shared" si="154"/>
        <v>261627.98675039227</v>
      </c>
      <c r="P474">
        <f t="shared" si="158"/>
        <v>13.081399337519613</v>
      </c>
      <c r="Q474">
        <f t="shared" si="159"/>
        <v>0</v>
      </c>
      <c r="R474" s="6">
        <f t="shared" si="171"/>
        <v>103.008251729671</v>
      </c>
      <c r="S474">
        <f t="shared" si="160"/>
        <v>0.61804951037802602</v>
      </c>
      <c r="T474">
        <f t="shared" si="161"/>
        <v>0</v>
      </c>
      <c r="U474" s="6">
        <f t="shared" si="172"/>
        <v>1.7459646157451653E-31</v>
      </c>
      <c r="V474">
        <f t="shared" si="162"/>
        <v>2.6189469236177478E-32</v>
      </c>
      <c r="W474">
        <f t="shared" si="163"/>
        <v>0</v>
      </c>
      <c r="X474">
        <f t="shared" si="155"/>
        <v>261730.99500212196</v>
      </c>
      <c r="Y474" s="6">
        <f t="shared" si="164"/>
        <v>29069.776305599069</v>
      </c>
      <c r="Z474" s="6">
        <f t="shared" si="165"/>
        <v>11.445361303296771</v>
      </c>
      <c r="AA474" s="6">
        <f t="shared" si="166"/>
        <v>1.9399606841612955E-32</v>
      </c>
      <c r="AB474">
        <f t="shared" si="167"/>
        <v>0</v>
      </c>
      <c r="AD474" s="6">
        <f t="shared" si="156"/>
        <v>110026.45908503361</v>
      </c>
      <c r="AG474">
        <f t="shared" si="168"/>
        <v>80478.079813915057</v>
      </c>
      <c r="AH474">
        <f t="shared" si="169"/>
        <v>467.15760421619592</v>
      </c>
      <c r="AI474">
        <f t="shared" si="170"/>
        <v>4.6559056419871187E-30</v>
      </c>
      <c r="AL474">
        <f t="shared" si="157"/>
        <v>0.9693740555634146</v>
      </c>
      <c r="AM474">
        <f t="shared" si="173"/>
        <v>0.84635737757718166</v>
      </c>
      <c r="AO474">
        <v>472</v>
      </c>
      <c r="AP474">
        <v>0.96649929677921498</v>
      </c>
      <c r="AQ474">
        <v>0.83101654656791402</v>
      </c>
    </row>
    <row r="475" spans="14:43" x14ac:dyDescent="0.35">
      <c r="N475">
        <f t="shared" si="153"/>
        <v>473</v>
      </c>
      <c r="O475" s="6">
        <f t="shared" si="154"/>
        <v>261614.90535105474</v>
      </c>
      <c r="P475">
        <f t="shared" si="158"/>
        <v>13.080745267552738</v>
      </c>
      <c r="Q475">
        <f t="shared" si="159"/>
        <v>0</v>
      </c>
      <c r="R475" s="6">
        <f t="shared" si="171"/>
        <v>102.39020221929297</v>
      </c>
      <c r="S475">
        <f t="shared" si="160"/>
        <v>0.61434121331575786</v>
      </c>
      <c r="T475">
        <f t="shared" si="161"/>
        <v>0</v>
      </c>
      <c r="U475" s="6">
        <f t="shared" si="172"/>
        <v>1.4840699233833905E-31</v>
      </c>
      <c r="V475">
        <f t="shared" si="162"/>
        <v>2.2261048850750857E-32</v>
      </c>
      <c r="W475">
        <f t="shared" si="163"/>
        <v>0</v>
      </c>
      <c r="X475">
        <f t="shared" si="155"/>
        <v>261717.29555327405</v>
      </c>
      <c r="Y475" s="6">
        <f t="shared" si="164"/>
        <v>29068.322816783788</v>
      </c>
      <c r="Z475" s="6">
        <f t="shared" si="165"/>
        <v>11.37668913547699</v>
      </c>
      <c r="AA475" s="6">
        <f t="shared" si="166"/>
        <v>1.6489665815371012E-32</v>
      </c>
      <c r="AB475">
        <f t="shared" si="167"/>
        <v>0</v>
      </c>
      <c r="AD475" s="6">
        <f t="shared" si="156"/>
        <v>110018.11007443452</v>
      </c>
      <c r="AG475">
        <f t="shared" si="168"/>
        <v>80474.055909924355</v>
      </c>
      <c r="AH475">
        <f t="shared" si="169"/>
        <v>464.35465859089874</v>
      </c>
      <c r="AI475">
        <f t="shared" si="170"/>
        <v>3.9575197956890511E-30</v>
      </c>
      <c r="AL475">
        <f t="shared" si="157"/>
        <v>0.96932331686397799</v>
      </c>
      <c r="AM475">
        <f t="shared" si="173"/>
        <v>0.8462931544187271</v>
      </c>
      <c r="AO475">
        <v>473</v>
      </c>
      <c r="AP475">
        <v>0.96636900884287702</v>
      </c>
      <c r="AQ475">
        <v>0.83094639152527106</v>
      </c>
    </row>
    <row r="476" spans="14:43" x14ac:dyDescent="0.35">
      <c r="N476">
        <f t="shared" si="153"/>
        <v>474</v>
      </c>
      <c r="O476" s="6">
        <f t="shared" si="154"/>
        <v>261601.82460578717</v>
      </c>
      <c r="P476">
        <f t="shared" si="158"/>
        <v>13.080091230289359</v>
      </c>
      <c r="Q476">
        <f t="shared" si="159"/>
        <v>0</v>
      </c>
      <c r="R476" s="6">
        <f t="shared" si="171"/>
        <v>101.77586100597722</v>
      </c>
      <c r="S476">
        <f t="shared" si="160"/>
        <v>0.61065516603586334</v>
      </c>
      <c r="T476">
        <f t="shared" si="161"/>
        <v>0</v>
      </c>
      <c r="U476" s="6">
        <f t="shared" si="172"/>
        <v>1.2614594348758819E-31</v>
      </c>
      <c r="V476">
        <f t="shared" si="162"/>
        <v>1.8921891523138228E-32</v>
      </c>
      <c r="W476">
        <f t="shared" si="163"/>
        <v>0</v>
      </c>
      <c r="X476">
        <f t="shared" si="155"/>
        <v>261703.60046679314</v>
      </c>
      <c r="Y476" s="6">
        <f t="shared" si="164"/>
        <v>29066.869400642947</v>
      </c>
      <c r="Z476" s="6">
        <f t="shared" si="165"/>
        <v>11.308429000664129</v>
      </c>
      <c r="AA476" s="6">
        <f t="shared" si="166"/>
        <v>1.4016215943065359E-32</v>
      </c>
      <c r="AB476">
        <f t="shared" si="167"/>
        <v>0</v>
      </c>
      <c r="AD476" s="6">
        <f t="shared" si="156"/>
        <v>110009.77856741182</v>
      </c>
      <c r="AG476">
        <f t="shared" si="168"/>
        <v>80470.032207128854</v>
      </c>
      <c r="AH476">
        <f t="shared" si="169"/>
        <v>461.56853063935336</v>
      </c>
      <c r="AI476">
        <f t="shared" si="170"/>
        <v>3.3638918263356935E-30</v>
      </c>
      <c r="AL476">
        <f t="shared" si="157"/>
        <v>0.96927259432145607</v>
      </c>
      <c r="AM476">
        <f t="shared" si="173"/>
        <v>0.84622906590316782</v>
      </c>
      <c r="AO476">
        <v>474</v>
      </c>
      <c r="AP476">
        <v>0.96626878735338495</v>
      </c>
      <c r="AQ476">
        <v>0.83074594854628603</v>
      </c>
    </row>
    <row r="477" spans="14:43" x14ac:dyDescent="0.35">
      <c r="N477">
        <f t="shared" si="153"/>
        <v>475</v>
      </c>
      <c r="O477" s="6">
        <f t="shared" si="154"/>
        <v>261588.74451455689</v>
      </c>
      <c r="P477">
        <f t="shared" si="158"/>
        <v>13.079437225727846</v>
      </c>
      <c r="Q477">
        <f t="shared" si="159"/>
        <v>0</v>
      </c>
      <c r="R477" s="6">
        <f t="shared" si="171"/>
        <v>101.16520583994135</v>
      </c>
      <c r="S477">
        <f t="shared" si="160"/>
        <v>0.60699123503964814</v>
      </c>
      <c r="T477">
        <f t="shared" si="161"/>
        <v>0</v>
      </c>
      <c r="U477" s="6">
        <f t="shared" si="172"/>
        <v>1.0722405196444996E-31</v>
      </c>
      <c r="V477">
        <f t="shared" si="162"/>
        <v>1.6083607794667495E-32</v>
      </c>
      <c r="W477">
        <f t="shared" si="163"/>
        <v>0</v>
      </c>
      <c r="X477">
        <f t="shared" si="155"/>
        <v>261689.90972039683</v>
      </c>
      <c r="Y477" s="6">
        <f t="shared" si="164"/>
        <v>29065.416057172915</v>
      </c>
      <c r="Z477" s="6">
        <f t="shared" si="165"/>
        <v>11.240578426660143</v>
      </c>
      <c r="AA477" s="6">
        <f t="shared" si="166"/>
        <v>1.1913783551605556E-32</v>
      </c>
      <c r="AB477">
        <f t="shared" si="167"/>
        <v>0</v>
      </c>
      <c r="AD477" s="6">
        <f t="shared" si="156"/>
        <v>110001.4644605736</v>
      </c>
      <c r="AG477">
        <f t="shared" si="168"/>
        <v>80466.008705518499</v>
      </c>
      <c r="AH477">
        <f t="shared" si="169"/>
        <v>458.79911945551726</v>
      </c>
      <c r="AI477">
        <f t="shared" si="170"/>
        <v>2.8593080523853394E-30</v>
      </c>
      <c r="AL477">
        <f t="shared" si="157"/>
        <v>0.96922188785332153</v>
      </c>
      <c r="AM477">
        <f t="shared" si="173"/>
        <v>0.84616511123518146</v>
      </c>
      <c r="AO477">
        <v>475</v>
      </c>
      <c r="AP477">
        <v>0.96620197302705602</v>
      </c>
      <c r="AQ477">
        <v>0.830605638460998</v>
      </c>
    </row>
    <row r="478" spans="14:43" x14ac:dyDescent="0.35">
      <c r="N478">
        <f t="shared" si="153"/>
        <v>476</v>
      </c>
      <c r="O478" s="6">
        <f t="shared" si="154"/>
        <v>261575.66507733116</v>
      </c>
      <c r="P478">
        <f t="shared" si="158"/>
        <v>13.078783253866558</v>
      </c>
      <c r="Q478">
        <f t="shared" si="159"/>
        <v>0</v>
      </c>
      <c r="R478" s="6">
        <f t="shared" si="171"/>
        <v>100.55821460490171</v>
      </c>
      <c r="S478">
        <f t="shared" si="160"/>
        <v>0.6033492876294102</v>
      </c>
      <c r="T478">
        <f t="shared" si="161"/>
        <v>0</v>
      </c>
      <c r="U478" s="6">
        <f t="shared" si="172"/>
        <v>9.1140444169782464E-32</v>
      </c>
      <c r="V478">
        <f t="shared" si="162"/>
        <v>1.3671066625467368E-32</v>
      </c>
      <c r="W478">
        <f t="shared" si="163"/>
        <v>0</v>
      </c>
      <c r="X478">
        <f t="shared" si="155"/>
        <v>261676.22329193607</v>
      </c>
      <c r="Y478" s="6">
        <f t="shared" si="164"/>
        <v>29063.962786370055</v>
      </c>
      <c r="Z478" s="6">
        <f t="shared" si="165"/>
        <v>11.173134956100181</v>
      </c>
      <c r="AA478" s="6">
        <f t="shared" si="166"/>
        <v>1.0126716018864723E-32</v>
      </c>
      <c r="AB478">
        <f t="shared" si="167"/>
        <v>0</v>
      </c>
      <c r="AD478" s="6">
        <f t="shared" si="156"/>
        <v>109993.16765114816</v>
      </c>
      <c r="AG478">
        <f t="shared" si="168"/>
        <v>80461.985405083222</v>
      </c>
      <c r="AH478">
        <f t="shared" si="169"/>
        <v>456.04632473878416</v>
      </c>
      <c r="AI478">
        <f t="shared" si="170"/>
        <v>2.4304118445275386E-30</v>
      </c>
      <c r="AL478">
        <f t="shared" si="157"/>
        <v>0.96917119737754098</v>
      </c>
      <c r="AM478">
        <f t="shared" si="173"/>
        <v>0.8461012896242166</v>
      </c>
      <c r="AO478">
        <v>476</v>
      </c>
      <c r="AP478">
        <v>0.96614184013336102</v>
      </c>
      <c r="AQ478">
        <v>0.83050541697150604</v>
      </c>
    </row>
    <row r="479" spans="14:43" x14ac:dyDescent="0.35">
      <c r="N479">
        <f t="shared" si="153"/>
        <v>477</v>
      </c>
      <c r="O479" s="6">
        <f t="shared" si="154"/>
        <v>261562.58629407728</v>
      </c>
      <c r="P479">
        <f t="shared" si="158"/>
        <v>13.078129314703865</v>
      </c>
      <c r="Q479">
        <f t="shared" si="159"/>
        <v>0</v>
      </c>
      <c r="R479" s="6">
        <f t="shared" si="171"/>
        <v>99.954865317272294</v>
      </c>
      <c r="S479">
        <f t="shared" si="160"/>
        <v>0.59972919190363383</v>
      </c>
      <c r="T479">
        <f t="shared" si="161"/>
        <v>0</v>
      </c>
      <c r="U479" s="6">
        <f t="shared" si="172"/>
        <v>7.7469377544315099E-32</v>
      </c>
      <c r="V479">
        <f t="shared" si="162"/>
        <v>1.1620406631647265E-32</v>
      </c>
      <c r="W479">
        <f t="shared" si="163"/>
        <v>0</v>
      </c>
      <c r="X479">
        <f t="shared" si="155"/>
        <v>261662.54115939455</v>
      </c>
      <c r="Y479" s="6">
        <f t="shared" si="164"/>
        <v>29062.509588230736</v>
      </c>
      <c r="Z479" s="6">
        <f t="shared" si="165"/>
        <v>11.10609614636358</v>
      </c>
      <c r="AA479" s="6">
        <f t="shared" si="166"/>
        <v>8.6077086160350145E-33</v>
      </c>
      <c r="AB479">
        <f t="shared" si="167"/>
        <v>0</v>
      </c>
      <c r="AD479" s="6">
        <f t="shared" si="156"/>
        <v>109984.88803698042</v>
      </c>
      <c r="AG479">
        <f t="shared" si="168"/>
        <v>80457.962305812965</v>
      </c>
      <c r="AH479">
        <f t="shared" si="169"/>
        <v>453.31004679035146</v>
      </c>
      <c r="AI479">
        <f t="shared" si="170"/>
        <v>2.0658500678484077E-30</v>
      </c>
      <c r="AL479">
        <f t="shared" si="157"/>
        <v>0.96912052281257244</v>
      </c>
      <c r="AM479">
        <f t="shared" si="173"/>
        <v>0.84603760028446484</v>
      </c>
      <c r="AO479">
        <v>477</v>
      </c>
      <c r="AP479">
        <v>0.96605832222545196</v>
      </c>
      <c r="AQ479">
        <v>0.83035508473726904</v>
      </c>
    </row>
    <row r="480" spans="14:43" x14ac:dyDescent="0.35">
      <c r="N480">
        <f t="shared" si="153"/>
        <v>478</v>
      </c>
      <c r="O480" s="6">
        <f t="shared" si="154"/>
        <v>261549.50816476258</v>
      </c>
      <c r="P480">
        <f t="shared" si="158"/>
        <v>13.077475408238129</v>
      </c>
      <c r="Q480">
        <f t="shared" si="159"/>
        <v>0</v>
      </c>
      <c r="R480" s="6">
        <f t="shared" si="171"/>
        <v>99.355136125368659</v>
      </c>
      <c r="S480">
        <f t="shared" si="160"/>
        <v>0.59613081675221202</v>
      </c>
      <c r="T480">
        <f t="shared" si="161"/>
        <v>0</v>
      </c>
      <c r="U480" s="6">
        <f t="shared" si="172"/>
        <v>6.5848970912667834E-32</v>
      </c>
      <c r="V480">
        <f t="shared" si="162"/>
        <v>9.8773456369001751E-33</v>
      </c>
      <c r="W480">
        <f t="shared" si="163"/>
        <v>0</v>
      </c>
      <c r="X480">
        <f t="shared" si="155"/>
        <v>261648.86330088796</v>
      </c>
      <c r="Y480" s="6">
        <f t="shared" si="164"/>
        <v>29061.056462751323</v>
      </c>
      <c r="Z480" s="6">
        <f t="shared" si="165"/>
        <v>11.039459569485398</v>
      </c>
      <c r="AA480" s="6">
        <f t="shared" si="166"/>
        <v>7.3165523236297624E-33</v>
      </c>
      <c r="AB480">
        <f t="shared" si="167"/>
        <v>0</v>
      </c>
      <c r="AD480" s="6">
        <f t="shared" si="156"/>
        <v>109976.62551652809</v>
      </c>
      <c r="AG480">
        <f t="shared" si="168"/>
        <v>80453.939407697675</v>
      </c>
      <c r="AH480">
        <f t="shared" si="169"/>
        <v>450.59018650960934</v>
      </c>
      <c r="AI480">
        <f t="shared" si="170"/>
        <v>1.7559725576711466E-30</v>
      </c>
      <c r="AL480">
        <f t="shared" si="157"/>
        <v>0.96906986407736284</v>
      </c>
      <c r="AM480">
        <f t="shared" si="173"/>
        <v>0.84597404243483143</v>
      </c>
      <c r="AO480">
        <v>478</v>
      </c>
      <c r="AP480">
        <v>0.96597146360122599</v>
      </c>
      <c r="AQ480">
        <v>0.83029495184357405</v>
      </c>
    </row>
    <row r="481" spans="14:43" x14ac:dyDescent="0.35">
      <c r="N481">
        <f t="shared" si="153"/>
        <v>479</v>
      </c>
      <c r="O481" s="6">
        <f t="shared" si="154"/>
        <v>261536.43068935434</v>
      </c>
      <c r="P481">
        <f t="shared" si="158"/>
        <v>13.076821534467717</v>
      </c>
      <c r="Q481">
        <f t="shared" si="159"/>
        <v>0</v>
      </c>
      <c r="R481" s="6">
        <f t="shared" si="171"/>
        <v>98.759005308616452</v>
      </c>
      <c r="S481">
        <f t="shared" si="160"/>
        <v>0.59255403185169875</v>
      </c>
      <c r="T481">
        <f t="shared" si="161"/>
        <v>0</v>
      </c>
      <c r="U481" s="6">
        <f t="shared" si="172"/>
        <v>5.5971625275767653E-32</v>
      </c>
      <c r="V481">
        <f t="shared" si="162"/>
        <v>8.3957437913651477E-33</v>
      </c>
      <c r="W481">
        <f t="shared" si="163"/>
        <v>0</v>
      </c>
      <c r="X481">
        <f t="shared" si="155"/>
        <v>261635.18969466296</v>
      </c>
      <c r="Y481" s="6">
        <f t="shared" si="164"/>
        <v>29059.603409928186</v>
      </c>
      <c r="Z481" s="6">
        <f t="shared" si="165"/>
        <v>10.973222812068485</v>
      </c>
      <c r="AA481" s="6">
        <f t="shared" si="166"/>
        <v>6.219069475085298E-33</v>
      </c>
      <c r="AB481">
        <f t="shared" si="167"/>
        <v>0</v>
      </c>
      <c r="AD481" s="6">
        <f t="shared" si="156"/>
        <v>109968.3799888581</v>
      </c>
      <c r="AG481">
        <f t="shared" si="168"/>
        <v>80449.916710727295</v>
      </c>
      <c r="AH481">
        <f t="shared" si="169"/>
        <v>447.88664539055168</v>
      </c>
      <c r="AI481">
        <f t="shared" si="170"/>
        <v>1.4925766740204746E-30</v>
      </c>
      <c r="AL481">
        <f t="shared" si="157"/>
        <v>0.96901922109134431</v>
      </c>
      <c r="AM481">
        <f t="shared" si="173"/>
        <v>0.84591061529890843</v>
      </c>
      <c r="AO481">
        <v>479</v>
      </c>
      <c r="AP481">
        <v>0.96584117566488503</v>
      </c>
      <c r="AQ481">
        <v>0.83017468605618305</v>
      </c>
    </row>
    <row r="482" spans="14:43" x14ac:dyDescent="0.35">
      <c r="N482">
        <f t="shared" si="153"/>
        <v>480</v>
      </c>
      <c r="O482" s="6">
        <f t="shared" si="154"/>
        <v>261523.35386781988</v>
      </c>
      <c r="P482">
        <f t="shared" si="158"/>
        <v>13.076167693390994</v>
      </c>
      <c r="Q482">
        <f t="shared" si="159"/>
        <v>0</v>
      </c>
      <c r="R482" s="6">
        <f t="shared" si="171"/>
        <v>98.166451276764747</v>
      </c>
      <c r="S482">
        <f t="shared" si="160"/>
        <v>0.58899870766058848</v>
      </c>
      <c r="T482">
        <f t="shared" si="161"/>
        <v>0</v>
      </c>
      <c r="U482" s="6">
        <f t="shared" si="172"/>
        <v>4.7575881484402504E-32</v>
      </c>
      <c r="V482">
        <f t="shared" si="162"/>
        <v>7.1363822226603748E-33</v>
      </c>
      <c r="W482">
        <f t="shared" si="163"/>
        <v>0</v>
      </c>
      <c r="X482">
        <f t="shared" si="155"/>
        <v>261621.52031909666</v>
      </c>
      <c r="Y482" s="6">
        <f t="shared" si="164"/>
        <v>29058.15042975769</v>
      </c>
      <c r="Z482" s="6">
        <f t="shared" si="165"/>
        <v>10.907383475196074</v>
      </c>
      <c r="AA482" s="6">
        <f t="shared" si="166"/>
        <v>5.2862090538225035E-33</v>
      </c>
      <c r="AB482">
        <f t="shared" si="167"/>
        <v>0</v>
      </c>
      <c r="AD482" s="6">
        <f t="shared" si="156"/>
        <v>109960.15135364284</v>
      </c>
      <c r="AG482">
        <f t="shared" si="168"/>
        <v>80445.894214891756</v>
      </c>
      <c r="AH482">
        <f t="shared" si="169"/>
        <v>445.19932551820835</v>
      </c>
      <c r="AI482">
        <f t="shared" si="170"/>
        <v>1.2686901729174034E-30</v>
      </c>
      <c r="AL482">
        <f t="shared" si="157"/>
        <v>0.96896859377443201</v>
      </c>
      <c r="AM482">
        <f t="shared" si="173"/>
        <v>0.84584731810494496</v>
      </c>
      <c r="AO482">
        <v>480</v>
      </c>
      <c r="AP482">
        <v>0.96576767990592605</v>
      </c>
      <c r="AQ482">
        <v>0.83011455316248794</v>
      </c>
    </row>
    <row r="483" spans="14:43" x14ac:dyDescent="0.35">
      <c r="N483">
        <f t="shared" si="153"/>
        <v>481</v>
      </c>
      <c r="O483" s="6">
        <f t="shared" si="154"/>
        <v>261510.27770012649</v>
      </c>
      <c r="P483">
        <f t="shared" si="158"/>
        <v>13.075513885006325</v>
      </c>
      <c r="Q483">
        <f t="shared" si="159"/>
        <v>0</v>
      </c>
      <c r="R483" s="6">
        <f t="shared" si="171"/>
        <v>97.577452569104153</v>
      </c>
      <c r="S483">
        <f t="shared" si="160"/>
        <v>0.58546471541462497</v>
      </c>
      <c r="T483">
        <f t="shared" si="161"/>
        <v>0</v>
      </c>
      <c r="U483" s="6">
        <f t="shared" si="172"/>
        <v>4.0439499261742128E-32</v>
      </c>
      <c r="V483">
        <f t="shared" si="162"/>
        <v>6.0659248892613192E-33</v>
      </c>
      <c r="W483">
        <f t="shared" si="163"/>
        <v>0</v>
      </c>
      <c r="X483">
        <f t="shared" si="155"/>
        <v>261607.85515269559</v>
      </c>
      <c r="Y483" s="6">
        <f t="shared" si="164"/>
        <v>29056.697522236202</v>
      </c>
      <c r="Z483" s="6">
        <f t="shared" si="165"/>
        <v>10.841939174344898</v>
      </c>
      <c r="AA483" s="6">
        <f t="shared" si="166"/>
        <v>4.4932776957491279E-33</v>
      </c>
      <c r="AB483">
        <f t="shared" si="167"/>
        <v>0</v>
      </c>
      <c r="AD483" s="6">
        <f t="shared" si="156"/>
        <v>109951.93951115666</v>
      </c>
      <c r="AG483">
        <f t="shared" si="168"/>
        <v>80441.871920181016</v>
      </c>
      <c r="AH483">
        <f t="shared" si="169"/>
        <v>442.52812956509911</v>
      </c>
      <c r="AI483">
        <f t="shared" si="170"/>
        <v>1.078386646979793E-30</v>
      </c>
      <c r="AL483">
        <f t="shared" si="157"/>
        <v>0.96891798204702073</v>
      </c>
      <c r="AM483">
        <f t="shared" si="173"/>
        <v>0.84578415008582042</v>
      </c>
      <c r="AO483">
        <v>481</v>
      </c>
      <c r="AP483">
        <v>0.96569418414696495</v>
      </c>
      <c r="AQ483">
        <v>0.83002435382194595</v>
      </c>
    </row>
    <row r="484" spans="14:43" x14ac:dyDescent="0.35">
      <c r="N484">
        <f t="shared" si="153"/>
        <v>482</v>
      </c>
      <c r="O484" s="6">
        <f t="shared" si="154"/>
        <v>261497.20218624148</v>
      </c>
      <c r="P484">
        <f t="shared" si="158"/>
        <v>13.074860109312075</v>
      </c>
      <c r="Q484">
        <f t="shared" si="159"/>
        <v>0</v>
      </c>
      <c r="R484" s="6">
        <f t="shared" si="171"/>
        <v>96.991987853689523</v>
      </c>
      <c r="S484">
        <f t="shared" si="160"/>
        <v>0.58195192712213717</v>
      </c>
      <c r="T484">
        <f t="shared" si="161"/>
        <v>0</v>
      </c>
      <c r="U484" s="6">
        <f t="shared" si="172"/>
        <v>3.4373574372480808E-32</v>
      </c>
      <c r="V484">
        <f t="shared" si="162"/>
        <v>5.1560361558721207E-33</v>
      </c>
      <c r="W484">
        <f t="shared" si="163"/>
        <v>0</v>
      </c>
      <c r="X484">
        <f t="shared" si="155"/>
        <v>261594.19417409517</v>
      </c>
      <c r="Y484" s="6">
        <f t="shared" si="164"/>
        <v>29055.244687360089</v>
      </c>
      <c r="Z484" s="6">
        <f t="shared" si="165"/>
        <v>10.776887539298828</v>
      </c>
      <c r="AA484" s="6">
        <f t="shared" si="166"/>
        <v>3.8192860413867584E-33</v>
      </c>
      <c r="AB484">
        <f t="shared" si="167"/>
        <v>0</v>
      </c>
      <c r="AD484" s="6">
        <f t="shared" si="156"/>
        <v>109943.74436227209</v>
      </c>
      <c r="AG484">
        <f t="shared" si="168"/>
        <v>80437.849826585007</v>
      </c>
      <c r="AH484">
        <f t="shared" si="169"/>
        <v>439.87296078770851</v>
      </c>
      <c r="AI484">
        <f t="shared" si="170"/>
        <v>9.1662864993282396E-31</v>
      </c>
      <c r="AL484">
        <f t="shared" si="157"/>
        <v>0.96886738582998211</v>
      </c>
      <c r="AM484">
        <f t="shared" si="173"/>
        <v>0.8457211104790161</v>
      </c>
      <c r="AO484">
        <v>482</v>
      </c>
      <c r="AP484">
        <v>0.96560398480642196</v>
      </c>
      <c r="AQ484">
        <v>0.82994417663035203</v>
      </c>
    </row>
    <row r="485" spans="14:43" x14ac:dyDescent="0.35">
      <c r="N485">
        <f t="shared" ref="N485:N548" si="174">N484+1</f>
        <v>483</v>
      </c>
      <c r="O485" s="6">
        <f t="shared" si="154"/>
        <v>261484.12732613218</v>
      </c>
      <c r="P485">
        <f t="shared" si="158"/>
        <v>13.07420636630661</v>
      </c>
      <c r="Q485">
        <f t="shared" si="159"/>
        <v>0</v>
      </c>
      <c r="R485" s="6">
        <f t="shared" si="171"/>
        <v>96.410035926567389</v>
      </c>
      <c r="S485">
        <f t="shared" si="160"/>
        <v>0.5784602155594043</v>
      </c>
      <c r="T485">
        <f t="shared" si="161"/>
        <v>0</v>
      </c>
      <c r="U485" s="6">
        <f t="shared" si="172"/>
        <v>2.9217538216608686E-32</v>
      </c>
      <c r="V485">
        <f t="shared" si="162"/>
        <v>4.3826307324913025E-33</v>
      </c>
      <c r="W485">
        <f t="shared" si="163"/>
        <v>0</v>
      </c>
      <c r="X485">
        <f t="shared" si="155"/>
        <v>261580.53736205873</v>
      </c>
      <c r="Y485" s="6">
        <f t="shared" si="164"/>
        <v>29053.791925125723</v>
      </c>
      <c r="Z485" s="6">
        <f t="shared" si="165"/>
        <v>10.712226214063035</v>
      </c>
      <c r="AA485" s="6">
        <f t="shared" si="166"/>
        <v>3.2463931351787443E-33</v>
      </c>
      <c r="AB485">
        <f t="shared" si="167"/>
        <v>0</v>
      </c>
      <c r="AD485" s="6">
        <f t="shared" si="156"/>
        <v>109935.56580845643</v>
      </c>
      <c r="AG485">
        <f t="shared" si="168"/>
        <v>80433.827934093672</v>
      </c>
      <c r="AH485">
        <f t="shared" si="169"/>
        <v>437.23372302298225</v>
      </c>
      <c r="AI485">
        <f t="shared" si="170"/>
        <v>7.791343524429004E-31</v>
      </c>
      <c r="AL485">
        <f t="shared" si="157"/>
        <v>0.96881680504466194</v>
      </c>
      <c r="AM485">
        <f t="shared" si="173"/>
        <v>0.84565819852658797</v>
      </c>
      <c r="AO485">
        <v>483</v>
      </c>
      <c r="AP485">
        <v>0.96552380761482903</v>
      </c>
      <c r="AQ485">
        <v>0.82984395514085996</v>
      </c>
    </row>
    <row r="486" spans="14:43" x14ac:dyDescent="0.35">
      <c r="N486">
        <f t="shared" si="174"/>
        <v>484</v>
      </c>
      <c r="O486" s="6">
        <f t="shared" si="154"/>
        <v>261471.05311976586</v>
      </c>
      <c r="P486">
        <f t="shared" si="158"/>
        <v>13.073552655988294</v>
      </c>
      <c r="Q486">
        <f t="shared" si="159"/>
        <v>0</v>
      </c>
      <c r="R486" s="6">
        <f t="shared" si="171"/>
        <v>95.831575711007986</v>
      </c>
      <c r="S486">
        <f t="shared" si="160"/>
        <v>0.57498945426604797</v>
      </c>
      <c r="T486">
        <f t="shared" si="161"/>
        <v>0</v>
      </c>
      <c r="U486" s="6">
        <f t="shared" si="172"/>
        <v>2.4834907484117382E-32</v>
      </c>
      <c r="V486">
        <f t="shared" si="162"/>
        <v>3.7252361226176071E-33</v>
      </c>
      <c r="W486">
        <f t="shared" si="163"/>
        <v>0</v>
      </c>
      <c r="X486">
        <f t="shared" si="155"/>
        <v>261566.88469547685</v>
      </c>
      <c r="Y486" s="6">
        <f t="shared" si="164"/>
        <v>29052.339235529467</v>
      </c>
      <c r="Z486" s="6">
        <f t="shared" si="165"/>
        <v>10.647952856778657</v>
      </c>
      <c r="AA486" s="6">
        <f t="shared" si="166"/>
        <v>2.7594341649019328E-33</v>
      </c>
      <c r="AB486">
        <f t="shared" si="167"/>
        <v>0</v>
      </c>
      <c r="AD486" s="6">
        <f t="shared" si="156"/>
        <v>109927.40375176807</v>
      </c>
      <c r="AG486">
        <f t="shared" si="168"/>
        <v>80429.80624269697</v>
      </c>
      <c r="AH486">
        <f t="shared" si="169"/>
        <v>434.61032068484434</v>
      </c>
      <c r="AI486">
        <f t="shared" si="170"/>
        <v>6.6226419957646535E-31</v>
      </c>
      <c r="AL486">
        <f t="shared" si="157"/>
        <v>0.96876623961287722</v>
      </c>
      <c r="AM486">
        <f t="shared" si="173"/>
        <v>0.845595413475139</v>
      </c>
      <c r="AO486">
        <v>484</v>
      </c>
      <c r="AP486">
        <v>0.96544697113955202</v>
      </c>
      <c r="AQ486">
        <v>0.829803866545063</v>
      </c>
    </row>
    <row r="487" spans="14:43" x14ac:dyDescent="0.35">
      <c r="N487">
        <f t="shared" si="174"/>
        <v>485</v>
      </c>
      <c r="O487" s="6">
        <f t="shared" si="154"/>
        <v>261457.97956710987</v>
      </c>
      <c r="P487">
        <f t="shared" si="158"/>
        <v>13.072898978355495</v>
      </c>
      <c r="Q487">
        <f t="shared" si="159"/>
        <v>0</v>
      </c>
      <c r="R487" s="6">
        <f t="shared" si="171"/>
        <v>95.25658625674194</v>
      </c>
      <c r="S487">
        <f t="shared" si="160"/>
        <v>0.57153951754045162</v>
      </c>
      <c r="T487">
        <f t="shared" si="161"/>
        <v>0</v>
      </c>
      <c r="U487" s="6">
        <f t="shared" si="172"/>
        <v>2.1109671361499775E-32</v>
      </c>
      <c r="V487">
        <f t="shared" si="162"/>
        <v>3.1664507042249664E-33</v>
      </c>
      <c r="W487">
        <f t="shared" si="163"/>
        <v>0</v>
      </c>
      <c r="X487">
        <f t="shared" si="155"/>
        <v>261553.2361533666</v>
      </c>
      <c r="Y487" s="6">
        <f t="shared" si="164"/>
        <v>29050.886618567692</v>
      </c>
      <c r="Z487" s="6">
        <f t="shared" si="165"/>
        <v>10.584065139637985</v>
      </c>
      <c r="AA487" s="6">
        <f t="shared" si="166"/>
        <v>2.3455190401666429E-33</v>
      </c>
      <c r="AB487">
        <f t="shared" si="167"/>
        <v>0</v>
      </c>
      <c r="AD487" s="6">
        <f t="shared" si="156"/>
        <v>109919.25809485289</v>
      </c>
      <c r="AG487">
        <f t="shared" si="168"/>
        <v>80425.784752384832</v>
      </c>
      <c r="AH487">
        <f t="shared" si="169"/>
        <v>432.0026587607353</v>
      </c>
      <c r="AI487">
        <f t="shared" si="170"/>
        <v>5.6292456963999558E-31</v>
      </c>
      <c r="AL487">
        <f t="shared" si="157"/>
        <v>0.96871568945691333</v>
      </c>
      <c r="AM487">
        <f t="shared" si="173"/>
        <v>0.84553275457579147</v>
      </c>
      <c r="AO487">
        <v>485</v>
      </c>
      <c r="AP487">
        <v>0.96537681609690795</v>
      </c>
      <c r="AQ487">
        <v>0.82975375580031896</v>
      </c>
    </row>
    <row r="488" spans="14:43" x14ac:dyDescent="0.35">
      <c r="N488">
        <f t="shared" si="174"/>
        <v>486</v>
      </c>
      <c r="O488" s="6">
        <f t="shared" si="154"/>
        <v>261444.9066681315</v>
      </c>
      <c r="P488">
        <f t="shared" si="158"/>
        <v>13.072245333406576</v>
      </c>
      <c r="Q488">
        <f t="shared" si="159"/>
        <v>0</v>
      </c>
      <c r="R488" s="6">
        <f t="shared" si="171"/>
        <v>94.685046739201482</v>
      </c>
      <c r="S488">
        <f t="shared" si="160"/>
        <v>0.56811028043520895</v>
      </c>
      <c r="T488">
        <f t="shared" si="161"/>
        <v>0</v>
      </c>
      <c r="U488" s="6">
        <f t="shared" si="172"/>
        <v>1.7943220657274808E-32</v>
      </c>
      <c r="V488">
        <f t="shared" si="162"/>
        <v>2.691483098591221E-33</v>
      </c>
      <c r="W488">
        <f t="shared" si="163"/>
        <v>0</v>
      </c>
      <c r="X488">
        <f t="shared" si="155"/>
        <v>261539.59171487071</v>
      </c>
      <c r="Y488" s="6">
        <f t="shared" si="164"/>
        <v>29049.434074236764</v>
      </c>
      <c r="Z488" s="6">
        <f t="shared" si="165"/>
        <v>10.520560748800158</v>
      </c>
      <c r="AA488" s="6">
        <f t="shared" si="166"/>
        <v>1.9936911841416465E-33</v>
      </c>
      <c r="AB488">
        <f t="shared" si="167"/>
        <v>0</v>
      </c>
      <c r="AD488" s="6">
        <f t="shared" si="156"/>
        <v>109911.12874094096</v>
      </c>
      <c r="AG488">
        <f t="shared" si="168"/>
        <v>80421.763463147217</v>
      </c>
      <c r="AH488">
        <f t="shared" si="169"/>
        <v>429.41064280817091</v>
      </c>
      <c r="AI488">
        <f t="shared" si="170"/>
        <v>4.7848588419399624E-31</v>
      </c>
      <c r="AL488">
        <f t="shared" si="157"/>
        <v>0.96866515449952117</v>
      </c>
      <c r="AM488">
        <f t="shared" si="173"/>
        <v>0.84547022108416126</v>
      </c>
      <c r="AO488">
        <v>486</v>
      </c>
      <c r="AP488">
        <v>0.96531000177058002</v>
      </c>
      <c r="AQ488">
        <v>0.82966355645977496</v>
      </c>
    </row>
    <row r="489" spans="14:43" x14ac:dyDescent="0.35">
      <c r="N489">
        <f t="shared" si="174"/>
        <v>487</v>
      </c>
      <c r="O489" s="6">
        <f t="shared" si="154"/>
        <v>261431.8344227981</v>
      </c>
      <c r="P489">
        <f t="shared" si="158"/>
        <v>13.071591721139905</v>
      </c>
      <c r="Q489">
        <f t="shared" si="159"/>
        <v>0</v>
      </c>
      <c r="R489" s="6">
        <f t="shared" si="171"/>
        <v>94.116936458766276</v>
      </c>
      <c r="S489">
        <f t="shared" si="160"/>
        <v>0.56470161875259761</v>
      </c>
      <c r="T489">
        <f t="shared" si="161"/>
        <v>0</v>
      </c>
      <c r="U489" s="6">
        <f t="shared" si="172"/>
        <v>1.5251737558683588E-32</v>
      </c>
      <c r="V489">
        <f t="shared" si="162"/>
        <v>2.287760633802538E-33</v>
      </c>
      <c r="W489">
        <f t="shared" si="163"/>
        <v>0</v>
      </c>
      <c r="X489">
        <f t="shared" si="155"/>
        <v>261525.95135925687</v>
      </c>
      <c r="Y489" s="6">
        <f t="shared" si="164"/>
        <v>29047.981602533051</v>
      </c>
      <c r="Z489" s="6">
        <f t="shared" si="165"/>
        <v>10.457437384307356</v>
      </c>
      <c r="AA489" s="6">
        <f t="shared" si="166"/>
        <v>1.6946375065203995E-33</v>
      </c>
      <c r="AB489">
        <f t="shared" si="167"/>
        <v>0</v>
      </c>
      <c r="AD489" s="6">
        <f t="shared" si="156"/>
        <v>109903.01559384273</v>
      </c>
      <c r="AG489">
        <f t="shared" si="168"/>
        <v>80417.742374974056</v>
      </c>
      <c r="AH489">
        <f t="shared" si="169"/>
        <v>426.83417895132186</v>
      </c>
      <c r="AI489">
        <f t="shared" si="170"/>
        <v>4.0671300156489678E-31</v>
      </c>
      <c r="AL489">
        <f t="shared" si="157"/>
        <v>0.96861463466391429</v>
      </c>
      <c r="AM489">
        <f t="shared" si="173"/>
        <v>0.84540781226032868</v>
      </c>
      <c r="AO489">
        <v>487</v>
      </c>
      <c r="AP489">
        <v>0.96525655030951796</v>
      </c>
      <c r="AQ489">
        <v>0.82960342356608097</v>
      </c>
    </row>
    <row r="490" spans="14:43" x14ac:dyDescent="0.35">
      <c r="N490">
        <f t="shared" si="174"/>
        <v>488</v>
      </c>
      <c r="O490" s="6">
        <f t="shared" si="154"/>
        <v>261418.76283107695</v>
      </c>
      <c r="P490">
        <f t="shared" si="158"/>
        <v>13.070938141553848</v>
      </c>
      <c r="Q490">
        <f t="shared" si="159"/>
        <v>0</v>
      </c>
      <c r="R490" s="6">
        <f t="shared" si="171"/>
        <v>93.552234840013682</v>
      </c>
      <c r="S490">
        <f t="shared" si="160"/>
        <v>0.56131340904008209</v>
      </c>
      <c r="T490">
        <f t="shared" si="161"/>
        <v>0</v>
      </c>
      <c r="U490" s="6">
        <f t="shared" si="172"/>
        <v>1.2963976924881051E-32</v>
      </c>
      <c r="V490">
        <f t="shared" si="162"/>
        <v>1.9445965387321577E-33</v>
      </c>
      <c r="W490">
        <f t="shared" si="163"/>
        <v>0</v>
      </c>
      <c r="X490">
        <f t="shared" si="155"/>
        <v>261512.31506591698</v>
      </c>
      <c r="Y490" s="6">
        <f t="shared" si="164"/>
        <v>29046.529203452923</v>
      </c>
      <c r="Z490" s="6">
        <f t="shared" si="165"/>
        <v>10.394692760001512</v>
      </c>
      <c r="AA490" s="6">
        <f t="shared" si="166"/>
        <v>1.4404418805423395E-33</v>
      </c>
      <c r="AB490">
        <f t="shared" si="167"/>
        <v>0</v>
      </c>
      <c r="AD490" s="6">
        <f t="shared" si="156"/>
        <v>109894.91855794584</v>
      </c>
      <c r="AG490">
        <f t="shared" si="168"/>
        <v>80413.721487855306</v>
      </c>
      <c r="AH490">
        <f t="shared" si="169"/>
        <v>424.27317387761394</v>
      </c>
      <c r="AI490">
        <f t="shared" si="170"/>
        <v>3.4570605133016228E-31</v>
      </c>
      <c r="AL490">
        <f t="shared" si="157"/>
        <v>0.96856412987376661</v>
      </c>
      <c r="AM490">
        <f t="shared" si="173"/>
        <v>0.84534552736881419</v>
      </c>
      <c r="AO490">
        <v>488</v>
      </c>
      <c r="AP490">
        <v>0.96517637311792503</v>
      </c>
      <c r="AQ490">
        <v>0.82955331282133504</v>
      </c>
    </row>
    <row r="491" spans="14:43" x14ac:dyDescent="0.35">
      <c r="N491">
        <f t="shared" si="174"/>
        <v>489</v>
      </c>
      <c r="O491" s="6">
        <f t="shared" si="154"/>
        <v>261405.6918929354</v>
      </c>
      <c r="P491">
        <f t="shared" si="158"/>
        <v>13.07028459464677</v>
      </c>
      <c r="Q491">
        <f t="shared" si="159"/>
        <v>0</v>
      </c>
      <c r="R491" s="6">
        <f t="shared" si="171"/>
        <v>92.9909214309736</v>
      </c>
      <c r="S491">
        <f t="shared" si="160"/>
        <v>0.55794552858584157</v>
      </c>
      <c r="T491">
        <f t="shared" si="161"/>
        <v>0</v>
      </c>
      <c r="U491" s="6">
        <f t="shared" si="172"/>
        <v>1.1019380386148893E-32</v>
      </c>
      <c r="V491">
        <f t="shared" si="162"/>
        <v>1.6529070579223338E-33</v>
      </c>
      <c r="W491">
        <f t="shared" si="163"/>
        <v>0</v>
      </c>
      <c r="X491">
        <f t="shared" si="155"/>
        <v>261498.68281436636</v>
      </c>
      <c r="Y491" s="6">
        <f t="shared" si="164"/>
        <v>29045.076876992749</v>
      </c>
      <c r="Z491" s="6">
        <f t="shared" si="165"/>
        <v>10.332324603441503</v>
      </c>
      <c r="AA491" s="6">
        <f t="shared" si="166"/>
        <v>1.2243755984609886E-33</v>
      </c>
      <c r="AB491">
        <f t="shared" si="167"/>
        <v>0</v>
      </c>
      <c r="AD491" s="6">
        <f t="shared" si="156"/>
        <v>109886.83753821146</v>
      </c>
      <c r="AG491">
        <f t="shared" si="168"/>
        <v>80409.700801780913</v>
      </c>
      <c r="AH491">
        <f t="shared" si="169"/>
        <v>421.72753483434826</v>
      </c>
      <c r="AI491">
        <f t="shared" si="170"/>
        <v>2.9385014363063796E-31</v>
      </c>
      <c r="AL491">
        <f t="shared" si="157"/>
        <v>0.96851364005320872</v>
      </c>
      <c r="AM491">
        <f t="shared" si="173"/>
        <v>0.84528336567854967</v>
      </c>
      <c r="AO491">
        <v>489</v>
      </c>
      <c r="AP491">
        <v>0.96510955879159699</v>
      </c>
      <c r="AQ491">
        <v>0.82947313562974201</v>
      </c>
    </row>
    <row r="492" spans="14:43" x14ac:dyDescent="0.35">
      <c r="N492">
        <f t="shared" si="174"/>
        <v>490</v>
      </c>
      <c r="O492" s="6">
        <f t="shared" si="154"/>
        <v>261392.62160834076</v>
      </c>
      <c r="P492">
        <f t="shared" si="158"/>
        <v>13.069631080417039</v>
      </c>
      <c r="Q492">
        <f t="shared" si="159"/>
        <v>0</v>
      </c>
      <c r="R492" s="6">
        <f t="shared" si="171"/>
        <v>92.432975902387753</v>
      </c>
      <c r="S492">
        <f t="shared" si="160"/>
        <v>0.55459785541432649</v>
      </c>
      <c r="T492">
        <f t="shared" si="161"/>
        <v>0</v>
      </c>
      <c r="U492" s="6">
        <f t="shared" si="172"/>
        <v>9.3664733282265592E-33</v>
      </c>
      <c r="V492">
        <f t="shared" si="162"/>
        <v>1.4049709992339837E-33</v>
      </c>
      <c r="W492">
        <f t="shared" si="163"/>
        <v>0</v>
      </c>
      <c r="X492">
        <f t="shared" si="155"/>
        <v>261485.05458424316</v>
      </c>
      <c r="Y492" s="6">
        <f t="shared" si="164"/>
        <v>29043.624623148899</v>
      </c>
      <c r="Z492" s="6">
        <f t="shared" si="165"/>
        <v>10.270330655820853</v>
      </c>
      <c r="AA492" s="6">
        <f t="shared" si="166"/>
        <v>1.0407192586918404E-33</v>
      </c>
      <c r="AB492">
        <f t="shared" si="167"/>
        <v>0</v>
      </c>
      <c r="AD492" s="6">
        <f t="shared" si="156"/>
        <v>109878.77244017088</v>
      </c>
      <c r="AG492">
        <f t="shared" si="168"/>
        <v>80405.680316740822</v>
      </c>
      <c r="AH492">
        <f t="shared" si="169"/>
        <v>419.19716962534216</v>
      </c>
      <c r="AI492">
        <f t="shared" si="170"/>
        <v>2.4977262208604227E-31</v>
      </c>
      <c r="AL492">
        <f t="shared" si="157"/>
        <v>0.96846316512682651</v>
      </c>
      <c r="AM492">
        <f t="shared" si="173"/>
        <v>0.84522132646285297</v>
      </c>
      <c r="AO492">
        <v>490</v>
      </c>
      <c r="AP492">
        <v>0.96501935945105399</v>
      </c>
      <c r="AQ492">
        <v>0.82942302488499497</v>
      </c>
    </row>
    <row r="493" spans="14:43" x14ac:dyDescent="0.35">
      <c r="N493">
        <f t="shared" si="174"/>
        <v>491</v>
      </c>
      <c r="O493" s="6">
        <f t="shared" si="154"/>
        <v>261379.55197726036</v>
      </c>
      <c r="P493">
        <f t="shared" si="158"/>
        <v>13.068977598863018</v>
      </c>
      <c r="Q493">
        <f t="shared" si="159"/>
        <v>0</v>
      </c>
      <c r="R493" s="6">
        <f t="shared" si="171"/>
        <v>91.878378046973424</v>
      </c>
      <c r="S493">
        <f t="shared" si="160"/>
        <v>0.55127026828184056</v>
      </c>
      <c r="T493">
        <f t="shared" si="161"/>
        <v>0</v>
      </c>
      <c r="U493" s="6">
        <f t="shared" si="172"/>
        <v>7.9615023289925755E-33</v>
      </c>
      <c r="V493">
        <f t="shared" si="162"/>
        <v>1.1942253493488862E-33</v>
      </c>
      <c r="W493">
        <f t="shared" si="163"/>
        <v>0</v>
      </c>
      <c r="X493">
        <f t="shared" si="155"/>
        <v>261471.43035530733</v>
      </c>
      <c r="Y493" s="6">
        <f t="shared" si="164"/>
        <v>29042.172441917741</v>
      </c>
      <c r="Z493" s="6">
        <f t="shared" si="165"/>
        <v>10.208708671885928</v>
      </c>
      <c r="AA493" s="6">
        <f t="shared" si="166"/>
        <v>8.8461136988806432E-34</v>
      </c>
      <c r="AB493">
        <f t="shared" si="167"/>
        <v>0</v>
      </c>
      <c r="AD493" s="6">
        <f t="shared" si="156"/>
        <v>109870.72316992222</v>
      </c>
      <c r="AG493">
        <f t="shared" si="168"/>
        <v>80401.660032724991</v>
      </c>
      <c r="AH493">
        <f t="shared" si="169"/>
        <v>416.68198660759009</v>
      </c>
      <c r="AI493">
        <f t="shared" si="170"/>
        <v>2.1230672877313591E-31</v>
      </c>
      <c r="AL493">
        <f t="shared" si="157"/>
        <v>0.96841270501965682</v>
      </c>
      <c r="AM493">
        <f t="shared" si="173"/>
        <v>0.84515940899940167</v>
      </c>
      <c r="AO493">
        <v>491</v>
      </c>
      <c r="AP493">
        <v>0.96493584154314405</v>
      </c>
      <c r="AQ493">
        <v>0.82933282554445198</v>
      </c>
    </row>
    <row r="494" spans="14:43" x14ac:dyDescent="0.35">
      <c r="N494">
        <f t="shared" si="174"/>
        <v>492</v>
      </c>
      <c r="O494" s="6">
        <f t="shared" si="154"/>
        <v>261366.4829996615</v>
      </c>
      <c r="P494">
        <f t="shared" si="158"/>
        <v>13.068324149983075</v>
      </c>
      <c r="Q494">
        <f t="shared" si="159"/>
        <v>0</v>
      </c>
      <c r="R494" s="6">
        <f t="shared" si="171"/>
        <v>91.327107778691584</v>
      </c>
      <c r="S494">
        <f t="shared" si="160"/>
        <v>0.54796264667214956</v>
      </c>
      <c r="T494">
        <f t="shared" si="161"/>
        <v>0</v>
      </c>
      <c r="U494" s="6">
        <f t="shared" si="172"/>
        <v>6.7672769796436898E-33</v>
      </c>
      <c r="V494">
        <f t="shared" si="162"/>
        <v>1.0150915469465535E-33</v>
      </c>
      <c r="W494">
        <f t="shared" si="163"/>
        <v>0</v>
      </c>
      <c r="X494">
        <f t="shared" si="155"/>
        <v>261457.81010744019</v>
      </c>
      <c r="Y494" s="6">
        <f t="shared" si="164"/>
        <v>29040.720333295645</v>
      </c>
      <c r="Z494" s="6">
        <f t="shared" si="165"/>
        <v>10.147456419854612</v>
      </c>
      <c r="AA494" s="6">
        <f t="shared" si="166"/>
        <v>7.5191966440485466E-34</v>
      </c>
      <c r="AB494">
        <f t="shared" si="167"/>
        <v>0</v>
      </c>
      <c r="AD494" s="6">
        <f t="shared" si="156"/>
        <v>109862.6896341268</v>
      </c>
      <c r="AG494">
        <f t="shared" si="168"/>
        <v>80397.639949723351</v>
      </c>
      <c r="AH494">
        <f t="shared" si="169"/>
        <v>414.18189468794458</v>
      </c>
      <c r="AI494">
        <f t="shared" si="170"/>
        <v>1.8046071945716551E-31</v>
      </c>
      <c r="AL494">
        <f t="shared" si="157"/>
        <v>0.96836225965718592</v>
      </c>
      <c r="AM494">
        <f t="shared" si="173"/>
        <v>0.8450976125702061</v>
      </c>
      <c r="AO494">
        <v>492</v>
      </c>
      <c r="AP494">
        <v>0.96484230148628503</v>
      </c>
      <c r="AQ494">
        <v>0.82926267050180802</v>
      </c>
    </row>
    <row r="495" spans="14:43" x14ac:dyDescent="0.35">
      <c r="N495">
        <f t="shared" si="174"/>
        <v>493</v>
      </c>
      <c r="O495" s="6">
        <f t="shared" si="154"/>
        <v>261353.41467551151</v>
      </c>
      <c r="P495">
        <f t="shared" si="158"/>
        <v>13.067670733775577</v>
      </c>
      <c r="Q495">
        <f t="shared" si="159"/>
        <v>0</v>
      </c>
      <c r="R495" s="6">
        <f t="shared" si="171"/>
        <v>90.779145132019437</v>
      </c>
      <c r="S495">
        <f t="shared" si="160"/>
        <v>0.54467487079211663</v>
      </c>
      <c r="T495">
        <f t="shared" si="161"/>
        <v>0</v>
      </c>
      <c r="U495" s="6">
        <f t="shared" si="172"/>
        <v>5.7521854326971363E-33</v>
      </c>
      <c r="V495">
        <f t="shared" si="162"/>
        <v>8.6282781490457048E-34</v>
      </c>
      <c r="W495">
        <f t="shared" si="163"/>
        <v>0</v>
      </c>
      <c r="X495">
        <f t="shared" si="155"/>
        <v>261444.19382064353</v>
      </c>
      <c r="Y495" s="6">
        <f t="shared" si="164"/>
        <v>29039.268297278981</v>
      </c>
      <c r="Z495" s="6">
        <f t="shared" si="165"/>
        <v>10.086571681335483</v>
      </c>
      <c r="AA495" s="6">
        <f t="shared" si="166"/>
        <v>6.3913171474412644E-34</v>
      </c>
      <c r="AB495">
        <f t="shared" si="167"/>
        <v>0</v>
      </c>
      <c r="AD495" s="6">
        <f t="shared" si="156"/>
        <v>109854.671740006</v>
      </c>
      <c r="AG495">
        <f t="shared" si="168"/>
        <v>80393.62006772586</v>
      </c>
      <c r="AH495">
        <f t="shared" si="169"/>
        <v>411.69680331981692</v>
      </c>
      <c r="AI495">
        <f t="shared" si="170"/>
        <v>1.5339161153859068E-31</v>
      </c>
      <c r="AL495">
        <f t="shared" si="157"/>
        <v>0.9683118289653464</v>
      </c>
      <c r="AM495">
        <f t="shared" si="173"/>
        <v>0.84503593646158459</v>
      </c>
      <c r="AO495">
        <v>493</v>
      </c>
      <c r="AP495">
        <v>0.96476880572732404</v>
      </c>
      <c r="AQ495">
        <v>0.82912236041651999</v>
      </c>
    </row>
    <row r="496" spans="14:43" x14ac:dyDescent="0.35">
      <c r="N496">
        <f t="shared" si="174"/>
        <v>494</v>
      </c>
      <c r="O496" s="6">
        <f t="shared" si="154"/>
        <v>261340.34700477772</v>
      </c>
      <c r="P496">
        <f t="shared" si="158"/>
        <v>13.067017350238887</v>
      </c>
      <c r="Q496">
        <f t="shared" si="159"/>
        <v>0</v>
      </c>
      <c r="R496" s="6">
        <f t="shared" si="171"/>
        <v>90.234470261227315</v>
      </c>
      <c r="S496">
        <f t="shared" si="160"/>
        <v>0.54140682156736386</v>
      </c>
      <c r="T496">
        <f t="shared" si="161"/>
        <v>0</v>
      </c>
      <c r="U496" s="6">
        <f t="shared" si="172"/>
        <v>4.8893576177925658E-33</v>
      </c>
      <c r="V496">
        <f t="shared" si="162"/>
        <v>7.3340364266888482E-34</v>
      </c>
      <c r="W496">
        <f t="shared" si="163"/>
        <v>0</v>
      </c>
      <c r="X496">
        <f t="shared" si="155"/>
        <v>261430.58147503895</v>
      </c>
      <c r="Y496" s="6">
        <f t="shared" si="164"/>
        <v>29037.816333864117</v>
      </c>
      <c r="Z496" s="6">
        <f t="shared" si="165"/>
        <v>10.026052251247471</v>
      </c>
      <c r="AA496" s="6">
        <f t="shared" si="166"/>
        <v>5.4326195753250748E-34</v>
      </c>
      <c r="AB496">
        <f t="shared" si="167"/>
        <v>0</v>
      </c>
      <c r="AD496" s="6">
        <f t="shared" si="156"/>
        <v>109846.66939533775</v>
      </c>
      <c r="AG496">
        <f t="shared" si="168"/>
        <v>80389.600386722479</v>
      </c>
      <c r="AH496">
        <f t="shared" si="169"/>
        <v>409.22662249989804</v>
      </c>
      <c r="AI496">
        <f t="shared" si="170"/>
        <v>1.3038286980780207E-31</v>
      </c>
      <c r="AL496">
        <f t="shared" si="157"/>
        <v>0.96826141287051459</v>
      </c>
      <c r="AM496">
        <f t="shared" si="173"/>
        <v>0.8449743799641366</v>
      </c>
      <c r="AO496">
        <v>494</v>
      </c>
      <c r="AP496">
        <v>0.96467860638678204</v>
      </c>
      <c r="AQ496">
        <v>0.82899207248018103</v>
      </c>
    </row>
    <row r="497" spans="14:43" x14ac:dyDescent="0.35">
      <c r="N497">
        <f t="shared" si="174"/>
        <v>495</v>
      </c>
      <c r="O497" s="6">
        <f t="shared" si="154"/>
        <v>261327.27998742749</v>
      </c>
      <c r="P497">
        <f t="shared" si="158"/>
        <v>13.066363999371376</v>
      </c>
      <c r="Q497">
        <f t="shared" si="159"/>
        <v>0</v>
      </c>
      <c r="R497" s="6">
        <f t="shared" si="171"/>
        <v>89.693063439659952</v>
      </c>
      <c r="S497">
        <f t="shared" si="160"/>
        <v>0.53815838063795973</v>
      </c>
      <c r="T497">
        <f t="shared" si="161"/>
        <v>0</v>
      </c>
      <c r="U497" s="6">
        <f t="shared" si="172"/>
        <v>4.1559539751236808E-33</v>
      </c>
      <c r="V497">
        <f t="shared" si="162"/>
        <v>6.2339309626855213E-34</v>
      </c>
      <c r="W497">
        <f t="shared" si="163"/>
        <v>0</v>
      </c>
      <c r="X497">
        <f t="shared" si="155"/>
        <v>261416.97305086715</v>
      </c>
      <c r="Y497" s="6">
        <f t="shared" si="164"/>
        <v>29036.364443047423</v>
      </c>
      <c r="Z497" s="6">
        <f t="shared" si="165"/>
        <v>9.9658959377399867</v>
      </c>
      <c r="AA497" s="6">
        <f t="shared" si="166"/>
        <v>4.6177266390263139E-34</v>
      </c>
      <c r="AB497">
        <f t="shared" si="167"/>
        <v>0</v>
      </c>
      <c r="AD497" s="6">
        <f t="shared" si="156"/>
        <v>109838.6825084532</v>
      </c>
      <c r="AG497">
        <f t="shared" si="168"/>
        <v>80385.580906703137</v>
      </c>
      <c r="AH497">
        <f t="shared" si="169"/>
        <v>406.77126276489867</v>
      </c>
      <c r="AI497">
        <f t="shared" si="170"/>
        <v>1.1082543933663176E-31</v>
      </c>
      <c r="AL497">
        <f t="shared" si="157"/>
        <v>0.96821101129950793</v>
      </c>
      <c r="AM497">
        <f t="shared" si="173"/>
        <v>0.84491294237271697</v>
      </c>
      <c r="AO497">
        <v>495</v>
      </c>
      <c r="AP497">
        <v>0.96459842919518801</v>
      </c>
      <c r="AQ497">
        <v>0.82889185099068996</v>
      </c>
    </row>
    <row r="498" spans="14:43" x14ac:dyDescent="0.35">
      <c r="N498">
        <f t="shared" si="174"/>
        <v>496</v>
      </c>
      <c r="O498" s="6">
        <f t="shared" si="154"/>
        <v>261314.21362342814</v>
      </c>
      <c r="P498">
        <f t="shared" si="158"/>
        <v>13.065710681171407</v>
      </c>
      <c r="Q498">
        <f t="shared" si="159"/>
        <v>0</v>
      </c>
      <c r="R498" s="6">
        <f t="shared" si="171"/>
        <v>89.154905059021985</v>
      </c>
      <c r="S498">
        <f t="shared" si="160"/>
        <v>0.53492943035413187</v>
      </c>
      <c r="T498">
        <f t="shared" si="161"/>
        <v>0</v>
      </c>
      <c r="U498" s="6">
        <f t="shared" si="172"/>
        <v>3.5325608788551287E-33</v>
      </c>
      <c r="V498">
        <f t="shared" si="162"/>
        <v>5.2988413182826932E-34</v>
      </c>
      <c r="W498">
        <f t="shared" si="163"/>
        <v>0</v>
      </c>
      <c r="X498">
        <f t="shared" si="155"/>
        <v>261403.36852848716</v>
      </c>
      <c r="Y498" s="6">
        <f t="shared" si="164"/>
        <v>29034.912624825272</v>
      </c>
      <c r="Z498" s="6">
        <f t="shared" si="165"/>
        <v>9.9061005621135472</v>
      </c>
      <c r="AA498" s="6">
        <f t="shared" si="166"/>
        <v>3.9250676431723669E-34</v>
      </c>
      <c r="AB498">
        <f t="shared" si="167"/>
        <v>0</v>
      </c>
      <c r="AD498" s="6">
        <f t="shared" si="156"/>
        <v>109830.71098823351</v>
      </c>
      <c r="AG498">
        <f t="shared" si="168"/>
        <v>80381.561627657808</v>
      </c>
      <c r="AH498">
        <f t="shared" si="169"/>
        <v>404.33063518830926</v>
      </c>
      <c r="AI498">
        <f t="shared" si="170"/>
        <v>9.4201623436136996E-32</v>
      </c>
      <c r="AL498">
        <f t="shared" si="157"/>
        <v>0.96816062417958204</v>
      </c>
      <c r="AM498">
        <f t="shared" si="173"/>
        <v>0.84485162298641159</v>
      </c>
      <c r="AO498">
        <v>496</v>
      </c>
      <c r="AP498">
        <v>0.96453161486886096</v>
      </c>
      <c r="AQ498">
        <v>0.828791629501197</v>
      </c>
    </row>
    <row r="499" spans="14:43" x14ac:dyDescent="0.35">
      <c r="N499">
        <f t="shared" si="174"/>
        <v>497</v>
      </c>
      <c r="O499" s="6">
        <f t="shared" si="154"/>
        <v>261301.14791274696</v>
      </c>
      <c r="P499">
        <f t="shared" si="158"/>
        <v>13.065057395637348</v>
      </c>
      <c r="Q499">
        <f t="shared" si="159"/>
        <v>0</v>
      </c>
      <c r="R499" s="6">
        <f t="shared" si="171"/>
        <v>88.619975628667859</v>
      </c>
      <c r="S499">
        <f t="shared" si="160"/>
        <v>0.53171985377200714</v>
      </c>
      <c r="T499">
        <f t="shared" si="161"/>
        <v>0</v>
      </c>
      <c r="U499" s="6">
        <f t="shared" si="172"/>
        <v>3.0026767470268595E-33</v>
      </c>
      <c r="V499">
        <f t="shared" si="162"/>
        <v>4.5040151205402889E-34</v>
      </c>
      <c r="W499">
        <f t="shared" si="163"/>
        <v>0</v>
      </c>
      <c r="X499">
        <f t="shared" si="155"/>
        <v>261389.76788837565</v>
      </c>
      <c r="Y499" s="6">
        <f t="shared" si="164"/>
        <v>29033.46087919403</v>
      </c>
      <c r="Z499" s="6">
        <f t="shared" si="165"/>
        <v>9.8466639587408658</v>
      </c>
      <c r="AA499" s="6">
        <f t="shared" si="166"/>
        <v>3.3363074966965119E-34</v>
      </c>
      <c r="AB499">
        <f t="shared" si="167"/>
        <v>0</v>
      </c>
      <c r="AD499" s="6">
        <f t="shared" si="156"/>
        <v>109822.75474410637</v>
      </c>
      <c r="AG499">
        <f t="shared" si="168"/>
        <v>80377.542549576421</v>
      </c>
      <c r="AH499">
        <f t="shared" si="169"/>
        <v>401.90465137717939</v>
      </c>
      <c r="AI499">
        <f t="shared" si="170"/>
        <v>8.0071379920716448E-32</v>
      </c>
      <c r="AL499">
        <f t="shared" si="157"/>
        <v>0.96811025143842833</v>
      </c>
      <c r="AM499">
        <f t="shared" si="173"/>
        <v>0.84479042110851055</v>
      </c>
      <c r="AO499">
        <v>497</v>
      </c>
      <c r="AP499">
        <v>0.964461459826217</v>
      </c>
      <c r="AQ499">
        <v>0.82872147445855304</v>
      </c>
    </row>
    <row r="500" spans="14:43" x14ac:dyDescent="0.35">
      <c r="N500">
        <f t="shared" si="174"/>
        <v>498</v>
      </c>
      <c r="O500" s="6">
        <f t="shared" ref="O500:O563" si="175">O499-(P499-Q499)</f>
        <v>261288.08285535133</v>
      </c>
      <c r="P500">
        <f t="shared" si="158"/>
        <v>13.064404142767566</v>
      </c>
      <c r="Q500">
        <f t="shared" si="159"/>
        <v>0</v>
      </c>
      <c r="R500" s="6">
        <f t="shared" si="171"/>
        <v>88.088255774895856</v>
      </c>
      <c r="S500">
        <f t="shared" si="160"/>
        <v>0.52852953464937513</v>
      </c>
      <c r="T500">
        <f t="shared" si="161"/>
        <v>0</v>
      </c>
      <c r="U500" s="6">
        <f t="shared" si="172"/>
        <v>2.5522752349728307E-33</v>
      </c>
      <c r="V500">
        <f t="shared" si="162"/>
        <v>3.8284128524592457E-34</v>
      </c>
      <c r="W500">
        <f t="shared" si="163"/>
        <v>0</v>
      </c>
      <c r="X500">
        <f t="shared" ref="X500:X563" si="176">O500+R500+U500-$J$57</f>
        <v>261376.17111112623</v>
      </c>
      <c r="Y500" s="6">
        <f t="shared" si="164"/>
        <v>29032.009206150069</v>
      </c>
      <c r="Z500" s="6">
        <f t="shared" si="165"/>
        <v>9.7875839749884204</v>
      </c>
      <c r="AA500" s="6">
        <f t="shared" si="166"/>
        <v>2.8358613721920353E-34</v>
      </c>
      <c r="AB500">
        <f t="shared" si="167"/>
        <v>0</v>
      </c>
      <c r="AD500" s="6">
        <f t="shared" ref="AD500:AD563" si="177">Y500+Z500+AA500+AG500+AH500+AI500-AB500+$M$59</f>
        <v>109814.81368604291</v>
      </c>
      <c r="AG500">
        <f t="shared" si="168"/>
        <v>80373.523672448937</v>
      </c>
      <c r="AH500">
        <f t="shared" si="169"/>
        <v>399.49322346891631</v>
      </c>
      <c r="AI500">
        <f t="shared" si="170"/>
        <v>6.8060672932608978E-32</v>
      </c>
      <c r="AL500">
        <f t="shared" ref="AL500:AL563" si="178">X500/$X$2</f>
        <v>0.96805989300417117</v>
      </c>
      <c r="AM500">
        <f t="shared" si="173"/>
        <v>0.84472933604648393</v>
      </c>
      <c r="AO500">
        <v>498</v>
      </c>
      <c r="AP500">
        <v>0.96438128263462197</v>
      </c>
      <c r="AQ500">
        <v>0.82864129726696001</v>
      </c>
    </row>
    <row r="501" spans="14:43" x14ac:dyDescent="0.35">
      <c r="N501">
        <f t="shared" si="174"/>
        <v>499</v>
      </c>
      <c r="O501" s="6">
        <f t="shared" si="175"/>
        <v>261275.01845120857</v>
      </c>
      <c r="P501">
        <f t="shared" si="158"/>
        <v>13.063750922560429</v>
      </c>
      <c r="Q501">
        <f t="shared" si="159"/>
        <v>0</v>
      </c>
      <c r="R501" s="6">
        <f t="shared" si="171"/>
        <v>87.559726240246476</v>
      </c>
      <c r="S501">
        <f t="shared" si="160"/>
        <v>0.52535835744147885</v>
      </c>
      <c r="T501">
        <f t="shared" si="161"/>
        <v>0</v>
      </c>
      <c r="U501" s="6">
        <f t="shared" si="172"/>
        <v>2.1694339497269061E-33</v>
      </c>
      <c r="V501">
        <f t="shared" si="162"/>
        <v>3.254150924590359E-34</v>
      </c>
      <c r="W501">
        <f t="shared" si="163"/>
        <v>0</v>
      </c>
      <c r="X501">
        <f t="shared" si="176"/>
        <v>261362.57817744883</v>
      </c>
      <c r="Y501" s="6">
        <f t="shared" si="164"/>
        <v>29030.557605689763</v>
      </c>
      <c r="Z501" s="6">
        <f t="shared" si="165"/>
        <v>9.7288584711384907</v>
      </c>
      <c r="AA501" s="6">
        <f t="shared" si="166"/>
        <v>2.41048216636323E-34</v>
      </c>
      <c r="AB501">
        <f t="shared" si="167"/>
        <v>0</v>
      </c>
      <c r="AD501" s="6">
        <f t="shared" si="177"/>
        <v>109806.88772455433</v>
      </c>
      <c r="AG501">
        <f t="shared" si="168"/>
        <v>80369.504996265314</v>
      </c>
      <c r="AH501">
        <f t="shared" si="169"/>
        <v>397.0962641281028</v>
      </c>
      <c r="AI501">
        <f t="shared" si="170"/>
        <v>5.7851571992717631E-32</v>
      </c>
      <c r="AL501">
        <f t="shared" si="178"/>
        <v>0.96800954880536605</v>
      </c>
      <c r="AM501">
        <f t="shared" si="173"/>
        <v>0.84466836711195636</v>
      </c>
      <c r="AO501">
        <v>499</v>
      </c>
      <c r="AP501">
        <v>0.96430778687566199</v>
      </c>
      <c r="AQ501">
        <v>0.82855109792641701</v>
      </c>
    </row>
    <row r="502" spans="14:43" x14ac:dyDescent="0.35">
      <c r="N502">
        <f t="shared" si="174"/>
        <v>500</v>
      </c>
      <c r="O502" s="6">
        <f t="shared" si="175"/>
        <v>261261.95470028601</v>
      </c>
      <c r="P502">
        <f t="shared" si="158"/>
        <v>13.063097735014301</v>
      </c>
      <c r="Q502">
        <f t="shared" si="159"/>
        <v>0</v>
      </c>
      <c r="R502" s="6">
        <f t="shared" si="171"/>
        <v>87.034367882805</v>
      </c>
      <c r="S502">
        <f t="shared" si="160"/>
        <v>0.52220620729682998</v>
      </c>
      <c r="T502">
        <f t="shared" si="161"/>
        <v>0</v>
      </c>
      <c r="U502" s="6">
        <f t="shared" si="172"/>
        <v>1.8440188572678703E-33</v>
      </c>
      <c r="V502">
        <f t="shared" si="162"/>
        <v>2.7660282859018054E-34</v>
      </c>
      <c r="W502">
        <f t="shared" si="163"/>
        <v>0</v>
      </c>
      <c r="X502">
        <f t="shared" si="176"/>
        <v>261348.9890681688</v>
      </c>
      <c r="Y502" s="6">
        <f t="shared" si="164"/>
        <v>29029.10607780948</v>
      </c>
      <c r="Z502" s="6">
        <f t="shared" si="165"/>
        <v>9.6704853203116592</v>
      </c>
      <c r="AA502" s="6">
        <f t="shared" si="166"/>
        <v>2.0489098414087453E-34</v>
      </c>
      <c r="AB502">
        <f t="shared" si="167"/>
        <v>0</v>
      </c>
      <c r="AD502" s="6">
        <f t="shared" si="177"/>
        <v>109798.97677068862</v>
      </c>
      <c r="AG502">
        <f t="shared" si="168"/>
        <v>80365.486521015497</v>
      </c>
      <c r="AH502">
        <f t="shared" si="169"/>
        <v>394.71368654333418</v>
      </c>
      <c r="AI502">
        <f t="shared" si="170"/>
        <v>4.9173836193809988E-32</v>
      </c>
      <c r="AL502">
        <f t="shared" si="178"/>
        <v>0.96795921877099556</v>
      </c>
      <c r="AM502">
        <f t="shared" si="173"/>
        <v>0.84460751362068165</v>
      </c>
      <c r="AO502">
        <v>500</v>
      </c>
      <c r="AP502">
        <v>0.96423095040038398</v>
      </c>
      <c r="AQ502">
        <v>0.82843083213902702</v>
      </c>
    </row>
    <row r="503" spans="14:43" x14ac:dyDescent="0.35">
      <c r="N503">
        <f t="shared" si="174"/>
        <v>501</v>
      </c>
      <c r="O503" s="6">
        <f t="shared" si="175"/>
        <v>261248.89160255098</v>
      </c>
      <c r="P503">
        <f t="shared" si="158"/>
        <v>13.062444580127551</v>
      </c>
      <c r="Q503">
        <f t="shared" si="159"/>
        <v>0</v>
      </c>
      <c r="R503" s="6">
        <f t="shared" si="171"/>
        <v>86.512161675508167</v>
      </c>
      <c r="S503">
        <f t="shared" si="160"/>
        <v>0.51907297005304898</v>
      </c>
      <c r="T503">
        <f t="shared" si="161"/>
        <v>0</v>
      </c>
      <c r="U503" s="6">
        <f t="shared" si="172"/>
        <v>1.5674160286776897E-33</v>
      </c>
      <c r="V503">
        <f t="shared" si="162"/>
        <v>2.3511240430165346E-34</v>
      </c>
      <c r="W503">
        <f t="shared" si="163"/>
        <v>0</v>
      </c>
      <c r="X503">
        <f t="shared" si="176"/>
        <v>261335.4037642265</v>
      </c>
      <c r="Y503" s="6">
        <f t="shared" si="164"/>
        <v>29027.65462250559</v>
      </c>
      <c r="Z503" s="6">
        <f t="shared" si="165"/>
        <v>9.6124624083897885</v>
      </c>
      <c r="AA503" s="6">
        <f t="shared" si="166"/>
        <v>1.7415733651974336E-34</v>
      </c>
      <c r="AB503">
        <f t="shared" si="167"/>
        <v>0</v>
      </c>
      <c r="AD503" s="6">
        <f t="shared" si="177"/>
        <v>109791.08073602751</v>
      </c>
      <c r="AG503">
        <f t="shared" si="168"/>
        <v>80361.468246689445</v>
      </c>
      <c r="AH503">
        <f t="shared" si="169"/>
        <v>392.34540442407416</v>
      </c>
      <c r="AI503">
        <f t="shared" si="170"/>
        <v>4.1797760764738487E-32</v>
      </c>
      <c r="AL503">
        <f t="shared" si="178"/>
        <v>0.96790890283046849</v>
      </c>
      <c r="AM503">
        <f t="shared" si="173"/>
        <v>0.84454677489251928</v>
      </c>
      <c r="AO503">
        <v>501</v>
      </c>
      <c r="AP503">
        <v>0.96416413607405804</v>
      </c>
      <c r="AQ503">
        <v>0.82837069924533202</v>
      </c>
    </row>
    <row r="504" spans="14:43" x14ac:dyDescent="0.35">
      <c r="N504">
        <f t="shared" si="174"/>
        <v>502</v>
      </c>
      <c r="O504" s="6">
        <f t="shared" si="175"/>
        <v>261235.82915797085</v>
      </c>
      <c r="P504">
        <f t="shared" si="158"/>
        <v>13.061791457898543</v>
      </c>
      <c r="Q504">
        <f t="shared" si="159"/>
        <v>0</v>
      </c>
      <c r="R504" s="6">
        <f t="shared" si="171"/>
        <v>85.993088705455122</v>
      </c>
      <c r="S504">
        <f t="shared" si="160"/>
        <v>0.51595853223273069</v>
      </c>
      <c r="T504">
        <f t="shared" si="161"/>
        <v>0</v>
      </c>
      <c r="U504" s="6">
        <f t="shared" si="172"/>
        <v>1.3323036243760363E-33</v>
      </c>
      <c r="V504">
        <f t="shared" si="162"/>
        <v>1.9984554365640545E-34</v>
      </c>
      <c r="W504">
        <f t="shared" si="163"/>
        <v>0</v>
      </c>
      <c r="X504">
        <f t="shared" si="176"/>
        <v>261321.82224667631</v>
      </c>
      <c r="Y504" s="6">
        <f t="shared" si="164"/>
        <v>29026.203239774466</v>
      </c>
      <c r="Z504" s="6">
        <f t="shared" si="165"/>
        <v>9.5547876339394495</v>
      </c>
      <c r="AA504" s="6">
        <f t="shared" si="166"/>
        <v>1.4803373604178185E-34</v>
      </c>
      <c r="AB504">
        <f t="shared" si="167"/>
        <v>0</v>
      </c>
      <c r="AD504" s="6">
        <f t="shared" si="177"/>
        <v>109783.19953268305</v>
      </c>
      <c r="AG504">
        <f t="shared" si="168"/>
        <v>80357.450173277117</v>
      </c>
      <c r="AH504">
        <f t="shared" si="169"/>
        <v>389.9913319975297</v>
      </c>
      <c r="AI504">
        <f t="shared" si="170"/>
        <v>3.5528096650027715E-32</v>
      </c>
      <c r="AL504">
        <f t="shared" si="178"/>
        <v>0.96785860091361597</v>
      </c>
      <c r="AM504">
        <f t="shared" si="173"/>
        <v>0.84448615025140805</v>
      </c>
      <c r="AO504">
        <v>502</v>
      </c>
      <c r="AP504">
        <v>0.96407727744983196</v>
      </c>
      <c r="AQ504">
        <v>0.82827047775583995</v>
      </c>
    </row>
    <row r="505" spans="14:43" x14ac:dyDescent="0.35">
      <c r="N505">
        <f t="shared" si="174"/>
        <v>503</v>
      </c>
      <c r="O505" s="6">
        <f t="shared" si="175"/>
        <v>261222.76736651294</v>
      </c>
      <c r="P505">
        <f t="shared" si="158"/>
        <v>13.061138368325647</v>
      </c>
      <c r="Q505">
        <f t="shared" si="159"/>
        <v>0</v>
      </c>
      <c r="R505" s="6">
        <f t="shared" si="171"/>
        <v>85.477130173222392</v>
      </c>
      <c r="S505">
        <f t="shared" si="160"/>
        <v>0.51286278103933436</v>
      </c>
      <c r="T505">
        <f t="shared" si="161"/>
        <v>0</v>
      </c>
      <c r="U505" s="6">
        <f t="shared" si="172"/>
        <v>1.1324580807196308E-33</v>
      </c>
      <c r="V505">
        <f t="shared" si="162"/>
        <v>1.6986871210794463E-34</v>
      </c>
      <c r="W505">
        <f t="shared" si="163"/>
        <v>0</v>
      </c>
      <c r="X505">
        <f t="shared" si="176"/>
        <v>261308.24449668615</v>
      </c>
      <c r="Y505" s="6">
        <f t="shared" si="164"/>
        <v>29024.751929612477</v>
      </c>
      <c r="Z505" s="6">
        <f t="shared" si="165"/>
        <v>9.4974589081358136</v>
      </c>
      <c r="AA505" s="6">
        <f t="shared" si="166"/>
        <v>1.2582867563551458E-34</v>
      </c>
      <c r="AB505">
        <f t="shared" si="167"/>
        <v>0</v>
      </c>
      <c r="AD505" s="6">
        <f t="shared" si="177"/>
        <v>109775.33307329462</v>
      </c>
      <c r="AG505">
        <f t="shared" si="168"/>
        <v>80353.432300768458</v>
      </c>
      <c r="AH505">
        <f t="shared" si="169"/>
        <v>387.65138400554451</v>
      </c>
      <c r="AI505">
        <f t="shared" si="170"/>
        <v>3.0198882152523557E-32</v>
      </c>
      <c r="AL505">
        <f t="shared" si="178"/>
        <v>0.96780831295068948</v>
      </c>
      <c r="AM505">
        <f t="shared" si="173"/>
        <v>0.84442563902534318</v>
      </c>
      <c r="AO505">
        <v>503</v>
      </c>
      <c r="AP505">
        <v>0.96399710025823804</v>
      </c>
      <c r="AQ505">
        <v>0.82822036701109403</v>
      </c>
    </row>
    <row r="506" spans="14:43" x14ac:dyDescent="0.35">
      <c r="N506">
        <f t="shared" si="174"/>
        <v>504</v>
      </c>
      <c r="O506" s="6">
        <f t="shared" si="175"/>
        <v>261209.70622814461</v>
      </c>
      <c r="P506">
        <f t="shared" si="158"/>
        <v>13.060485311407231</v>
      </c>
      <c r="Q506">
        <f t="shared" si="159"/>
        <v>0</v>
      </c>
      <c r="R506" s="6">
        <f t="shared" si="171"/>
        <v>84.964267392183061</v>
      </c>
      <c r="S506">
        <f t="shared" si="160"/>
        <v>0.50978560435309839</v>
      </c>
      <c r="T506">
        <f t="shared" si="161"/>
        <v>0</v>
      </c>
      <c r="U506" s="6">
        <f t="shared" si="172"/>
        <v>9.6258936861168625E-34</v>
      </c>
      <c r="V506">
        <f t="shared" si="162"/>
        <v>1.4438840529175292E-34</v>
      </c>
      <c r="W506">
        <f t="shared" si="163"/>
        <v>0</v>
      </c>
      <c r="X506">
        <f t="shared" si="176"/>
        <v>261294.67049553679</v>
      </c>
      <c r="Y506" s="6">
        <f t="shared" si="164"/>
        <v>29023.300692015997</v>
      </c>
      <c r="Z506" s="6">
        <f t="shared" si="165"/>
        <v>9.4404741546869992</v>
      </c>
      <c r="AA506" s="6">
        <f t="shared" si="166"/>
        <v>1.0695437429018741E-34</v>
      </c>
      <c r="AB506">
        <f t="shared" si="167"/>
        <v>0</v>
      </c>
      <c r="AD506" s="6">
        <f t="shared" si="177"/>
        <v>109767.48127102561</v>
      </c>
      <c r="AG506">
        <f t="shared" si="168"/>
        <v>80349.414629153413</v>
      </c>
      <c r="AH506">
        <f t="shared" si="169"/>
        <v>385.32547570151127</v>
      </c>
      <c r="AI506">
        <f t="shared" si="170"/>
        <v>2.5669049829645023E-32</v>
      </c>
      <c r="AL506">
        <f t="shared" si="178"/>
        <v>0.96775803887235845</v>
      </c>
      <c r="AM506">
        <f t="shared" si="173"/>
        <v>0.84436524054635087</v>
      </c>
      <c r="AO506">
        <v>504</v>
      </c>
      <c r="AP506">
        <v>0.96391358235032798</v>
      </c>
      <c r="AQ506">
        <v>0.82813016767055203</v>
      </c>
    </row>
    <row r="507" spans="14:43" x14ac:dyDescent="0.35">
      <c r="N507">
        <f t="shared" si="174"/>
        <v>505</v>
      </c>
      <c r="O507" s="6">
        <f t="shared" si="175"/>
        <v>261196.64574283321</v>
      </c>
      <c r="P507">
        <f t="shared" si="158"/>
        <v>13.059832287141662</v>
      </c>
      <c r="Q507">
        <f t="shared" si="159"/>
        <v>0</v>
      </c>
      <c r="R507" s="6">
        <f t="shared" si="171"/>
        <v>84.454481787829963</v>
      </c>
      <c r="S507">
        <f t="shared" si="160"/>
        <v>0.50672689072697974</v>
      </c>
      <c r="T507">
        <f t="shared" si="161"/>
        <v>0</v>
      </c>
      <c r="U507" s="6">
        <f t="shared" si="172"/>
        <v>8.1820096331993326E-34</v>
      </c>
      <c r="V507">
        <f t="shared" si="162"/>
        <v>1.2273014449798998E-34</v>
      </c>
      <c r="W507">
        <f t="shared" si="163"/>
        <v>0</v>
      </c>
      <c r="X507">
        <f t="shared" si="176"/>
        <v>261281.10022462104</v>
      </c>
      <c r="Y507" s="6">
        <f t="shared" si="164"/>
        <v>29021.849526981398</v>
      </c>
      <c r="Z507" s="6">
        <f t="shared" si="165"/>
        <v>9.383831309758877</v>
      </c>
      <c r="AA507" s="6">
        <f t="shared" si="166"/>
        <v>9.0911218146659295E-35</v>
      </c>
      <c r="AB507">
        <f t="shared" si="167"/>
        <v>0</v>
      </c>
      <c r="AD507" s="6">
        <f t="shared" si="177"/>
        <v>109759.64403956041</v>
      </c>
      <c r="AG507">
        <f t="shared" si="168"/>
        <v>80345.397158421954</v>
      </c>
      <c r="AH507">
        <f t="shared" si="169"/>
        <v>383.01352284730217</v>
      </c>
      <c r="AI507">
        <f t="shared" si="170"/>
        <v>2.1818692355198271E-32</v>
      </c>
      <c r="AL507">
        <f t="shared" si="178"/>
        <v>0.96770777860970758</v>
      </c>
      <c r="AM507">
        <f t="shared" si="173"/>
        <v>0.84430495415046469</v>
      </c>
      <c r="AO507">
        <v>505</v>
      </c>
      <c r="AP507">
        <v>0.96382338300978498</v>
      </c>
      <c r="AQ507">
        <v>0.82800990188316204</v>
      </c>
    </row>
    <row r="508" spans="14:43" x14ac:dyDescent="0.35">
      <c r="N508">
        <f t="shared" si="174"/>
        <v>506</v>
      </c>
      <c r="O508" s="6">
        <f t="shared" si="175"/>
        <v>261183.58591054607</v>
      </c>
      <c r="P508">
        <f t="shared" si="158"/>
        <v>13.059179295527304</v>
      </c>
      <c r="Q508">
        <f t="shared" si="159"/>
        <v>0</v>
      </c>
      <c r="R508" s="6">
        <f t="shared" si="171"/>
        <v>83.947754897102982</v>
      </c>
      <c r="S508">
        <f t="shared" si="160"/>
        <v>0.50368652938261793</v>
      </c>
      <c r="T508">
        <f t="shared" si="161"/>
        <v>0</v>
      </c>
      <c r="U508" s="6">
        <f t="shared" si="172"/>
        <v>6.954708188219433E-34</v>
      </c>
      <c r="V508">
        <f t="shared" si="162"/>
        <v>1.0432062282329148E-34</v>
      </c>
      <c r="W508">
        <f t="shared" si="163"/>
        <v>0</v>
      </c>
      <c r="X508">
        <f t="shared" si="176"/>
        <v>261267.53366544316</v>
      </c>
      <c r="Y508" s="6">
        <f t="shared" si="164"/>
        <v>29020.398434505048</v>
      </c>
      <c r="Z508" s="6">
        <f t="shared" si="165"/>
        <v>9.3275283219003242</v>
      </c>
      <c r="AA508" s="6">
        <f t="shared" si="166"/>
        <v>7.7274535424660398E-35</v>
      </c>
      <c r="AB508">
        <f t="shared" si="167"/>
        <v>0</v>
      </c>
      <c r="AD508" s="6">
        <f t="shared" si="177"/>
        <v>109751.82129310119</v>
      </c>
      <c r="AG508">
        <f t="shared" si="168"/>
        <v>80341.379888564028</v>
      </c>
      <c r="AH508">
        <f t="shared" si="169"/>
        <v>380.71544171021833</v>
      </c>
      <c r="AI508">
        <f t="shared" si="170"/>
        <v>1.8545888501918531E-32</v>
      </c>
      <c r="AL508">
        <f t="shared" si="178"/>
        <v>0.96765753209423389</v>
      </c>
      <c r="AM508">
        <f t="shared" si="173"/>
        <v>0.84424477917770147</v>
      </c>
      <c r="AO508">
        <v>506</v>
      </c>
      <c r="AP508">
        <v>0.96375656868345805</v>
      </c>
      <c r="AQ508">
        <v>0.82794976898946604</v>
      </c>
    </row>
    <row r="509" spans="14:43" x14ac:dyDescent="0.35">
      <c r="N509">
        <f t="shared" si="174"/>
        <v>507</v>
      </c>
      <c r="O509" s="6">
        <f t="shared" si="175"/>
        <v>261170.52673125055</v>
      </c>
      <c r="P509">
        <f t="shared" si="158"/>
        <v>13.058526336562528</v>
      </c>
      <c r="Q509">
        <f t="shared" si="159"/>
        <v>0</v>
      </c>
      <c r="R509" s="6">
        <f t="shared" si="171"/>
        <v>83.444068367720362</v>
      </c>
      <c r="S509">
        <f t="shared" si="160"/>
        <v>0.50066441020632213</v>
      </c>
      <c r="T509">
        <f t="shared" si="161"/>
        <v>0</v>
      </c>
      <c r="U509" s="6">
        <f t="shared" si="172"/>
        <v>5.9115019599865178E-34</v>
      </c>
      <c r="V509">
        <f t="shared" si="162"/>
        <v>8.8672529399797767E-35</v>
      </c>
      <c r="W509">
        <f t="shared" si="163"/>
        <v>0</v>
      </c>
      <c r="X509">
        <f t="shared" si="176"/>
        <v>261253.97079961826</v>
      </c>
      <c r="Y509" s="6">
        <f t="shared" si="164"/>
        <v>29018.947414583323</v>
      </c>
      <c r="Z509" s="6">
        <f t="shared" si="165"/>
        <v>9.2715631519689214</v>
      </c>
      <c r="AA509" s="6">
        <f t="shared" si="166"/>
        <v>6.5683355110961337E-35</v>
      </c>
      <c r="AB509">
        <f t="shared" si="167"/>
        <v>0</v>
      </c>
      <c r="AD509" s="6">
        <f t="shared" si="177"/>
        <v>109744.01294636483</v>
      </c>
      <c r="AG509">
        <f t="shared" si="168"/>
        <v>80337.362819569593</v>
      </c>
      <c r="AH509">
        <f t="shared" si="169"/>
        <v>378.43114905995702</v>
      </c>
      <c r="AI509">
        <f t="shared" si="170"/>
        <v>1.5764005226630752E-32</v>
      </c>
      <c r="AL509">
        <f t="shared" si="178"/>
        <v>0.96760729925784539</v>
      </c>
      <c r="AM509">
        <f t="shared" si="173"/>
        <v>0.84418471497203718</v>
      </c>
      <c r="AO509">
        <v>507</v>
      </c>
      <c r="AP509">
        <v>0.963659687910282</v>
      </c>
      <c r="AQ509">
        <v>0.82789965824472</v>
      </c>
    </row>
    <row r="510" spans="14:43" x14ac:dyDescent="0.35">
      <c r="N510">
        <f t="shared" si="174"/>
        <v>508</v>
      </c>
      <c r="O510" s="6">
        <f t="shared" si="175"/>
        <v>261157.46820491398</v>
      </c>
      <c r="P510">
        <f t="shared" si="158"/>
        <v>13.057873410245699</v>
      </c>
      <c r="Q510">
        <f t="shared" si="159"/>
        <v>0</v>
      </c>
      <c r="R510" s="6">
        <f t="shared" si="171"/>
        <v>82.943403957514036</v>
      </c>
      <c r="S510">
        <f t="shared" si="160"/>
        <v>0.49766042374508423</v>
      </c>
      <c r="T510">
        <f t="shared" si="161"/>
        <v>0</v>
      </c>
      <c r="U510" s="6">
        <f t="shared" si="172"/>
        <v>5.0247766659885406E-34</v>
      </c>
      <c r="V510">
        <f t="shared" si="162"/>
        <v>7.537164998982811E-35</v>
      </c>
      <c r="W510">
        <f t="shared" si="163"/>
        <v>0</v>
      </c>
      <c r="X510">
        <f t="shared" si="176"/>
        <v>261240.41160887151</v>
      </c>
      <c r="Y510" s="6">
        <f t="shared" si="164"/>
        <v>29017.496467212593</v>
      </c>
      <c r="Z510" s="6">
        <f t="shared" si="165"/>
        <v>9.2159337730571078</v>
      </c>
      <c r="AA510" s="6">
        <f t="shared" si="166"/>
        <v>5.5830851844317141E-35</v>
      </c>
      <c r="AB510">
        <f t="shared" si="167"/>
        <v>0</v>
      </c>
      <c r="AD510" s="6">
        <f t="shared" si="177"/>
        <v>109736.21891457985</v>
      </c>
      <c r="AG510">
        <f t="shared" si="168"/>
        <v>80333.345951428608</v>
      </c>
      <c r="AH510">
        <f t="shared" si="169"/>
        <v>376.1605621655973</v>
      </c>
      <c r="AI510">
        <f t="shared" si="170"/>
        <v>1.3399404442636139E-32</v>
      </c>
      <c r="AL510">
        <f t="shared" si="178"/>
        <v>0.96755708003285745</v>
      </c>
      <c r="AM510">
        <f t="shared" si="173"/>
        <v>0.84412476088138344</v>
      </c>
      <c r="AO510">
        <v>508</v>
      </c>
      <c r="AP510">
        <v>0.96359621430026998</v>
      </c>
      <c r="AQ510">
        <v>0.82777939245733001</v>
      </c>
    </row>
    <row r="511" spans="14:43" x14ac:dyDescent="0.35">
      <c r="N511">
        <f t="shared" si="174"/>
        <v>509</v>
      </c>
      <c r="O511" s="6">
        <f t="shared" si="175"/>
        <v>261144.41033150372</v>
      </c>
      <c r="P511">
        <f t="shared" si="158"/>
        <v>13.057220516575187</v>
      </c>
      <c r="Q511">
        <f t="shared" si="159"/>
        <v>0</v>
      </c>
      <c r="R511" s="6">
        <f t="shared" si="171"/>
        <v>82.445743533768947</v>
      </c>
      <c r="S511">
        <f t="shared" si="160"/>
        <v>0.49467446120261371</v>
      </c>
      <c r="T511">
        <f t="shared" si="161"/>
        <v>0</v>
      </c>
      <c r="U511" s="6">
        <f t="shared" si="172"/>
        <v>4.2710601660902596E-34</v>
      </c>
      <c r="V511">
        <f t="shared" si="162"/>
        <v>6.4065902491353893E-35</v>
      </c>
      <c r="W511">
        <f t="shared" si="163"/>
        <v>0</v>
      </c>
      <c r="X511">
        <f t="shared" si="176"/>
        <v>261226.8560750375</v>
      </c>
      <c r="Y511" s="6">
        <f t="shared" si="164"/>
        <v>29016.045592389233</v>
      </c>
      <c r="Z511" s="6">
        <f t="shared" si="165"/>
        <v>9.1606381704187658</v>
      </c>
      <c r="AA511" s="6">
        <f t="shared" si="166"/>
        <v>4.7456224067669572E-35</v>
      </c>
      <c r="AB511">
        <f t="shared" si="167"/>
        <v>0</v>
      </c>
      <c r="AD511" s="6">
        <f t="shared" si="177"/>
        <v>109728.43911348328</v>
      </c>
      <c r="AG511">
        <f t="shared" si="168"/>
        <v>80329.329284131032</v>
      </c>
      <c r="AH511">
        <f t="shared" si="169"/>
        <v>373.9035987926037</v>
      </c>
      <c r="AI511">
        <f t="shared" si="170"/>
        <v>1.1389493776240718E-32</v>
      </c>
      <c r="AL511">
        <f t="shared" si="178"/>
        <v>0.96750687435199079</v>
      </c>
      <c r="AM511">
        <f t="shared" si="173"/>
        <v>0.84406491625756375</v>
      </c>
      <c r="AO511">
        <v>509</v>
      </c>
      <c r="AP511">
        <v>0.96353942212289201</v>
      </c>
      <c r="AQ511">
        <v>0.82773930386153405</v>
      </c>
    </row>
    <row r="512" spans="14:43" x14ac:dyDescent="0.35">
      <c r="N512">
        <f t="shared" si="174"/>
        <v>510</v>
      </c>
      <c r="O512" s="6">
        <f t="shared" si="175"/>
        <v>261131.35311098714</v>
      </c>
      <c r="P512">
        <f t="shared" si="158"/>
        <v>13.056567655549358</v>
      </c>
      <c r="Q512">
        <f t="shared" si="159"/>
        <v>0</v>
      </c>
      <c r="R512" s="6">
        <f t="shared" si="171"/>
        <v>81.951069072566327</v>
      </c>
      <c r="S512">
        <f t="shared" si="160"/>
        <v>0.49170641443539798</v>
      </c>
      <c r="T512">
        <f t="shared" si="161"/>
        <v>0</v>
      </c>
      <c r="U512" s="6">
        <f t="shared" si="172"/>
        <v>3.6304011411767206E-34</v>
      </c>
      <c r="V512">
        <f t="shared" si="162"/>
        <v>5.4456017117650805E-35</v>
      </c>
      <c r="W512">
        <f t="shared" si="163"/>
        <v>0</v>
      </c>
      <c r="X512">
        <f t="shared" si="176"/>
        <v>261213.3041800597</v>
      </c>
      <c r="Y512" s="6">
        <f t="shared" si="164"/>
        <v>29014.594790109615</v>
      </c>
      <c r="Z512" s="6">
        <f t="shared" si="165"/>
        <v>9.105674341396254</v>
      </c>
      <c r="AA512" s="6">
        <f t="shared" si="166"/>
        <v>4.0337790457519139E-35</v>
      </c>
      <c r="AB512">
        <f t="shared" si="167"/>
        <v>0</v>
      </c>
      <c r="AD512" s="6">
        <f t="shared" si="177"/>
        <v>109720.6734593177</v>
      </c>
      <c r="AG512">
        <f t="shared" si="168"/>
        <v>80325.312817666825</v>
      </c>
      <c r="AH512">
        <f t="shared" si="169"/>
        <v>371.66017719984808</v>
      </c>
      <c r="AI512">
        <f t="shared" si="170"/>
        <v>9.6810697098046109E-33</v>
      </c>
      <c r="AL512">
        <f t="shared" si="178"/>
        <v>0.96745668214836922</v>
      </c>
      <c r="AM512">
        <f t="shared" si="173"/>
        <v>0.84400518045628992</v>
      </c>
      <c r="AO512">
        <v>510</v>
      </c>
      <c r="AP512">
        <v>0.96345924493129798</v>
      </c>
      <c r="AQ512">
        <v>0.82765912666994101</v>
      </c>
    </row>
    <row r="513" spans="14:43" x14ac:dyDescent="0.35">
      <c r="N513">
        <f t="shared" si="174"/>
        <v>511</v>
      </c>
      <c r="O513" s="6">
        <f t="shared" si="175"/>
        <v>261118.29654333158</v>
      </c>
      <c r="P513">
        <f t="shared" si="158"/>
        <v>13.05591482716658</v>
      </c>
      <c r="Q513">
        <f t="shared" si="159"/>
        <v>0</v>
      </c>
      <c r="R513" s="6">
        <f t="shared" si="171"/>
        <v>81.459362658130928</v>
      </c>
      <c r="S513">
        <f t="shared" si="160"/>
        <v>0.48875617594878557</v>
      </c>
      <c r="T513">
        <f t="shared" si="161"/>
        <v>0</v>
      </c>
      <c r="U513" s="6">
        <f t="shared" si="172"/>
        <v>3.0858409700002127E-34</v>
      </c>
      <c r="V513">
        <f t="shared" si="162"/>
        <v>4.6287614550003187E-35</v>
      </c>
      <c r="W513">
        <f t="shared" si="163"/>
        <v>0</v>
      </c>
      <c r="X513">
        <f t="shared" si="176"/>
        <v>261199.7559059897</v>
      </c>
      <c r="Y513" s="6">
        <f t="shared" si="164"/>
        <v>29013.144060370108</v>
      </c>
      <c r="Z513" s="6">
        <f t="shared" si="165"/>
        <v>9.0510402953478764</v>
      </c>
      <c r="AA513" s="6">
        <f t="shared" si="166"/>
        <v>3.4287121888891267E-35</v>
      </c>
      <c r="AB513">
        <f t="shared" si="167"/>
        <v>0</v>
      </c>
      <c r="AD513" s="6">
        <f t="shared" si="177"/>
        <v>109712.92186882805</v>
      </c>
      <c r="AG513">
        <f t="shared" si="168"/>
        <v>80321.296552025946</v>
      </c>
      <c r="AH513">
        <f t="shared" si="169"/>
        <v>369.43021613664899</v>
      </c>
      <c r="AI513">
        <f t="shared" si="170"/>
        <v>8.2289092533339187E-33</v>
      </c>
      <c r="AL513">
        <f t="shared" si="178"/>
        <v>0.96740650335551737</v>
      </c>
      <c r="AM513">
        <f t="shared" si="173"/>
        <v>0.8439455528371389</v>
      </c>
      <c r="AO513">
        <v>511</v>
      </c>
      <c r="AP513">
        <v>0.96339577132128595</v>
      </c>
      <c r="AQ513">
        <v>0.82750879443570302</v>
      </c>
    </row>
    <row r="514" spans="14:43" x14ac:dyDescent="0.35">
      <c r="N514">
        <f t="shared" si="174"/>
        <v>512</v>
      </c>
      <c r="O514" s="6">
        <f t="shared" si="175"/>
        <v>261105.24062850443</v>
      </c>
      <c r="P514">
        <f t="shared" ref="P514:P577" si="179">IF(N514&lt;$H$12,O514*($F$3+$H$3),O514*$F$3)</f>
        <v>13.055262031425222</v>
      </c>
      <c r="Q514">
        <f t="shared" ref="Q514:Q577" si="180">IF(N514&lt;$H$12,P514*$I$3,0)</f>
        <v>0</v>
      </c>
      <c r="R514" s="6">
        <f t="shared" si="171"/>
        <v>80.970606482182149</v>
      </c>
      <c r="S514">
        <f t="shared" ref="S514:S577" si="181">IF(N514&lt;$H$12,R514*($F$4+$H$4),R514*$F$4)</f>
        <v>0.48582363889309288</v>
      </c>
      <c r="T514">
        <f t="shared" ref="T514:T577" si="182">IF(N514&lt;$H$12,S514*$I$4,0)</f>
        <v>0</v>
      </c>
      <c r="U514" s="6">
        <f t="shared" si="172"/>
        <v>2.6229648245001809E-34</v>
      </c>
      <c r="V514">
        <f t="shared" ref="V514:V577" si="183">IF(N514&lt;$H$12,U514*($F$5+$H$5),U514*$F$5)</f>
        <v>3.9344472367502712E-35</v>
      </c>
      <c r="W514">
        <f t="shared" ref="W514:W577" si="184">IF(N514&lt;$H$12,V514*$I$5,0)</f>
        <v>0</v>
      </c>
      <c r="X514">
        <f t="shared" si="176"/>
        <v>261186.21123498661</v>
      </c>
      <c r="Y514" s="6">
        <f t="shared" si="164"/>
        <v>29011.69340316709</v>
      </c>
      <c r="Z514" s="6">
        <f t="shared" si="165"/>
        <v>8.9967340535757891</v>
      </c>
      <c r="AA514" s="6">
        <f t="shared" si="166"/>
        <v>2.9144053605557575E-35</v>
      </c>
      <c r="AB514">
        <f t="shared" si="167"/>
        <v>0</v>
      </c>
      <c r="AD514" s="6">
        <f t="shared" si="177"/>
        <v>109705.18425925884</v>
      </c>
      <c r="AG514">
        <f t="shared" si="168"/>
        <v>80317.280487198339</v>
      </c>
      <c r="AH514">
        <f t="shared" si="169"/>
        <v>367.21363483982913</v>
      </c>
      <c r="AI514">
        <f t="shared" si="170"/>
        <v>6.9945728653338316E-33</v>
      </c>
      <c r="AL514">
        <f t="shared" si="178"/>
        <v>0.96735633790735776</v>
      </c>
      <c r="AM514">
        <f t="shared" si="173"/>
        <v>0.84388603276352947</v>
      </c>
      <c r="AO514">
        <v>512</v>
      </c>
      <c r="AP514">
        <v>0.96328552768284703</v>
      </c>
      <c r="AQ514">
        <v>0.82740857294621095</v>
      </c>
    </row>
    <row r="515" spans="14:43" x14ac:dyDescent="0.35">
      <c r="N515">
        <f t="shared" si="174"/>
        <v>513</v>
      </c>
      <c r="O515" s="6">
        <f t="shared" si="175"/>
        <v>261092.18536647302</v>
      </c>
      <c r="P515">
        <f t="shared" si="179"/>
        <v>13.054609268323651</v>
      </c>
      <c r="Q515">
        <f t="shared" si="180"/>
        <v>0</v>
      </c>
      <c r="R515" s="6">
        <f t="shared" si="171"/>
        <v>80.484782843289054</v>
      </c>
      <c r="S515">
        <f t="shared" si="181"/>
        <v>0.48290869705973433</v>
      </c>
      <c r="T515">
        <f t="shared" si="182"/>
        <v>0</v>
      </c>
      <c r="U515" s="6">
        <f t="shared" si="172"/>
        <v>2.2295201008251537E-34</v>
      </c>
      <c r="V515">
        <f t="shared" si="183"/>
        <v>3.3442801512377305E-35</v>
      </c>
      <c r="W515">
        <f t="shared" si="184"/>
        <v>0</v>
      </c>
      <c r="X515">
        <f t="shared" si="176"/>
        <v>261172.67014931631</v>
      </c>
      <c r="Y515" s="6">
        <f t="shared" ref="Y515:Y578" si="185">Y514-Y514*$F$3-Q515</f>
        <v>29010.242818496932</v>
      </c>
      <c r="Z515" s="6">
        <f t="shared" ref="Z515:Z578" si="186">Z514-Z514*$F$4</f>
        <v>8.9427536492543336</v>
      </c>
      <c r="AA515" s="6">
        <f t="shared" ref="AA515:AA578" si="187">AA514-AA514*$F$5</f>
        <v>2.4772445564723941E-35</v>
      </c>
      <c r="AB515">
        <f t="shared" ref="AB515:AB578" si="188">Q515+T515+W515</f>
        <v>0</v>
      </c>
      <c r="AD515" s="6">
        <f t="shared" si="177"/>
        <v>109697.46054835097</v>
      </c>
      <c r="AG515">
        <f t="shared" ref="AG515:AG578" si="189">IF(N514&lt;$H$12,AG514-AG514*($F$7+$H$7),AG514-AG514*$F$7)</f>
        <v>80313.264623173978</v>
      </c>
      <c r="AH515">
        <f t="shared" ref="AH515:AH578" si="190">IF(N514&lt;$H$12,AH514-AH514*($F$8+$H$8),AH514-AH514*$F$8)</f>
        <v>365.01035303079016</v>
      </c>
      <c r="AI515">
        <f t="shared" ref="AI515:AI578" si="191">IF(N514&lt;$H$12,AI514-AI514*($F$9+$H$9),AI514-AI514*$F$9)</f>
        <v>5.9453869355337569E-33</v>
      </c>
      <c r="AL515">
        <f t="shared" si="178"/>
        <v>0.96730618573820859</v>
      </c>
      <c r="AM515">
        <f t="shared" si="173"/>
        <v>0.84382661960269978</v>
      </c>
      <c r="AO515">
        <v>513</v>
      </c>
      <c r="AP515">
        <v>0.96320869120756902</v>
      </c>
      <c r="AQ515">
        <v>0.82728830715882096</v>
      </c>
    </row>
    <row r="516" spans="14:43" x14ac:dyDescent="0.35">
      <c r="N516">
        <f t="shared" si="174"/>
        <v>514</v>
      </c>
      <c r="O516" s="6">
        <f t="shared" si="175"/>
        <v>261079.13075720469</v>
      </c>
      <c r="P516">
        <f t="shared" si="179"/>
        <v>13.053956537860236</v>
      </c>
      <c r="Q516">
        <f t="shared" si="180"/>
        <v>0</v>
      </c>
      <c r="R516" s="6">
        <f t="shared" ref="R516:R579" si="192">R515-(S515-T515)</f>
        <v>80.001874146229326</v>
      </c>
      <c r="S516">
        <f t="shared" si="181"/>
        <v>0.48001124487737595</v>
      </c>
      <c r="T516">
        <f t="shared" si="182"/>
        <v>0</v>
      </c>
      <c r="U516" s="6">
        <f t="shared" ref="U516:U579" si="193">U515-(V515-W515)</f>
        <v>1.8950920857013807E-34</v>
      </c>
      <c r="V516">
        <f t="shared" si="183"/>
        <v>2.842638128552071E-35</v>
      </c>
      <c r="W516">
        <f t="shared" si="184"/>
        <v>0</v>
      </c>
      <c r="X516">
        <f t="shared" si="176"/>
        <v>261159.13263135092</v>
      </c>
      <c r="Y516" s="6">
        <f t="shared" si="185"/>
        <v>29008.792306356008</v>
      </c>
      <c r="Z516" s="6">
        <f t="shared" si="186"/>
        <v>8.8890971273588075</v>
      </c>
      <c r="AA516" s="6">
        <f t="shared" si="187"/>
        <v>2.1056578730015351E-35</v>
      </c>
      <c r="AB516">
        <f t="shared" si="188"/>
        <v>0</v>
      </c>
      <c r="AD516" s="6">
        <f t="shared" si="177"/>
        <v>109689.7506543388</v>
      </c>
      <c r="AG516">
        <f t="shared" si="189"/>
        <v>80309.248959942823</v>
      </c>
      <c r="AH516">
        <f t="shared" si="190"/>
        <v>362.8202909126054</v>
      </c>
      <c r="AI516">
        <f t="shared" si="191"/>
        <v>5.0535788952036932E-33</v>
      </c>
      <c r="AL516">
        <f t="shared" si="178"/>
        <v>0.96725604678278121</v>
      </c>
      <c r="AM516">
        <f t="shared" ref="AM516:AM579" si="194">IF(AD516/$AD$2&lt;AM515,AD516/$AD$2,AM515)</f>
        <v>0.84376731272568306</v>
      </c>
      <c r="AO516">
        <v>514</v>
      </c>
      <c r="AP516">
        <v>0.96311515115071</v>
      </c>
      <c r="AQ516">
        <v>0.82726826286092203</v>
      </c>
    </row>
    <row r="517" spans="14:43" x14ac:dyDescent="0.35">
      <c r="N517">
        <f t="shared" si="174"/>
        <v>515</v>
      </c>
      <c r="O517" s="6">
        <f t="shared" si="175"/>
        <v>261066.07680066684</v>
      </c>
      <c r="P517">
        <f t="shared" si="179"/>
        <v>13.053303840033342</v>
      </c>
      <c r="Q517">
        <f t="shared" si="180"/>
        <v>0</v>
      </c>
      <c r="R517" s="6">
        <f t="shared" si="192"/>
        <v>79.521862901351952</v>
      </c>
      <c r="S517">
        <f t="shared" si="181"/>
        <v>0.47713117740811173</v>
      </c>
      <c r="T517">
        <f t="shared" si="182"/>
        <v>0</v>
      </c>
      <c r="U517" s="6">
        <f t="shared" si="193"/>
        <v>1.6108282728461736E-34</v>
      </c>
      <c r="V517">
        <f t="shared" si="183"/>
        <v>2.4162424092692605E-35</v>
      </c>
      <c r="W517">
        <f t="shared" si="184"/>
        <v>0</v>
      </c>
      <c r="X517">
        <f t="shared" si="176"/>
        <v>261145.59866356818</v>
      </c>
      <c r="Y517" s="6">
        <f t="shared" si="185"/>
        <v>29007.341866740691</v>
      </c>
      <c r="Z517" s="6">
        <f t="shared" si="186"/>
        <v>8.8357625445946546</v>
      </c>
      <c r="AA517" s="6">
        <f t="shared" si="187"/>
        <v>1.7898091920513048E-35</v>
      </c>
      <c r="AB517">
        <f t="shared" si="188"/>
        <v>0</v>
      </c>
      <c r="AD517" s="6">
        <f t="shared" si="177"/>
        <v>109682.05449594725</v>
      </c>
      <c r="AG517">
        <f t="shared" si="189"/>
        <v>80305.233497494832</v>
      </c>
      <c r="AH517">
        <f t="shared" si="190"/>
        <v>360.64336916712978</v>
      </c>
      <c r="AI517">
        <f t="shared" si="191"/>
        <v>4.2955420609231391E-33</v>
      </c>
      <c r="AL517">
        <f t="shared" si="178"/>
        <v>0.96720592097617841</v>
      </c>
      <c r="AM517">
        <f t="shared" si="194"/>
        <v>0.84370811150728653</v>
      </c>
      <c r="AO517">
        <v>515</v>
      </c>
      <c r="AP517">
        <v>0.96300490751226997</v>
      </c>
      <c r="AQ517">
        <v>0.82717806352038004</v>
      </c>
    </row>
    <row r="518" spans="14:43" x14ac:dyDescent="0.35">
      <c r="N518">
        <f t="shared" si="174"/>
        <v>516</v>
      </c>
      <c r="O518" s="6">
        <f t="shared" si="175"/>
        <v>261053.02349682679</v>
      </c>
      <c r="P518">
        <f t="shared" si="179"/>
        <v>13.052651174841341</v>
      </c>
      <c r="Q518">
        <f t="shared" si="180"/>
        <v>0</v>
      </c>
      <c r="R518" s="6">
        <f t="shared" si="192"/>
        <v>79.044731723943841</v>
      </c>
      <c r="S518">
        <f t="shared" si="181"/>
        <v>0.47426839034366303</v>
      </c>
      <c r="T518">
        <f t="shared" si="182"/>
        <v>0</v>
      </c>
      <c r="U518" s="6">
        <f t="shared" si="193"/>
        <v>1.3692040319192475E-34</v>
      </c>
      <c r="V518">
        <f t="shared" si="183"/>
        <v>2.0538060478788711E-35</v>
      </c>
      <c r="W518">
        <f t="shared" si="184"/>
        <v>0</v>
      </c>
      <c r="X518">
        <f t="shared" si="176"/>
        <v>261132.06822855072</v>
      </c>
      <c r="Y518" s="6">
        <f t="shared" si="185"/>
        <v>29005.891499647354</v>
      </c>
      <c r="Z518" s="6">
        <f t="shared" si="186"/>
        <v>8.7827479693270867</v>
      </c>
      <c r="AA518" s="6">
        <f t="shared" si="187"/>
        <v>1.521337813243609E-35</v>
      </c>
      <c r="AB518">
        <f t="shared" si="188"/>
        <v>0</v>
      </c>
      <c r="AD518" s="6">
        <f t="shared" si="177"/>
        <v>109674.37199238875</v>
      </c>
      <c r="AG518">
        <f t="shared" si="189"/>
        <v>80301.21823581995</v>
      </c>
      <c r="AH518">
        <f t="shared" si="190"/>
        <v>358.47950895212699</v>
      </c>
      <c r="AI518">
        <f t="shared" si="191"/>
        <v>3.6512107517846685E-33</v>
      </c>
      <c r="AL518">
        <f t="shared" si="178"/>
        <v>0.96715580825389158</v>
      </c>
      <c r="AM518">
        <f t="shared" si="194"/>
        <v>0.8436490153260674</v>
      </c>
      <c r="AO518">
        <v>516</v>
      </c>
      <c r="AP518">
        <v>0.96293141175330899</v>
      </c>
      <c r="AQ518">
        <v>0.82711793062668504</v>
      </c>
    </row>
    <row r="519" spans="14:43" x14ac:dyDescent="0.35">
      <c r="N519">
        <f t="shared" si="174"/>
        <v>517</v>
      </c>
      <c r="O519" s="6">
        <f t="shared" si="175"/>
        <v>261039.97084565196</v>
      </c>
      <c r="P519">
        <f t="shared" si="179"/>
        <v>13.051998542282599</v>
      </c>
      <c r="Q519">
        <f t="shared" si="180"/>
        <v>0</v>
      </c>
      <c r="R519" s="6">
        <f t="shared" si="192"/>
        <v>78.570463333600173</v>
      </c>
      <c r="S519">
        <f t="shared" si="181"/>
        <v>0.47142278000160104</v>
      </c>
      <c r="T519">
        <f t="shared" si="182"/>
        <v>0</v>
      </c>
      <c r="U519" s="6">
        <f t="shared" si="193"/>
        <v>1.1638234271313604E-34</v>
      </c>
      <c r="V519">
        <f t="shared" si="183"/>
        <v>1.7457351406970404E-35</v>
      </c>
      <c r="W519">
        <f t="shared" si="184"/>
        <v>0</v>
      </c>
      <c r="X519">
        <f t="shared" si="176"/>
        <v>261118.54130898556</v>
      </c>
      <c r="Y519" s="6">
        <f t="shared" si="185"/>
        <v>29004.441205072373</v>
      </c>
      <c r="Z519" s="6">
        <f t="shared" si="186"/>
        <v>8.7300514815111239</v>
      </c>
      <c r="AA519" s="6">
        <f t="shared" si="187"/>
        <v>1.2931371412570676E-35</v>
      </c>
      <c r="AB519">
        <f t="shared" si="188"/>
        <v>0</v>
      </c>
      <c r="AD519" s="6">
        <f t="shared" si="177"/>
        <v>109666.70306336047</v>
      </c>
      <c r="AG519">
        <f t="shared" si="189"/>
        <v>80297.203174908165</v>
      </c>
      <c r="AH519">
        <f t="shared" si="190"/>
        <v>356.32863189841424</v>
      </c>
      <c r="AI519">
        <f t="shared" si="191"/>
        <v>3.1035291390169679E-33</v>
      </c>
      <c r="AL519">
        <f t="shared" si="178"/>
        <v>0.96710570855179834</v>
      </c>
      <c r="AM519">
        <f t="shared" si="194"/>
        <v>0.84359002356431134</v>
      </c>
      <c r="AO519">
        <v>517</v>
      </c>
      <c r="AP519">
        <v>0.96286459742698005</v>
      </c>
      <c r="AQ519">
        <v>0.82702773128614104</v>
      </c>
    </row>
    <row r="520" spans="14:43" x14ac:dyDescent="0.35">
      <c r="N520">
        <f t="shared" si="174"/>
        <v>518</v>
      </c>
      <c r="O520" s="6">
        <f t="shared" si="175"/>
        <v>261026.91884710969</v>
      </c>
      <c r="P520">
        <f t="shared" si="179"/>
        <v>13.051345942355486</v>
      </c>
      <c r="Q520">
        <f t="shared" si="180"/>
        <v>0</v>
      </c>
      <c r="R520" s="6">
        <f t="shared" si="192"/>
        <v>78.09904055359857</v>
      </c>
      <c r="S520">
        <f t="shared" si="181"/>
        <v>0.46859424332159144</v>
      </c>
      <c r="T520">
        <f t="shared" si="182"/>
        <v>0</v>
      </c>
      <c r="U520" s="6">
        <f t="shared" si="193"/>
        <v>9.8924991306165631E-35</v>
      </c>
      <c r="V520">
        <f t="shared" si="183"/>
        <v>1.4838748695924845E-35</v>
      </c>
      <c r="W520">
        <f t="shared" si="184"/>
        <v>0</v>
      </c>
      <c r="X520">
        <f t="shared" si="176"/>
        <v>261105.01788766327</v>
      </c>
      <c r="Y520" s="6">
        <f t="shared" si="185"/>
        <v>29002.990983012118</v>
      </c>
      <c r="Z520" s="6">
        <f t="shared" si="186"/>
        <v>8.6776711726220572</v>
      </c>
      <c r="AA520" s="6">
        <f t="shared" si="187"/>
        <v>1.0991665700685075E-35</v>
      </c>
      <c r="AB520">
        <f t="shared" si="188"/>
        <v>0</v>
      </c>
      <c r="AD520" s="6">
        <f t="shared" si="177"/>
        <v>109659.04762904119</v>
      </c>
      <c r="AG520">
        <f t="shared" si="189"/>
        <v>80293.188314749423</v>
      </c>
      <c r="AH520">
        <f t="shared" si="190"/>
        <v>354.19066010702375</v>
      </c>
      <c r="AI520">
        <f t="shared" si="191"/>
        <v>2.6379997681644226E-33</v>
      </c>
      <c r="AL520">
        <f t="shared" si="178"/>
        <v>0.96705562180616023</v>
      </c>
      <c r="AM520">
        <f t="shared" si="194"/>
        <v>0.84353113560800919</v>
      </c>
      <c r="AO520">
        <v>518</v>
      </c>
      <c r="AP520">
        <v>0.96274767235590597</v>
      </c>
      <c r="AQ520">
        <v>0.82692750979665097</v>
      </c>
    </row>
    <row r="521" spans="14:43" x14ac:dyDescent="0.35">
      <c r="N521">
        <f t="shared" si="174"/>
        <v>519</v>
      </c>
      <c r="O521" s="6">
        <f t="shared" si="175"/>
        <v>261013.86750116732</v>
      </c>
      <c r="P521">
        <f t="shared" si="179"/>
        <v>13.050693375058367</v>
      </c>
      <c r="Q521">
        <f t="shared" si="180"/>
        <v>0</v>
      </c>
      <c r="R521" s="6">
        <f t="shared" si="192"/>
        <v>77.63044631027698</v>
      </c>
      <c r="S521">
        <f t="shared" si="181"/>
        <v>0.46578267786166189</v>
      </c>
      <c r="T521">
        <f t="shared" si="182"/>
        <v>0</v>
      </c>
      <c r="U521" s="6">
        <f t="shared" si="193"/>
        <v>8.4086242610240781E-35</v>
      </c>
      <c r="V521">
        <f t="shared" si="183"/>
        <v>1.2612936391536118E-35</v>
      </c>
      <c r="W521">
        <f t="shared" si="184"/>
        <v>0</v>
      </c>
      <c r="X521">
        <f t="shared" si="176"/>
        <v>261091.49794747759</v>
      </c>
      <c r="Y521" s="6">
        <f t="shared" si="185"/>
        <v>29001.540833462968</v>
      </c>
      <c r="Z521" s="6">
        <f t="shared" si="186"/>
        <v>8.6256051455863254</v>
      </c>
      <c r="AA521" s="6">
        <f t="shared" si="187"/>
        <v>9.3429158455823149E-36</v>
      </c>
      <c r="AB521">
        <f t="shared" si="188"/>
        <v>0</v>
      </c>
      <c r="AD521" s="6">
        <f t="shared" si="177"/>
        <v>109651.40561008862</v>
      </c>
      <c r="AG521">
        <f t="shared" si="189"/>
        <v>80289.173655333681</v>
      </c>
      <c r="AH521">
        <f t="shared" si="190"/>
        <v>352.06551614638158</v>
      </c>
      <c r="AI521">
        <f t="shared" si="191"/>
        <v>2.2422998029397592E-33</v>
      </c>
      <c r="AL521">
        <f t="shared" si="178"/>
        <v>0.9670055479536207</v>
      </c>
      <c r="AM521">
        <f t="shared" si="194"/>
        <v>0.84347235084683558</v>
      </c>
      <c r="AO521">
        <v>519</v>
      </c>
      <c r="AP521">
        <v>0.96268085802957803</v>
      </c>
      <c r="AQ521">
        <v>0.82677717756241298</v>
      </c>
    </row>
    <row r="522" spans="14:43" x14ac:dyDescent="0.35">
      <c r="N522">
        <f t="shared" si="174"/>
        <v>520</v>
      </c>
      <c r="O522" s="6">
        <f t="shared" si="175"/>
        <v>261000.81680779226</v>
      </c>
      <c r="P522">
        <f t="shared" si="179"/>
        <v>13.050040840389613</v>
      </c>
      <c r="Q522">
        <f t="shared" si="180"/>
        <v>0</v>
      </c>
      <c r="R522" s="6">
        <f t="shared" si="192"/>
        <v>77.164663632415312</v>
      </c>
      <c r="S522">
        <f t="shared" si="181"/>
        <v>0.46298798179449191</v>
      </c>
      <c r="T522">
        <f t="shared" si="182"/>
        <v>0</v>
      </c>
      <c r="U522" s="6">
        <f t="shared" si="193"/>
        <v>7.1473306218704666E-35</v>
      </c>
      <c r="V522">
        <f t="shared" si="183"/>
        <v>1.0720995932805699E-35</v>
      </c>
      <c r="W522">
        <f t="shared" si="184"/>
        <v>0</v>
      </c>
      <c r="X522">
        <f t="shared" si="176"/>
        <v>261077.98147142469</v>
      </c>
      <c r="Y522" s="6">
        <f t="shared" si="185"/>
        <v>29000.090756421294</v>
      </c>
      <c r="Z522" s="6">
        <f t="shared" si="186"/>
        <v>8.5738515147128069</v>
      </c>
      <c r="AA522" s="6">
        <f t="shared" si="187"/>
        <v>7.9414784687449682E-36</v>
      </c>
      <c r="AB522">
        <f t="shared" si="188"/>
        <v>0</v>
      </c>
      <c r="AD522" s="6">
        <f t="shared" si="177"/>
        <v>109643.77692763643</v>
      </c>
      <c r="AG522">
        <f t="shared" si="189"/>
        <v>80285.159196650915</v>
      </c>
      <c r="AH522">
        <f t="shared" si="190"/>
        <v>349.95312304950329</v>
      </c>
      <c r="AI522">
        <f t="shared" si="191"/>
        <v>1.9059548324987952E-33</v>
      </c>
      <c r="AL522">
        <f t="shared" si="178"/>
        <v>0.96695548693120259</v>
      </c>
      <c r="AM522">
        <f t="shared" si="194"/>
        <v>0.84341366867412637</v>
      </c>
      <c r="AO522">
        <v>520</v>
      </c>
      <c r="AP522">
        <v>0.96262072513588304</v>
      </c>
      <c r="AQ522">
        <v>0.82672706681766595</v>
      </c>
    </row>
    <row r="523" spans="14:43" x14ac:dyDescent="0.35">
      <c r="N523">
        <f t="shared" si="174"/>
        <v>521</v>
      </c>
      <c r="O523" s="6">
        <f t="shared" si="175"/>
        <v>260987.76676695186</v>
      </c>
      <c r="P523">
        <f t="shared" si="179"/>
        <v>13.049388338347594</v>
      </c>
      <c r="Q523">
        <f t="shared" si="180"/>
        <v>0</v>
      </c>
      <c r="R523" s="6">
        <f t="shared" si="192"/>
        <v>76.701675650620814</v>
      </c>
      <c r="S523">
        <f t="shared" si="181"/>
        <v>0.46021005390372488</v>
      </c>
      <c r="T523">
        <f t="shared" si="182"/>
        <v>0</v>
      </c>
      <c r="U523" s="6">
        <f t="shared" si="193"/>
        <v>6.0752310285898964E-35</v>
      </c>
      <c r="V523">
        <f t="shared" si="183"/>
        <v>9.1128465428848449E-36</v>
      </c>
      <c r="W523">
        <f t="shared" si="184"/>
        <v>0</v>
      </c>
      <c r="X523">
        <f t="shared" si="176"/>
        <v>261064.46844260249</v>
      </c>
      <c r="Y523" s="6">
        <f t="shared" si="185"/>
        <v>28998.640751883471</v>
      </c>
      <c r="Z523" s="6">
        <f t="shared" si="186"/>
        <v>8.5224084056245299</v>
      </c>
      <c r="AA523" s="6">
        <f t="shared" si="187"/>
        <v>6.7502566984332233E-36</v>
      </c>
      <c r="AB523">
        <f t="shared" si="188"/>
        <v>0</v>
      </c>
      <c r="AD523" s="6">
        <f t="shared" si="177"/>
        <v>109636.16150329138</v>
      </c>
      <c r="AG523">
        <f t="shared" si="189"/>
        <v>80281.144938691083</v>
      </c>
      <c r="AH523">
        <f t="shared" si="190"/>
        <v>347.85340431120625</v>
      </c>
      <c r="AI523">
        <f t="shared" si="191"/>
        <v>1.6200616076239759E-33</v>
      </c>
      <c r="AL523">
        <f t="shared" si="178"/>
        <v>0.96690543867630552</v>
      </c>
      <c r="AM523">
        <f t="shared" si="194"/>
        <v>0.84335508848685681</v>
      </c>
      <c r="AO523">
        <v>521</v>
      </c>
      <c r="AP523">
        <v>0.96253386651165695</v>
      </c>
      <c r="AQ523">
        <v>0.82659677888132699</v>
      </c>
    </row>
    <row r="524" spans="14:43" x14ac:dyDescent="0.35">
      <c r="N524">
        <f t="shared" si="174"/>
        <v>522</v>
      </c>
      <c r="O524" s="6">
        <f t="shared" si="175"/>
        <v>260974.71737861351</v>
      </c>
      <c r="P524">
        <f t="shared" si="179"/>
        <v>13.048735868930676</v>
      </c>
      <c r="Q524">
        <f t="shared" si="180"/>
        <v>0</v>
      </c>
      <c r="R524" s="6">
        <f t="shared" si="192"/>
        <v>76.241465596717092</v>
      </c>
      <c r="S524">
        <f t="shared" si="181"/>
        <v>0.45744879358030255</v>
      </c>
      <c r="T524">
        <f t="shared" si="182"/>
        <v>0</v>
      </c>
      <c r="U524" s="6">
        <f t="shared" si="193"/>
        <v>5.1639463743014123E-35</v>
      </c>
      <c r="V524">
        <f t="shared" si="183"/>
        <v>7.7459195614521182E-36</v>
      </c>
      <c r="W524">
        <f t="shared" si="184"/>
        <v>0</v>
      </c>
      <c r="X524">
        <f t="shared" si="176"/>
        <v>261050.95884421022</v>
      </c>
      <c r="Y524" s="6">
        <f t="shared" si="185"/>
        <v>28997.190819845877</v>
      </c>
      <c r="Z524" s="6">
        <f t="shared" si="186"/>
        <v>8.4712739551907834</v>
      </c>
      <c r="AA524" s="6">
        <f t="shared" si="187"/>
        <v>5.7377181936682399E-36</v>
      </c>
      <c r="AB524">
        <f t="shared" si="188"/>
        <v>0</v>
      </c>
      <c r="AD524" s="6">
        <f t="shared" si="177"/>
        <v>109628.55925913056</v>
      </c>
      <c r="AG524">
        <f t="shared" si="189"/>
        <v>80277.130881444144</v>
      </c>
      <c r="AH524">
        <f t="shared" si="190"/>
        <v>345.76628388533902</v>
      </c>
      <c r="AI524">
        <f t="shared" si="191"/>
        <v>1.3770523664803795E-33</v>
      </c>
      <c r="AL524">
        <f t="shared" si="178"/>
        <v>0.96685540312670448</v>
      </c>
      <c r="AM524">
        <f t="shared" si="194"/>
        <v>0.8432966096856197</v>
      </c>
      <c r="AO524">
        <v>522</v>
      </c>
      <c r="AP524">
        <v>0.96244366717111496</v>
      </c>
      <c r="AQ524">
        <v>0.82648653524288596</v>
      </c>
    </row>
    <row r="525" spans="14:43" x14ac:dyDescent="0.35">
      <c r="N525">
        <f t="shared" si="174"/>
        <v>523</v>
      </c>
      <c r="O525" s="6">
        <f t="shared" si="175"/>
        <v>260961.66864274457</v>
      </c>
      <c r="P525">
        <f t="shared" si="179"/>
        <v>13.048083432137229</v>
      </c>
      <c r="Q525">
        <f t="shared" si="180"/>
        <v>0</v>
      </c>
      <c r="R525" s="6">
        <f t="shared" si="192"/>
        <v>75.784016803136794</v>
      </c>
      <c r="S525">
        <f t="shared" si="181"/>
        <v>0.45470410081882079</v>
      </c>
      <c r="T525">
        <f t="shared" si="182"/>
        <v>0</v>
      </c>
      <c r="U525" s="6">
        <f t="shared" si="193"/>
        <v>4.3893544181562004E-35</v>
      </c>
      <c r="V525">
        <f t="shared" si="183"/>
        <v>6.5840316272343003E-36</v>
      </c>
      <c r="W525">
        <f t="shared" si="184"/>
        <v>0</v>
      </c>
      <c r="X525">
        <f t="shared" si="176"/>
        <v>261037.45265954771</v>
      </c>
      <c r="Y525" s="6">
        <f t="shared" si="185"/>
        <v>28995.740960304884</v>
      </c>
      <c r="Z525" s="6">
        <f t="shared" si="186"/>
        <v>8.4204463114596386</v>
      </c>
      <c r="AA525" s="6">
        <f t="shared" si="187"/>
        <v>4.8770604646180043E-36</v>
      </c>
      <c r="AB525">
        <f t="shared" si="188"/>
        <v>0</v>
      </c>
      <c r="AD525" s="6">
        <f t="shared" si="177"/>
        <v>109620.97011769844</v>
      </c>
      <c r="AG525">
        <f t="shared" si="189"/>
        <v>80273.117024900072</v>
      </c>
      <c r="AH525">
        <f t="shared" si="190"/>
        <v>343.69168618202701</v>
      </c>
      <c r="AI525">
        <f t="shared" si="191"/>
        <v>1.1704945115083227E-33</v>
      </c>
      <c r="AL525">
        <f t="shared" si="178"/>
        <v>0.96680538022054707</v>
      </c>
      <c r="AM525">
        <f t="shared" si="194"/>
        <v>0.84323823167460332</v>
      </c>
      <c r="AO525">
        <v>523</v>
      </c>
      <c r="AP525">
        <v>0.96236348997952204</v>
      </c>
      <c r="AQ525">
        <v>0.82639633590234396</v>
      </c>
    </row>
    <row r="526" spans="14:43" x14ac:dyDescent="0.35">
      <c r="N526">
        <f t="shared" si="174"/>
        <v>524</v>
      </c>
      <c r="O526" s="6">
        <f t="shared" si="175"/>
        <v>260948.62055931243</v>
      </c>
      <c r="P526">
        <f t="shared" si="179"/>
        <v>13.047431027965622</v>
      </c>
      <c r="Q526">
        <f t="shared" si="180"/>
        <v>0</v>
      </c>
      <c r="R526" s="6">
        <f t="shared" si="192"/>
        <v>75.329312702317978</v>
      </c>
      <c r="S526">
        <f t="shared" si="181"/>
        <v>0.45197587621390789</v>
      </c>
      <c r="T526">
        <f t="shared" si="182"/>
        <v>0</v>
      </c>
      <c r="U526" s="6">
        <f t="shared" si="193"/>
        <v>3.7309512554327701E-35</v>
      </c>
      <c r="V526">
        <f t="shared" si="183"/>
        <v>5.5964268831491551E-36</v>
      </c>
      <c r="W526">
        <f t="shared" si="184"/>
        <v>0</v>
      </c>
      <c r="X526">
        <f t="shared" si="176"/>
        <v>261023.94987201475</v>
      </c>
      <c r="Y526" s="6">
        <f t="shared" si="185"/>
        <v>28994.291173256868</v>
      </c>
      <c r="Z526" s="6">
        <f t="shared" si="186"/>
        <v>8.3699236335908811</v>
      </c>
      <c r="AA526" s="6">
        <f t="shared" si="187"/>
        <v>4.1455013949253035E-36</v>
      </c>
      <c r="AB526">
        <f t="shared" si="188"/>
        <v>0</v>
      </c>
      <c r="AD526" s="6">
        <f t="shared" si="177"/>
        <v>109613.39400200422</v>
      </c>
      <c r="AG526">
        <f t="shared" si="189"/>
        <v>80269.103369048826</v>
      </c>
      <c r="AH526">
        <f t="shared" si="190"/>
        <v>341.62953606493483</v>
      </c>
      <c r="AI526">
        <f t="shared" si="191"/>
        <v>9.9492033478207435E-34</v>
      </c>
      <c r="AL526">
        <f t="shared" si="178"/>
        <v>0.96675536989635091</v>
      </c>
      <c r="AM526">
        <f t="shared" si="194"/>
        <v>0.84317995386157096</v>
      </c>
      <c r="AO526">
        <v>524</v>
      </c>
      <c r="AP526">
        <v>0.96227329063897904</v>
      </c>
      <c r="AQ526">
        <v>0.82628609226390304</v>
      </c>
    </row>
    <row r="527" spans="14:43" x14ac:dyDescent="0.35">
      <c r="N527">
        <f t="shared" si="174"/>
        <v>525</v>
      </c>
      <c r="O527" s="6">
        <f t="shared" si="175"/>
        <v>260935.57312828448</v>
      </c>
      <c r="P527">
        <f t="shared" si="179"/>
        <v>13.046778656414224</v>
      </c>
      <c r="Q527">
        <f t="shared" si="180"/>
        <v>0</v>
      </c>
      <c r="R527" s="6">
        <f t="shared" si="192"/>
        <v>74.87733682610407</v>
      </c>
      <c r="S527">
        <f t="shared" si="181"/>
        <v>0.44926402095662443</v>
      </c>
      <c r="T527">
        <f t="shared" si="182"/>
        <v>0</v>
      </c>
      <c r="U527" s="6">
        <f t="shared" si="193"/>
        <v>3.1713085671178546E-35</v>
      </c>
      <c r="V527">
        <f t="shared" si="183"/>
        <v>4.7569628506767814E-36</v>
      </c>
      <c r="W527">
        <f t="shared" si="184"/>
        <v>0</v>
      </c>
      <c r="X527">
        <f t="shared" si="176"/>
        <v>261010.4504651106</v>
      </c>
      <c r="Y527" s="6">
        <f t="shared" si="185"/>
        <v>28992.841458698207</v>
      </c>
      <c r="Z527" s="6">
        <f t="shared" si="186"/>
        <v>8.319704091789335</v>
      </c>
      <c r="AA527" s="6">
        <f t="shared" si="187"/>
        <v>3.523676185686508E-36</v>
      </c>
      <c r="AB527">
        <f t="shared" si="188"/>
        <v>0</v>
      </c>
      <c r="AD527" s="6">
        <f t="shared" si="177"/>
        <v>109605.83083551892</v>
      </c>
      <c r="AG527">
        <f t="shared" si="189"/>
        <v>80265.08991388038</v>
      </c>
      <c r="AH527">
        <f t="shared" si="190"/>
        <v>339.57975884854523</v>
      </c>
      <c r="AI527">
        <f t="shared" si="191"/>
        <v>8.4568228456476321E-34</v>
      </c>
      <c r="AL527">
        <f t="shared" si="178"/>
        <v>0.96670537209300222</v>
      </c>
      <c r="AM527">
        <f t="shared" si="194"/>
        <v>0.84312177565783786</v>
      </c>
      <c r="AO527">
        <v>525</v>
      </c>
      <c r="AP527">
        <v>0.96221649846159996</v>
      </c>
      <c r="AQ527">
        <v>0.82616582647651204</v>
      </c>
    </row>
    <row r="528" spans="14:43" x14ac:dyDescent="0.35">
      <c r="N528">
        <f t="shared" si="174"/>
        <v>526</v>
      </c>
      <c r="O528" s="6">
        <f t="shared" si="175"/>
        <v>260922.52634962805</v>
      </c>
      <c r="P528">
        <f t="shared" si="179"/>
        <v>13.046126317481404</v>
      </c>
      <c r="Q528">
        <f t="shared" si="180"/>
        <v>0</v>
      </c>
      <c r="R528" s="6">
        <f t="shared" si="192"/>
        <v>74.428072805147451</v>
      </c>
      <c r="S528">
        <f t="shared" si="181"/>
        <v>0.44656843683088471</v>
      </c>
      <c r="T528">
        <f t="shared" si="182"/>
        <v>0</v>
      </c>
      <c r="U528" s="6">
        <f t="shared" si="193"/>
        <v>2.6956122820501762E-35</v>
      </c>
      <c r="V528">
        <f t="shared" si="183"/>
        <v>4.0434184230752644E-36</v>
      </c>
      <c r="W528">
        <f t="shared" si="184"/>
        <v>0</v>
      </c>
      <c r="X528">
        <f t="shared" si="176"/>
        <v>260996.95442243319</v>
      </c>
      <c r="Y528" s="6">
        <f t="shared" si="185"/>
        <v>28991.391816625273</v>
      </c>
      <c r="Z528" s="6">
        <f t="shared" si="186"/>
        <v>8.2697858672385998</v>
      </c>
      <c r="AA528" s="6">
        <f t="shared" si="187"/>
        <v>2.9951247578335318E-36</v>
      </c>
      <c r="AB528">
        <f t="shared" si="188"/>
        <v>0</v>
      </c>
      <c r="AD528" s="6">
        <f t="shared" si="177"/>
        <v>109598.28054217267</v>
      </c>
      <c r="AG528">
        <f t="shared" si="189"/>
        <v>80261.076659384693</v>
      </c>
      <c r="AH528">
        <f t="shared" si="190"/>
        <v>337.54228029545396</v>
      </c>
      <c r="AI528">
        <f t="shared" si="191"/>
        <v>7.1882994188004873E-34</v>
      </c>
      <c r="AL528">
        <f t="shared" si="178"/>
        <v>0.9666553867497526</v>
      </c>
      <c r="AM528">
        <f t="shared" si="194"/>
        <v>0.8430636964782513</v>
      </c>
      <c r="AO528">
        <v>526</v>
      </c>
      <c r="AP528">
        <v>0.962116276972109</v>
      </c>
      <c r="AQ528">
        <v>0.82611571573176601</v>
      </c>
    </row>
    <row r="529" spans="14:43" x14ac:dyDescent="0.35">
      <c r="N529">
        <f t="shared" si="174"/>
        <v>527</v>
      </c>
      <c r="O529" s="6">
        <f t="shared" si="175"/>
        <v>260909.48022331056</v>
      </c>
      <c r="P529">
        <f t="shared" si="179"/>
        <v>13.045474011165529</v>
      </c>
      <c r="Q529">
        <f t="shared" si="180"/>
        <v>0</v>
      </c>
      <c r="R529" s="6">
        <f t="shared" si="192"/>
        <v>73.981504368316564</v>
      </c>
      <c r="S529">
        <f t="shared" si="181"/>
        <v>0.4438890262098994</v>
      </c>
      <c r="T529">
        <f t="shared" si="182"/>
        <v>0</v>
      </c>
      <c r="U529" s="6">
        <f t="shared" si="193"/>
        <v>2.2912704397426497E-35</v>
      </c>
      <c r="V529">
        <f t="shared" si="183"/>
        <v>3.4369056596139747E-36</v>
      </c>
      <c r="W529">
        <f t="shared" si="184"/>
        <v>0</v>
      </c>
      <c r="X529">
        <f t="shared" si="176"/>
        <v>260983.46172767886</v>
      </c>
      <c r="Y529" s="6">
        <f t="shared" si="185"/>
        <v>28989.942247034443</v>
      </c>
      <c r="Z529" s="6">
        <f t="shared" si="186"/>
        <v>8.2201671520351685</v>
      </c>
      <c r="AA529" s="6">
        <f t="shared" si="187"/>
        <v>2.5458560441585021E-36</v>
      </c>
      <c r="AB529">
        <f t="shared" si="188"/>
        <v>0</v>
      </c>
      <c r="AD529" s="6">
        <f t="shared" si="177"/>
        <v>109590.74304635188</v>
      </c>
      <c r="AG529">
        <f t="shared" si="189"/>
        <v>80257.063605551724</v>
      </c>
      <c r="AH529">
        <f t="shared" si="190"/>
        <v>335.51702661368125</v>
      </c>
      <c r="AI529">
        <f t="shared" si="191"/>
        <v>6.110054505980414E-34</v>
      </c>
      <c r="AL529">
        <f t="shared" si="178"/>
        <v>0.96660541380621801</v>
      </c>
      <c r="AM529">
        <f t="shared" si="194"/>
        <v>0.84300571574116834</v>
      </c>
      <c r="AO529">
        <v>527</v>
      </c>
      <c r="AP529">
        <v>0.96202941834788203</v>
      </c>
      <c r="AQ529">
        <v>0.82606560498701997</v>
      </c>
    </row>
    <row r="530" spans="14:43" x14ac:dyDescent="0.35">
      <c r="N530">
        <f t="shared" si="174"/>
        <v>528</v>
      </c>
      <c r="O530" s="6">
        <f t="shared" si="175"/>
        <v>260896.4347492994</v>
      </c>
      <c r="P530">
        <f t="shared" si="179"/>
        <v>13.04482173746497</v>
      </c>
      <c r="Q530">
        <f t="shared" si="180"/>
        <v>0</v>
      </c>
      <c r="R530" s="6">
        <f t="shared" si="192"/>
        <v>73.537615342106662</v>
      </c>
      <c r="S530">
        <f t="shared" si="181"/>
        <v>0.44122569205264001</v>
      </c>
      <c r="T530">
        <f t="shared" si="182"/>
        <v>0</v>
      </c>
      <c r="U530" s="6">
        <f t="shared" si="193"/>
        <v>1.9475798737812522E-35</v>
      </c>
      <c r="V530">
        <f t="shared" si="183"/>
        <v>2.921369810671878E-36</v>
      </c>
      <c r="W530">
        <f t="shared" si="184"/>
        <v>0</v>
      </c>
      <c r="X530">
        <f t="shared" si="176"/>
        <v>260969.97236464149</v>
      </c>
      <c r="Y530" s="6">
        <f t="shared" si="185"/>
        <v>28988.49274992209</v>
      </c>
      <c r="Z530" s="6">
        <f t="shared" si="186"/>
        <v>8.1708461491229567</v>
      </c>
      <c r="AA530" s="6">
        <f t="shared" si="187"/>
        <v>2.1639776375347268E-36</v>
      </c>
      <c r="AB530">
        <f t="shared" si="188"/>
        <v>0</v>
      </c>
      <c r="AD530" s="6">
        <f t="shared" si="177"/>
        <v>109583.21827289666</v>
      </c>
      <c r="AG530">
        <f t="shared" si="189"/>
        <v>80253.050752371448</v>
      </c>
      <c r="AH530">
        <f t="shared" si="190"/>
        <v>333.50392445399916</v>
      </c>
      <c r="AI530">
        <f t="shared" si="191"/>
        <v>5.1935463300833522E-34</v>
      </c>
      <c r="AL530">
        <f t="shared" si="178"/>
        <v>0.9665554532023759</v>
      </c>
      <c r="AM530">
        <f t="shared" si="194"/>
        <v>0.84294783286843589</v>
      </c>
      <c r="AO530">
        <v>528</v>
      </c>
      <c r="AP530">
        <v>0.96195592258892204</v>
      </c>
      <c r="AQ530">
        <v>0.82601549424227505</v>
      </c>
    </row>
    <row r="531" spans="14:43" x14ac:dyDescent="0.35">
      <c r="N531">
        <f t="shared" si="174"/>
        <v>529</v>
      </c>
      <c r="O531" s="6">
        <f t="shared" si="175"/>
        <v>260883.38992756195</v>
      </c>
      <c r="P531">
        <f t="shared" si="179"/>
        <v>13.044169496378098</v>
      </c>
      <c r="Q531">
        <f t="shared" si="180"/>
        <v>0</v>
      </c>
      <c r="R531" s="6">
        <f t="shared" si="192"/>
        <v>73.096389650054022</v>
      </c>
      <c r="S531">
        <f t="shared" si="181"/>
        <v>0.43857833790032413</v>
      </c>
      <c r="T531">
        <f t="shared" si="182"/>
        <v>0</v>
      </c>
      <c r="U531" s="6">
        <f t="shared" si="193"/>
        <v>1.6554428927140644E-35</v>
      </c>
      <c r="V531">
        <f t="shared" si="183"/>
        <v>2.4831643390710963E-36</v>
      </c>
      <c r="W531">
        <f t="shared" si="184"/>
        <v>0</v>
      </c>
      <c r="X531">
        <f t="shared" si="176"/>
        <v>260956.48631721199</v>
      </c>
      <c r="Y531" s="6">
        <f t="shared" si="185"/>
        <v>28987.043325284594</v>
      </c>
      <c r="Z531" s="6">
        <f t="shared" si="186"/>
        <v>8.1218210722282187</v>
      </c>
      <c r="AA531" s="6">
        <f t="shared" si="187"/>
        <v>1.8393809919045177E-36</v>
      </c>
      <c r="AB531">
        <f t="shared" si="188"/>
        <v>0</v>
      </c>
      <c r="AD531" s="6">
        <f t="shared" si="177"/>
        <v>109575.70614709792</v>
      </c>
      <c r="AG531">
        <f t="shared" si="189"/>
        <v>80249.038099833822</v>
      </c>
      <c r="AH531">
        <f t="shared" si="190"/>
        <v>331.50290090727515</v>
      </c>
      <c r="AI531">
        <f t="shared" si="191"/>
        <v>4.414514380570849E-34</v>
      </c>
      <c r="AL531">
        <f t="shared" si="178"/>
        <v>0.9665055048785629</v>
      </c>
      <c r="AM531">
        <f t="shared" si="194"/>
        <v>0.84289004728536865</v>
      </c>
      <c r="AO531">
        <v>529</v>
      </c>
      <c r="AP531">
        <v>0.96185236038311395</v>
      </c>
      <c r="AQ531">
        <v>0.82595536134858005</v>
      </c>
    </row>
    <row r="532" spans="14:43" x14ac:dyDescent="0.35">
      <c r="N532">
        <f t="shared" si="174"/>
        <v>530</v>
      </c>
      <c r="O532" s="6">
        <f t="shared" si="175"/>
        <v>260870.34575806558</v>
      </c>
      <c r="P532">
        <f t="shared" si="179"/>
        <v>13.043517287903279</v>
      </c>
      <c r="Q532">
        <f t="shared" si="180"/>
        <v>0</v>
      </c>
      <c r="R532" s="6">
        <f t="shared" si="192"/>
        <v>72.657811312153697</v>
      </c>
      <c r="S532">
        <f t="shared" si="181"/>
        <v>0.43594686787292219</v>
      </c>
      <c r="T532">
        <f t="shared" si="182"/>
        <v>0</v>
      </c>
      <c r="U532" s="6">
        <f t="shared" si="193"/>
        <v>1.4071264588069547E-35</v>
      </c>
      <c r="V532">
        <f t="shared" si="183"/>
        <v>2.1106896882104321E-36</v>
      </c>
      <c r="W532">
        <f t="shared" si="184"/>
        <v>0</v>
      </c>
      <c r="X532">
        <f t="shared" si="176"/>
        <v>260943.00356937773</v>
      </c>
      <c r="Y532" s="6">
        <f t="shared" si="185"/>
        <v>28985.593973118332</v>
      </c>
      <c r="Z532" s="6">
        <f t="shared" si="186"/>
        <v>8.0730901457948487</v>
      </c>
      <c r="AA532" s="6">
        <f t="shared" si="187"/>
        <v>1.5634738431188401E-36</v>
      </c>
      <c r="AB532">
        <f t="shared" si="188"/>
        <v>0</v>
      </c>
      <c r="AD532" s="6">
        <f t="shared" si="177"/>
        <v>109568.2065946948</v>
      </c>
      <c r="AG532">
        <f t="shared" si="189"/>
        <v>80245.025647928836</v>
      </c>
      <c r="AH532">
        <f t="shared" si="190"/>
        <v>329.51388350183151</v>
      </c>
      <c r="AI532">
        <f t="shared" si="191"/>
        <v>3.7523372234852217E-34</v>
      </c>
      <c r="AL532">
        <f t="shared" si="178"/>
        <v>0.96645556877547312</v>
      </c>
      <c r="AM532">
        <f t="shared" si="194"/>
        <v>0.84283235842072923</v>
      </c>
      <c r="AO532">
        <v>530</v>
      </c>
      <c r="AP532">
        <v>0.96181895321995003</v>
      </c>
      <c r="AQ532">
        <v>0.82583509556119095</v>
      </c>
    </row>
    <row r="533" spans="14:43" x14ac:dyDescent="0.35">
      <c r="N533">
        <f t="shared" si="174"/>
        <v>531</v>
      </c>
      <c r="O533" s="6">
        <f t="shared" si="175"/>
        <v>260857.30224077767</v>
      </c>
      <c r="P533">
        <f t="shared" si="179"/>
        <v>13.042865112038884</v>
      </c>
      <c r="Q533">
        <f t="shared" si="180"/>
        <v>0</v>
      </c>
      <c r="R533" s="6">
        <f t="shared" si="192"/>
        <v>72.221864444280769</v>
      </c>
      <c r="S533">
        <f t="shared" si="181"/>
        <v>0.4333311866656846</v>
      </c>
      <c r="T533">
        <f t="shared" si="182"/>
        <v>0</v>
      </c>
      <c r="U533" s="6">
        <f t="shared" si="193"/>
        <v>1.1960574899859115E-35</v>
      </c>
      <c r="V533">
        <f t="shared" si="183"/>
        <v>1.794086234978867E-36</v>
      </c>
      <c r="W533">
        <f t="shared" si="184"/>
        <v>0</v>
      </c>
      <c r="X533">
        <f t="shared" si="176"/>
        <v>260929.52410522196</v>
      </c>
      <c r="Y533" s="6">
        <f t="shared" si="185"/>
        <v>28984.144693419676</v>
      </c>
      <c r="Z533" s="6">
        <f t="shared" si="186"/>
        <v>8.0246516049200789</v>
      </c>
      <c r="AA533" s="6">
        <f t="shared" si="187"/>
        <v>1.3289527666510142E-36</v>
      </c>
      <c r="AB533">
        <f t="shared" si="188"/>
        <v>0</v>
      </c>
      <c r="AD533" s="6">
        <f t="shared" si="177"/>
        <v>109560.71954187185</v>
      </c>
      <c r="AG533">
        <f t="shared" si="189"/>
        <v>80241.013396646435</v>
      </c>
      <c r="AH533">
        <f t="shared" si="190"/>
        <v>327.53680020082055</v>
      </c>
      <c r="AI533">
        <f t="shared" si="191"/>
        <v>3.1894866399624384E-34</v>
      </c>
      <c r="AL533">
        <f t="shared" si="178"/>
        <v>0.96640564483415548</v>
      </c>
      <c r="AM533">
        <f t="shared" si="194"/>
        <v>0.84277476570670651</v>
      </c>
      <c r="AO533">
        <v>531</v>
      </c>
      <c r="AP533">
        <v>0.96177218319152002</v>
      </c>
      <c r="AQ533">
        <v>0.82571482977379995</v>
      </c>
    </row>
    <row r="534" spans="14:43" x14ac:dyDescent="0.35">
      <c r="N534">
        <f t="shared" si="174"/>
        <v>532</v>
      </c>
      <c r="O534" s="6">
        <f t="shared" si="175"/>
        <v>260844.25937566563</v>
      </c>
      <c r="P534">
        <f t="shared" si="179"/>
        <v>13.042212968783282</v>
      </c>
      <c r="Q534">
        <f t="shared" si="180"/>
        <v>0</v>
      </c>
      <c r="R534" s="6">
        <f t="shared" si="192"/>
        <v>71.788533257615086</v>
      </c>
      <c r="S534">
        <f t="shared" si="181"/>
        <v>0.4307311995456905</v>
      </c>
      <c r="T534">
        <f t="shared" si="182"/>
        <v>0</v>
      </c>
      <c r="U534" s="6">
        <f t="shared" si="193"/>
        <v>1.0166488664880247E-35</v>
      </c>
      <c r="V534">
        <f t="shared" si="183"/>
        <v>1.5249732997320369E-36</v>
      </c>
      <c r="W534">
        <f t="shared" si="184"/>
        <v>0</v>
      </c>
      <c r="X534">
        <f t="shared" si="176"/>
        <v>260916.04790892324</v>
      </c>
      <c r="Y534" s="6">
        <f t="shared" si="185"/>
        <v>28982.695486185006</v>
      </c>
      <c r="Z534" s="6">
        <f t="shared" si="186"/>
        <v>7.9765036952905586</v>
      </c>
      <c r="AA534" s="6">
        <f t="shared" si="187"/>
        <v>1.1296098516533621E-36</v>
      </c>
      <c r="AB534">
        <f t="shared" si="188"/>
        <v>0</v>
      </c>
      <c r="AD534" s="6">
        <f t="shared" si="177"/>
        <v>109553.24491525652</v>
      </c>
      <c r="AG534">
        <f t="shared" si="189"/>
        <v>80237.001345976605</v>
      </c>
      <c r="AH534">
        <f t="shared" si="190"/>
        <v>325.57157939961564</v>
      </c>
      <c r="AI534">
        <f t="shared" si="191"/>
        <v>2.7110636439680728E-34</v>
      </c>
      <c r="AL534">
        <f t="shared" si="178"/>
        <v>0.96635573299601196</v>
      </c>
      <c r="AM534">
        <f t="shared" si="194"/>
        <v>0.84271726857889639</v>
      </c>
      <c r="AO534">
        <v>532</v>
      </c>
      <c r="AP534">
        <v>0.961708709581509</v>
      </c>
      <c r="AQ534">
        <v>0.82560458613535803</v>
      </c>
    </row>
    <row r="535" spans="14:43" x14ac:dyDescent="0.35">
      <c r="N535">
        <f t="shared" si="174"/>
        <v>533</v>
      </c>
      <c r="O535" s="6">
        <f t="shared" si="175"/>
        <v>260831.21716269685</v>
      </c>
      <c r="P535">
        <f t="shared" si="179"/>
        <v>13.041560858134844</v>
      </c>
      <c r="Q535">
        <f t="shared" si="180"/>
        <v>0</v>
      </c>
      <c r="R535" s="6">
        <f t="shared" si="192"/>
        <v>71.357802058069396</v>
      </c>
      <c r="S535">
        <f t="shared" si="181"/>
        <v>0.42814681234841639</v>
      </c>
      <c r="T535">
        <f t="shared" si="182"/>
        <v>0</v>
      </c>
      <c r="U535" s="6">
        <f t="shared" si="193"/>
        <v>8.6415153651482109E-36</v>
      </c>
      <c r="V535">
        <f t="shared" si="183"/>
        <v>1.2962273047722317E-36</v>
      </c>
      <c r="W535">
        <f t="shared" si="184"/>
        <v>0</v>
      </c>
      <c r="X535">
        <f t="shared" si="176"/>
        <v>260902.57496475492</v>
      </c>
      <c r="Y535" s="6">
        <f t="shared" si="185"/>
        <v>28981.246351410697</v>
      </c>
      <c r="Z535" s="6">
        <f t="shared" si="186"/>
        <v>7.9286446731188152</v>
      </c>
      <c r="AA535" s="6">
        <f t="shared" si="187"/>
        <v>9.6016837390535779E-37</v>
      </c>
      <c r="AB535">
        <f t="shared" si="188"/>
        <v>0</v>
      </c>
      <c r="AD535" s="6">
        <f t="shared" si="177"/>
        <v>109545.78264191635</v>
      </c>
      <c r="AG535">
        <f t="shared" si="189"/>
        <v>80232.989495909307</v>
      </c>
      <c r="AH535">
        <f t="shared" si="190"/>
        <v>323.61814992321797</v>
      </c>
      <c r="AI535">
        <f t="shared" si="191"/>
        <v>2.3044040973728621E-34</v>
      </c>
      <c r="AL535">
        <f t="shared" si="178"/>
        <v>0.96630583320279606</v>
      </c>
      <c r="AM535">
        <f t="shared" si="194"/>
        <v>0.84265986647627955</v>
      </c>
      <c r="AO535">
        <v>533</v>
      </c>
      <c r="AP535">
        <v>0.96160848809201704</v>
      </c>
      <c r="AQ535">
        <v>0.825554475390613</v>
      </c>
    </row>
    <row r="536" spans="14:43" x14ac:dyDescent="0.35">
      <c r="N536">
        <f t="shared" si="174"/>
        <v>534</v>
      </c>
      <c r="O536" s="6">
        <f t="shared" si="175"/>
        <v>260818.17560183871</v>
      </c>
      <c r="P536">
        <f t="shared" si="179"/>
        <v>13.040908780091936</v>
      </c>
      <c r="Q536">
        <f t="shared" si="180"/>
        <v>0</v>
      </c>
      <c r="R536" s="6">
        <f t="shared" si="192"/>
        <v>70.92965524572098</v>
      </c>
      <c r="S536">
        <f t="shared" si="181"/>
        <v>0.42557793147432588</v>
      </c>
      <c r="T536">
        <f t="shared" si="182"/>
        <v>0</v>
      </c>
      <c r="U536" s="6">
        <f t="shared" si="193"/>
        <v>7.3452880603759787E-36</v>
      </c>
      <c r="V536">
        <f t="shared" si="183"/>
        <v>1.1017932090563967E-36</v>
      </c>
      <c r="W536">
        <f t="shared" si="184"/>
        <v>0</v>
      </c>
      <c r="X536">
        <f t="shared" si="176"/>
        <v>260889.10525708442</v>
      </c>
      <c r="Y536" s="6">
        <f t="shared" si="185"/>
        <v>28979.797289093127</v>
      </c>
      <c r="Z536" s="6">
        <f t="shared" si="186"/>
        <v>7.8810728050801027</v>
      </c>
      <c r="AA536" s="6">
        <f t="shared" si="187"/>
        <v>8.1614311781955419E-37</v>
      </c>
      <c r="AB536">
        <f t="shared" si="188"/>
        <v>0</v>
      </c>
      <c r="AD536" s="6">
        <f t="shared" si="177"/>
        <v>109538.33264935639</v>
      </c>
      <c r="AG536">
        <f t="shared" si="189"/>
        <v>80228.977846434515</v>
      </c>
      <c r="AH536">
        <f t="shared" si="190"/>
        <v>321.67644102367865</v>
      </c>
      <c r="AI536">
        <f t="shared" si="191"/>
        <v>1.9587434827669328E-34</v>
      </c>
      <c r="AL536">
        <f t="shared" si="178"/>
        <v>0.96625594539660897</v>
      </c>
      <c r="AM536">
        <f t="shared" si="194"/>
        <v>0.84260255884120305</v>
      </c>
      <c r="AO536">
        <v>534</v>
      </c>
      <c r="AP536">
        <v>0.96152497018410699</v>
      </c>
      <c r="AQ536">
        <v>0.82545425390112104</v>
      </c>
    </row>
    <row r="537" spans="14:43" x14ac:dyDescent="0.35">
      <c r="N537">
        <f t="shared" si="174"/>
        <v>535</v>
      </c>
      <c r="O537" s="6">
        <f t="shared" si="175"/>
        <v>260805.13469305862</v>
      </c>
      <c r="P537">
        <f t="shared" si="179"/>
        <v>13.040256734652932</v>
      </c>
      <c r="Q537">
        <f t="shared" si="180"/>
        <v>0</v>
      </c>
      <c r="R537" s="6">
        <f t="shared" si="192"/>
        <v>70.504077314246658</v>
      </c>
      <c r="S537">
        <f t="shared" si="181"/>
        <v>0.42302446388547993</v>
      </c>
      <c r="T537">
        <f t="shared" si="182"/>
        <v>0</v>
      </c>
      <c r="U537" s="6">
        <f t="shared" si="193"/>
        <v>6.2434948513195817E-36</v>
      </c>
      <c r="V537">
        <f t="shared" si="183"/>
        <v>9.3652422769793715E-37</v>
      </c>
      <c r="W537">
        <f t="shared" si="184"/>
        <v>0</v>
      </c>
      <c r="X537">
        <f t="shared" si="176"/>
        <v>260875.63877037287</v>
      </c>
      <c r="Y537" s="6">
        <f t="shared" si="185"/>
        <v>28978.348299228674</v>
      </c>
      <c r="Z537" s="6">
        <f t="shared" si="186"/>
        <v>7.8337863682496218</v>
      </c>
      <c r="AA537" s="6">
        <f t="shared" si="187"/>
        <v>6.9372165014662107E-37</v>
      </c>
      <c r="AB537">
        <f t="shared" si="188"/>
        <v>0</v>
      </c>
      <c r="AD537" s="6">
        <f t="shared" si="177"/>
        <v>109530.89486551665</v>
      </c>
      <c r="AG537">
        <f t="shared" si="189"/>
        <v>80224.966397542186</v>
      </c>
      <c r="AH537">
        <f t="shared" si="190"/>
        <v>319.74638237753658</v>
      </c>
      <c r="AI537">
        <f t="shared" si="191"/>
        <v>1.6649319603518928E-34</v>
      </c>
      <c r="AL537">
        <f t="shared" si="178"/>
        <v>0.96620606951989951</v>
      </c>
      <c r="AM537">
        <f t="shared" si="194"/>
        <v>0.84254534511935886</v>
      </c>
      <c r="AO537">
        <v>535</v>
      </c>
      <c r="AP537">
        <v>0.961451474425146</v>
      </c>
      <c r="AQ537">
        <v>0.82532396596478097</v>
      </c>
    </row>
    <row r="538" spans="14:43" x14ac:dyDescent="0.35">
      <c r="N538">
        <f t="shared" si="174"/>
        <v>536</v>
      </c>
      <c r="O538" s="6">
        <f t="shared" si="175"/>
        <v>260792.09443632397</v>
      </c>
      <c r="P538">
        <f t="shared" si="179"/>
        <v>13.039604721816199</v>
      </c>
      <c r="Q538">
        <f t="shared" si="180"/>
        <v>0</v>
      </c>
      <c r="R538" s="6">
        <f t="shared" si="192"/>
        <v>70.081052850361175</v>
      </c>
      <c r="S538">
        <f t="shared" si="181"/>
        <v>0.42048631710216705</v>
      </c>
      <c r="T538">
        <f t="shared" si="182"/>
        <v>0</v>
      </c>
      <c r="U538" s="6">
        <f t="shared" si="193"/>
        <v>5.3069706236216443E-36</v>
      </c>
      <c r="V538">
        <f t="shared" si="183"/>
        <v>7.9604559354324662E-37</v>
      </c>
      <c r="W538">
        <f t="shared" si="184"/>
        <v>0</v>
      </c>
      <c r="X538">
        <f t="shared" si="176"/>
        <v>260862.17548917432</v>
      </c>
      <c r="Y538" s="6">
        <f t="shared" si="185"/>
        <v>28976.899381813713</v>
      </c>
      <c r="Z538" s="6">
        <f t="shared" si="186"/>
        <v>7.7867836500401237</v>
      </c>
      <c r="AA538" s="6">
        <f t="shared" si="187"/>
        <v>5.8966340262462791E-37</v>
      </c>
      <c r="AB538">
        <f t="shared" si="188"/>
        <v>0</v>
      </c>
      <c r="AD538" s="6">
        <f t="shared" si="177"/>
        <v>109523.46921876934</v>
      </c>
      <c r="AG538">
        <f t="shared" si="189"/>
        <v>80220.955149222311</v>
      </c>
      <c r="AH538">
        <f t="shared" si="190"/>
        <v>317.82790408327133</v>
      </c>
      <c r="AI538">
        <f t="shared" si="191"/>
        <v>1.4151921662991088E-34</v>
      </c>
      <c r="AL538">
        <f t="shared" si="178"/>
        <v>0.96615620551546044</v>
      </c>
      <c r="AM538">
        <f t="shared" si="194"/>
        <v>0.84248822475976415</v>
      </c>
      <c r="AO538">
        <v>536</v>
      </c>
      <c r="AP538">
        <v>0.96135793436828698</v>
      </c>
      <c r="AQ538">
        <v>0.82521372232634105</v>
      </c>
    </row>
    <row r="539" spans="14:43" x14ac:dyDescent="0.35">
      <c r="N539">
        <f t="shared" si="174"/>
        <v>537</v>
      </c>
      <c r="O539" s="6">
        <f t="shared" si="175"/>
        <v>260779.05483160214</v>
      </c>
      <c r="P539">
        <f t="shared" si="179"/>
        <v>13.038952741580108</v>
      </c>
      <c r="Q539">
        <f t="shared" si="180"/>
        <v>0</v>
      </c>
      <c r="R539" s="6">
        <f t="shared" si="192"/>
        <v>69.660566533259015</v>
      </c>
      <c r="S539">
        <f t="shared" si="181"/>
        <v>0.41796339919955411</v>
      </c>
      <c r="T539">
        <f t="shared" si="182"/>
        <v>0</v>
      </c>
      <c r="U539" s="6">
        <f t="shared" si="193"/>
        <v>4.5109250300783981E-36</v>
      </c>
      <c r="V539">
        <f t="shared" si="183"/>
        <v>6.7663875451175966E-37</v>
      </c>
      <c r="W539">
        <f t="shared" si="184"/>
        <v>0</v>
      </c>
      <c r="X539">
        <f t="shared" si="176"/>
        <v>260848.71539813539</v>
      </c>
      <c r="Y539" s="6">
        <f t="shared" si="185"/>
        <v>28975.450536844623</v>
      </c>
      <c r="Z539" s="6">
        <f t="shared" si="186"/>
        <v>7.740062948139883</v>
      </c>
      <c r="AA539" s="6">
        <f t="shared" si="187"/>
        <v>5.0121389223093375E-37</v>
      </c>
      <c r="AB539">
        <f t="shared" si="188"/>
        <v>0</v>
      </c>
      <c r="AD539" s="6">
        <f t="shared" si="177"/>
        <v>109516.05563791638</v>
      </c>
      <c r="AG539">
        <f t="shared" si="189"/>
        <v>80216.944101464847</v>
      </c>
      <c r="AH539">
        <f t="shared" si="190"/>
        <v>315.92093665877172</v>
      </c>
      <c r="AI539">
        <f t="shared" si="191"/>
        <v>1.2029133413542425E-34</v>
      </c>
      <c r="AL539">
        <f t="shared" si="178"/>
        <v>0.96610635332642736</v>
      </c>
      <c r="AM539">
        <f t="shared" si="194"/>
        <v>0.84243119721474136</v>
      </c>
      <c r="AO539">
        <v>537</v>
      </c>
      <c r="AP539">
        <v>0.96128109789300997</v>
      </c>
      <c r="AQ539">
        <v>0.82514356728369698</v>
      </c>
    </row>
    <row r="540" spans="14:43" x14ac:dyDescent="0.35">
      <c r="N540">
        <f t="shared" si="174"/>
        <v>538</v>
      </c>
      <c r="O540" s="6">
        <f t="shared" si="175"/>
        <v>260766.01587886058</v>
      </c>
      <c r="P540">
        <f t="shared" si="179"/>
        <v>13.03830079394303</v>
      </c>
      <c r="Q540">
        <f t="shared" si="180"/>
        <v>0</v>
      </c>
      <c r="R540" s="6">
        <f t="shared" si="192"/>
        <v>69.242603134059465</v>
      </c>
      <c r="S540">
        <f t="shared" si="181"/>
        <v>0.41545561880435677</v>
      </c>
      <c r="T540">
        <f t="shared" si="182"/>
        <v>0</v>
      </c>
      <c r="U540" s="6">
        <f t="shared" si="193"/>
        <v>3.8342862755666385E-36</v>
      </c>
      <c r="V540">
        <f t="shared" si="183"/>
        <v>5.7514294133499574E-37</v>
      </c>
      <c r="W540">
        <f t="shared" si="184"/>
        <v>0</v>
      </c>
      <c r="X540">
        <f t="shared" si="176"/>
        <v>260835.25848199465</v>
      </c>
      <c r="Y540" s="6">
        <f t="shared" si="185"/>
        <v>28974.001764317782</v>
      </c>
      <c r="Z540" s="6">
        <f t="shared" si="186"/>
        <v>7.6936225704510441</v>
      </c>
      <c r="AA540" s="6">
        <f t="shared" si="187"/>
        <v>4.260318083962937E-37</v>
      </c>
      <c r="AB540">
        <f t="shared" si="188"/>
        <v>0</v>
      </c>
      <c r="AD540" s="6">
        <f t="shared" si="177"/>
        <v>109508.65405218683</v>
      </c>
      <c r="AG540">
        <f t="shared" si="189"/>
        <v>80212.933254259769</v>
      </c>
      <c r="AH540">
        <f t="shared" si="190"/>
        <v>314.02541103881907</v>
      </c>
      <c r="AI540">
        <f t="shared" si="191"/>
        <v>1.0224763401511062E-34</v>
      </c>
      <c r="AL540">
        <f t="shared" si="178"/>
        <v>0.96605651289627648</v>
      </c>
      <c r="AM540">
        <f t="shared" si="194"/>
        <v>0.84237426193989873</v>
      </c>
      <c r="AO540">
        <v>538</v>
      </c>
      <c r="AP540">
        <v>0.96119757998510102</v>
      </c>
      <c r="AQ540">
        <v>0.82504334579420402</v>
      </c>
    </row>
    <row r="541" spans="14:43" x14ac:dyDescent="0.35">
      <c r="N541">
        <f t="shared" si="174"/>
        <v>539</v>
      </c>
      <c r="O541" s="6">
        <f t="shared" si="175"/>
        <v>260752.97757806664</v>
      </c>
      <c r="P541">
        <f t="shared" si="179"/>
        <v>13.037648878903333</v>
      </c>
      <c r="Q541">
        <f t="shared" si="180"/>
        <v>0</v>
      </c>
      <c r="R541" s="6">
        <f t="shared" si="192"/>
        <v>68.827147515255106</v>
      </c>
      <c r="S541">
        <f t="shared" si="181"/>
        <v>0.41296288509153062</v>
      </c>
      <c r="T541">
        <f t="shared" si="182"/>
        <v>0</v>
      </c>
      <c r="U541" s="6">
        <f t="shared" si="193"/>
        <v>3.2591433342316431E-36</v>
      </c>
      <c r="V541">
        <f t="shared" si="183"/>
        <v>4.8887150013474646E-37</v>
      </c>
      <c r="W541">
        <f t="shared" si="184"/>
        <v>0</v>
      </c>
      <c r="X541">
        <f t="shared" si="176"/>
        <v>260821.8047255819</v>
      </c>
      <c r="Y541" s="6">
        <f t="shared" si="185"/>
        <v>28972.553064229567</v>
      </c>
      <c r="Z541" s="6">
        <f t="shared" si="186"/>
        <v>7.6474608350283377</v>
      </c>
      <c r="AA541" s="6">
        <f t="shared" si="187"/>
        <v>3.6212703713684964E-37</v>
      </c>
      <c r="AB541">
        <f t="shared" si="188"/>
        <v>0</v>
      </c>
      <c r="AD541" s="6">
        <f t="shared" si="177"/>
        <v>109501.26439123425</v>
      </c>
      <c r="AG541">
        <f t="shared" si="189"/>
        <v>80208.922607597051</v>
      </c>
      <c r="AH541">
        <f t="shared" si="190"/>
        <v>312.14125857258614</v>
      </c>
      <c r="AI541">
        <f t="shared" si="191"/>
        <v>8.6910488912844026E-35</v>
      </c>
      <c r="AL541">
        <f t="shared" si="178"/>
        <v>0.96600668416882185</v>
      </c>
      <c r="AM541">
        <f t="shared" si="194"/>
        <v>0.84231741839410956</v>
      </c>
      <c r="AO541">
        <v>539</v>
      </c>
      <c r="AP541">
        <v>0.96108733634665999</v>
      </c>
      <c r="AQ541">
        <v>0.82499323504945898</v>
      </c>
    </row>
    <row r="542" spans="14:43" x14ac:dyDescent="0.35">
      <c r="N542">
        <f t="shared" si="174"/>
        <v>540</v>
      </c>
      <c r="O542" s="6">
        <f t="shared" si="175"/>
        <v>260739.93992918773</v>
      </c>
      <c r="P542">
        <f t="shared" si="179"/>
        <v>13.036996996459388</v>
      </c>
      <c r="Q542">
        <f t="shared" si="180"/>
        <v>0</v>
      </c>
      <c r="R542" s="6">
        <f t="shared" si="192"/>
        <v>68.414184630163575</v>
      </c>
      <c r="S542">
        <f t="shared" si="181"/>
        <v>0.41048510778098146</v>
      </c>
      <c r="T542">
        <f t="shared" si="182"/>
        <v>0</v>
      </c>
      <c r="U542" s="6">
        <f t="shared" si="193"/>
        <v>2.7702718340968966E-36</v>
      </c>
      <c r="V542">
        <f t="shared" si="183"/>
        <v>4.1554077511453448E-37</v>
      </c>
      <c r="W542">
        <f t="shared" si="184"/>
        <v>0</v>
      </c>
      <c r="X542">
        <f t="shared" si="176"/>
        <v>260808.35411381788</v>
      </c>
      <c r="Y542" s="6">
        <f t="shared" si="185"/>
        <v>28971.104436576356</v>
      </c>
      <c r="Z542" s="6">
        <f t="shared" si="186"/>
        <v>7.6015760700181678</v>
      </c>
      <c r="AA542" s="6">
        <f t="shared" si="187"/>
        <v>3.0780798156632218E-37</v>
      </c>
      <c r="AB542">
        <f t="shared" si="188"/>
        <v>0</v>
      </c>
      <c r="AD542" s="6">
        <f t="shared" si="177"/>
        <v>109493.8865851342</v>
      </c>
      <c r="AG542">
        <f t="shared" si="189"/>
        <v>80204.912161466666</v>
      </c>
      <c r="AH542">
        <f t="shared" si="190"/>
        <v>310.2684110211506</v>
      </c>
      <c r="AI542">
        <f t="shared" si="191"/>
        <v>7.3873915575917421E-35</v>
      </c>
      <c r="AL542">
        <f t="shared" si="178"/>
        <v>0.96595686708821438</v>
      </c>
      <c r="AM542">
        <f t="shared" si="194"/>
        <v>0.84226066603949379</v>
      </c>
      <c r="AO542">
        <v>540</v>
      </c>
      <c r="AP542">
        <v>0.96101049987138298</v>
      </c>
      <c r="AQ542">
        <v>0.82494312430471295</v>
      </c>
    </row>
    <row r="543" spans="14:43" x14ac:dyDescent="0.35">
      <c r="N543">
        <f t="shared" si="174"/>
        <v>541</v>
      </c>
      <c r="O543" s="6">
        <f t="shared" si="175"/>
        <v>260726.90293219127</v>
      </c>
      <c r="P543">
        <f t="shared" si="179"/>
        <v>13.036345146609564</v>
      </c>
      <c r="Q543">
        <f t="shared" si="180"/>
        <v>0</v>
      </c>
      <c r="R543" s="6">
        <f t="shared" si="192"/>
        <v>68.00369952238259</v>
      </c>
      <c r="S543">
        <f t="shared" si="181"/>
        <v>0.40802219713429555</v>
      </c>
      <c r="T543">
        <f t="shared" si="182"/>
        <v>0</v>
      </c>
      <c r="U543" s="6">
        <f t="shared" si="193"/>
        <v>2.3547310589823622E-36</v>
      </c>
      <c r="V543">
        <f t="shared" si="183"/>
        <v>3.5320965884735432E-37</v>
      </c>
      <c r="W543">
        <f t="shared" si="184"/>
        <v>0</v>
      </c>
      <c r="X543">
        <f t="shared" si="176"/>
        <v>260794.90663171365</v>
      </c>
      <c r="Y543" s="6">
        <f t="shared" si="185"/>
        <v>28969.655881354527</v>
      </c>
      <c r="Z543" s="6">
        <f t="shared" si="186"/>
        <v>7.5559666135980592</v>
      </c>
      <c r="AA543" s="6">
        <f t="shared" si="187"/>
        <v>2.6163678433137386E-37</v>
      </c>
      <c r="AB543">
        <f t="shared" si="188"/>
        <v>0</v>
      </c>
      <c r="AD543" s="6">
        <f t="shared" si="177"/>
        <v>109486.52056438173</v>
      </c>
      <c r="AG543">
        <f t="shared" si="189"/>
        <v>80200.901915858587</v>
      </c>
      <c r="AH543">
        <f t="shared" si="190"/>
        <v>308.40680055502372</v>
      </c>
      <c r="AI543">
        <f t="shared" si="191"/>
        <v>6.2792828239529805E-35</v>
      </c>
      <c r="AL543">
        <f t="shared" si="178"/>
        <v>0.96590706159893946</v>
      </c>
      <c r="AM543">
        <f t="shared" si="194"/>
        <v>0.84220400434139797</v>
      </c>
      <c r="AO543">
        <v>541</v>
      </c>
      <c r="AP543">
        <v>0.96094702626137096</v>
      </c>
      <c r="AQ543">
        <v>0.82482285851732295</v>
      </c>
    </row>
    <row r="544" spans="14:43" x14ac:dyDescent="0.35">
      <c r="N544">
        <f t="shared" si="174"/>
        <v>542</v>
      </c>
      <c r="O544" s="6">
        <f t="shared" si="175"/>
        <v>260713.86658704467</v>
      </c>
      <c r="P544">
        <f t="shared" si="179"/>
        <v>13.035693329352235</v>
      </c>
      <c r="Q544">
        <f t="shared" si="180"/>
        <v>0</v>
      </c>
      <c r="R544" s="6">
        <f t="shared" si="192"/>
        <v>67.595677325248289</v>
      </c>
      <c r="S544">
        <f t="shared" si="181"/>
        <v>0.40557406395148976</v>
      </c>
      <c r="T544">
        <f t="shared" si="182"/>
        <v>0</v>
      </c>
      <c r="U544" s="6">
        <f t="shared" si="193"/>
        <v>2.0015214001350079E-36</v>
      </c>
      <c r="V544">
        <f t="shared" si="183"/>
        <v>3.0022821002025115E-37</v>
      </c>
      <c r="W544">
        <f t="shared" si="184"/>
        <v>0</v>
      </c>
      <c r="X544">
        <f t="shared" si="176"/>
        <v>260781.46226436991</v>
      </c>
      <c r="Y544" s="6">
        <f t="shared" si="185"/>
        <v>28968.207398560458</v>
      </c>
      <c r="Z544" s="6">
        <f t="shared" si="186"/>
        <v>7.510630813916471</v>
      </c>
      <c r="AA544" s="6">
        <f t="shared" si="187"/>
        <v>2.2239126668166779E-37</v>
      </c>
      <c r="AB544">
        <f t="shared" si="188"/>
        <v>0</v>
      </c>
      <c r="AD544" s="6">
        <f t="shared" si="177"/>
        <v>109479.16625988885</v>
      </c>
      <c r="AG544">
        <f t="shared" si="189"/>
        <v>80196.891870762789</v>
      </c>
      <c r="AH544">
        <f t="shared" si="190"/>
        <v>306.55635975169361</v>
      </c>
      <c r="AI544">
        <f t="shared" si="191"/>
        <v>5.3373904003600338E-35</v>
      </c>
      <c r="AL544">
        <f t="shared" si="178"/>
        <v>0.96585726764581448</v>
      </c>
      <c r="AM544">
        <f t="shared" si="194"/>
        <v>0.84214743276837578</v>
      </c>
      <c r="AO544">
        <v>542</v>
      </c>
      <c r="AP544">
        <v>0.96088021193504203</v>
      </c>
      <c r="AQ544">
        <v>0.82474268132573003</v>
      </c>
    </row>
    <row r="545" spans="14:43" x14ac:dyDescent="0.35">
      <c r="N545">
        <f t="shared" si="174"/>
        <v>543</v>
      </c>
      <c r="O545" s="6">
        <f t="shared" si="175"/>
        <v>260700.83089371532</v>
      </c>
      <c r="P545">
        <f t="shared" si="179"/>
        <v>13.035041544685766</v>
      </c>
      <c r="Q545">
        <f t="shared" si="180"/>
        <v>0</v>
      </c>
      <c r="R545" s="6">
        <f t="shared" si="192"/>
        <v>67.190103261296798</v>
      </c>
      <c r="S545">
        <f t="shared" si="181"/>
        <v>0.4031406195677808</v>
      </c>
      <c r="T545">
        <f t="shared" si="182"/>
        <v>0</v>
      </c>
      <c r="U545" s="6">
        <f t="shared" si="193"/>
        <v>1.7012931901147566E-36</v>
      </c>
      <c r="V545">
        <f t="shared" si="183"/>
        <v>2.5519397851721349E-37</v>
      </c>
      <c r="W545">
        <f t="shared" si="184"/>
        <v>0</v>
      </c>
      <c r="X545">
        <f t="shared" si="176"/>
        <v>260768.02099697661</v>
      </c>
      <c r="Y545" s="6">
        <f t="shared" si="185"/>
        <v>28966.75898819053</v>
      </c>
      <c r="Z545" s="6">
        <f t="shared" si="186"/>
        <v>7.4655670290329725</v>
      </c>
      <c r="AA545" s="6">
        <f t="shared" si="187"/>
        <v>1.8903257667941763E-37</v>
      </c>
      <c r="AB545">
        <f t="shared" si="188"/>
        <v>0</v>
      </c>
      <c r="AD545" s="6">
        <f t="shared" si="177"/>
        <v>109471.823602982</v>
      </c>
      <c r="AG545">
        <f t="shared" si="189"/>
        <v>80192.882026169245</v>
      </c>
      <c r="AH545">
        <f t="shared" si="190"/>
        <v>304.71702159318346</v>
      </c>
      <c r="AI545">
        <f t="shared" si="191"/>
        <v>4.5367818403060288E-35</v>
      </c>
      <c r="AL545">
        <f t="shared" si="178"/>
        <v>0.96580748517398751</v>
      </c>
      <c r="AM545">
        <f t="shared" si="194"/>
        <v>0.84209095079216922</v>
      </c>
      <c r="AO545">
        <v>543</v>
      </c>
      <c r="AP545">
        <v>0.96082676047398197</v>
      </c>
      <c r="AQ545">
        <v>0.82464245983623796</v>
      </c>
    </row>
    <row r="546" spans="14:43" x14ac:dyDescent="0.35">
      <c r="N546">
        <f t="shared" si="174"/>
        <v>544</v>
      </c>
      <c r="O546" s="6">
        <f t="shared" si="175"/>
        <v>260687.79585217065</v>
      </c>
      <c r="P546">
        <f t="shared" si="179"/>
        <v>13.034389792608533</v>
      </c>
      <c r="Q546">
        <f t="shared" si="180"/>
        <v>0</v>
      </c>
      <c r="R546" s="6">
        <f t="shared" si="192"/>
        <v>66.786962641729019</v>
      </c>
      <c r="S546">
        <f t="shared" si="181"/>
        <v>0.40072177585037411</v>
      </c>
      <c r="T546">
        <f t="shared" si="182"/>
        <v>0</v>
      </c>
      <c r="U546" s="6">
        <f t="shared" si="193"/>
        <v>1.4460992115975431E-36</v>
      </c>
      <c r="V546">
        <f t="shared" si="183"/>
        <v>2.1691488173963144E-37</v>
      </c>
      <c r="W546">
        <f t="shared" si="184"/>
        <v>0</v>
      </c>
      <c r="X546">
        <f t="shared" si="176"/>
        <v>260754.58281481237</v>
      </c>
      <c r="Y546" s="6">
        <f t="shared" si="185"/>
        <v>28965.310650241121</v>
      </c>
      <c r="Z546" s="6">
        <f t="shared" si="186"/>
        <v>7.4207736268587743</v>
      </c>
      <c r="AA546" s="6">
        <f t="shared" si="187"/>
        <v>1.6067769017750498E-37</v>
      </c>
      <c r="AB546">
        <f t="shared" si="188"/>
        <v>0</v>
      </c>
      <c r="AD546" s="6">
        <f t="shared" si="177"/>
        <v>109464.49252539953</v>
      </c>
      <c r="AG546">
        <f t="shared" si="189"/>
        <v>80188.87238206793</v>
      </c>
      <c r="AH546">
        <f t="shared" si="190"/>
        <v>302.88871946362434</v>
      </c>
      <c r="AI546">
        <f t="shared" si="191"/>
        <v>3.8562645642601243E-35</v>
      </c>
      <c r="AL546">
        <f t="shared" si="178"/>
        <v>0.96575771412893474</v>
      </c>
      <c r="AM546">
        <f t="shared" si="194"/>
        <v>0.84203455788768866</v>
      </c>
      <c r="AO546">
        <v>544</v>
      </c>
      <c r="AP546">
        <v>0.96074658328238804</v>
      </c>
      <c r="AQ546">
        <v>0.82456228264464404</v>
      </c>
    </row>
    <row r="547" spans="14:43" x14ac:dyDescent="0.35">
      <c r="N547">
        <f t="shared" si="174"/>
        <v>545</v>
      </c>
      <c r="O547" s="6">
        <f t="shared" si="175"/>
        <v>260674.76146237802</v>
      </c>
      <c r="P547">
        <f t="shared" si="179"/>
        <v>13.033738073118903</v>
      </c>
      <c r="Q547">
        <f t="shared" si="180"/>
        <v>0</v>
      </c>
      <c r="R547" s="6">
        <f t="shared" si="192"/>
        <v>66.386240865878648</v>
      </c>
      <c r="S547">
        <f t="shared" si="181"/>
        <v>0.3983174451952719</v>
      </c>
      <c r="T547">
        <f t="shared" si="182"/>
        <v>0</v>
      </c>
      <c r="U547" s="6">
        <f t="shared" si="193"/>
        <v>1.2291843298579117E-36</v>
      </c>
      <c r="V547">
        <f t="shared" si="183"/>
        <v>1.8437764947868674E-37</v>
      </c>
      <c r="W547">
        <f t="shared" si="184"/>
        <v>0</v>
      </c>
      <c r="X547">
        <f t="shared" si="176"/>
        <v>260741.14770324391</v>
      </c>
      <c r="Y547" s="6">
        <f t="shared" si="185"/>
        <v>28963.862384708609</v>
      </c>
      <c r="Z547" s="6">
        <f t="shared" si="186"/>
        <v>7.3762489850976216</v>
      </c>
      <c r="AA547" s="6">
        <f t="shared" si="187"/>
        <v>1.3657603665087924E-37</v>
      </c>
      <c r="AB547">
        <f t="shared" si="188"/>
        <v>0</v>
      </c>
      <c r="AD547" s="6">
        <f t="shared" si="177"/>
        <v>109457.17295928938</v>
      </c>
      <c r="AG547">
        <f t="shared" si="189"/>
        <v>80184.86293844883</v>
      </c>
      <c r="AH547">
        <f t="shared" si="190"/>
        <v>301.0713871468426</v>
      </c>
      <c r="AI547">
        <f t="shared" si="191"/>
        <v>3.2778248796211056E-35</v>
      </c>
      <c r="AL547">
        <f t="shared" si="178"/>
        <v>0.96570795445645896</v>
      </c>
      <c r="AM547">
        <f t="shared" si="194"/>
        <v>0.84197825353299527</v>
      </c>
      <c r="AO547">
        <v>545</v>
      </c>
      <c r="AP547">
        <v>0.96067642823974397</v>
      </c>
      <c r="AQ547">
        <v>0.82445203900620301</v>
      </c>
    </row>
    <row r="548" spans="14:43" x14ac:dyDescent="0.35">
      <c r="N548">
        <f t="shared" si="174"/>
        <v>546</v>
      </c>
      <c r="O548" s="6">
        <f t="shared" si="175"/>
        <v>260661.72772430492</v>
      </c>
      <c r="P548">
        <f t="shared" si="179"/>
        <v>13.033086386215247</v>
      </c>
      <c r="Q548">
        <f t="shared" si="180"/>
        <v>0</v>
      </c>
      <c r="R548" s="6">
        <f t="shared" si="192"/>
        <v>65.987923420683373</v>
      </c>
      <c r="S548">
        <f t="shared" si="181"/>
        <v>0.39592754052410023</v>
      </c>
      <c r="T548">
        <f t="shared" si="182"/>
        <v>0</v>
      </c>
      <c r="U548" s="6">
        <f t="shared" si="193"/>
        <v>1.044806680379225E-36</v>
      </c>
      <c r="V548">
        <f t="shared" si="183"/>
        <v>1.5672100205688374E-37</v>
      </c>
      <c r="W548">
        <f t="shared" si="184"/>
        <v>0</v>
      </c>
      <c r="X548">
        <f t="shared" si="176"/>
        <v>260727.71564772559</v>
      </c>
      <c r="Y548" s="6">
        <f t="shared" si="185"/>
        <v>28962.414191589374</v>
      </c>
      <c r="Z548" s="6">
        <f t="shared" si="186"/>
        <v>7.3319914911870363</v>
      </c>
      <c r="AA548" s="6">
        <f t="shared" si="187"/>
        <v>1.1608963115324735E-37</v>
      </c>
      <c r="AB548">
        <f t="shared" si="188"/>
        <v>0</v>
      </c>
      <c r="AD548" s="6">
        <f t="shared" si="177"/>
        <v>109449.86483720642</v>
      </c>
      <c r="AG548">
        <f t="shared" si="189"/>
        <v>80180.853695301907</v>
      </c>
      <c r="AH548">
        <f t="shared" si="190"/>
        <v>299.26495882396154</v>
      </c>
      <c r="AI548">
        <f t="shared" si="191"/>
        <v>2.78615114767794E-35</v>
      </c>
      <c r="AL548">
        <f t="shared" si="178"/>
        <v>0.96565820610268738</v>
      </c>
      <c r="AM548">
        <f t="shared" si="194"/>
        <v>0.84192203720928016</v>
      </c>
      <c r="AO548">
        <v>546</v>
      </c>
      <c r="AP548">
        <v>0.960589569615516</v>
      </c>
      <c r="AQ548">
        <v>0.82435181751671205</v>
      </c>
    </row>
    <row r="549" spans="14:43" x14ac:dyDescent="0.35">
      <c r="N549">
        <f t="shared" ref="N549:N612" si="195">N548+1</f>
        <v>547</v>
      </c>
      <c r="O549" s="6">
        <f t="shared" si="175"/>
        <v>260648.6946379187</v>
      </c>
      <c r="P549">
        <f t="shared" si="179"/>
        <v>13.032434731895936</v>
      </c>
      <c r="Q549">
        <f t="shared" si="180"/>
        <v>0</v>
      </c>
      <c r="R549" s="6">
        <f t="shared" si="192"/>
        <v>65.591995880159274</v>
      </c>
      <c r="S549">
        <f t="shared" si="181"/>
        <v>0.39355197528095565</v>
      </c>
      <c r="T549">
        <f t="shared" si="182"/>
        <v>0</v>
      </c>
      <c r="U549" s="6">
        <f t="shared" si="193"/>
        <v>8.8808567832234125E-37</v>
      </c>
      <c r="V549">
        <f t="shared" si="183"/>
        <v>1.3321285174835119E-37</v>
      </c>
      <c r="W549">
        <f t="shared" si="184"/>
        <v>0</v>
      </c>
      <c r="X549">
        <f t="shared" si="176"/>
        <v>260714.28663379885</v>
      </c>
      <c r="Y549" s="6">
        <f t="shared" si="185"/>
        <v>28960.966070879796</v>
      </c>
      <c r="Z549" s="6">
        <f t="shared" si="186"/>
        <v>7.2879995422399144</v>
      </c>
      <c r="AA549" s="6">
        <f t="shared" si="187"/>
        <v>9.8676186480260241E-38</v>
      </c>
      <c r="AB549">
        <f t="shared" si="188"/>
        <v>0</v>
      </c>
      <c r="AD549" s="6">
        <f t="shared" si="177"/>
        <v>109442.56809211019</v>
      </c>
      <c r="AG549">
        <f t="shared" si="189"/>
        <v>80176.844652617146</v>
      </c>
      <c r="AH549">
        <f t="shared" si="190"/>
        <v>297.46936907101775</v>
      </c>
      <c r="AI549">
        <f t="shared" si="191"/>
        <v>2.3682284755262491E-35</v>
      </c>
      <c r="AL549">
        <f t="shared" si="178"/>
        <v>0.96560846901406983</v>
      </c>
      <c r="AM549">
        <f t="shared" si="194"/>
        <v>0.84186590840084763</v>
      </c>
      <c r="AO549">
        <v>547</v>
      </c>
      <c r="AP549">
        <v>0.96050939242392297</v>
      </c>
      <c r="AQ549">
        <v>0.82430170677196601</v>
      </c>
    </row>
    <row r="550" spans="14:43" x14ac:dyDescent="0.35">
      <c r="N550">
        <f t="shared" si="195"/>
        <v>548</v>
      </c>
      <c r="O550" s="6">
        <f t="shared" si="175"/>
        <v>260635.6622031868</v>
      </c>
      <c r="P550">
        <f t="shared" si="179"/>
        <v>13.03178311015934</v>
      </c>
      <c r="Q550">
        <f t="shared" si="180"/>
        <v>0</v>
      </c>
      <c r="R550" s="6">
        <f t="shared" si="192"/>
        <v>65.198443904878317</v>
      </c>
      <c r="S550">
        <f t="shared" si="181"/>
        <v>0.39119066342926989</v>
      </c>
      <c r="T550">
        <f t="shared" si="182"/>
        <v>0</v>
      </c>
      <c r="U550" s="6">
        <f t="shared" si="193"/>
        <v>7.5487282657399004E-37</v>
      </c>
      <c r="V550">
        <f t="shared" si="183"/>
        <v>1.1323092398609851E-37</v>
      </c>
      <c r="W550">
        <f t="shared" si="184"/>
        <v>0</v>
      </c>
      <c r="X550">
        <f t="shared" si="176"/>
        <v>260700.86064709167</v>
      </c>
      <c r="Y550" s="6">
        <f t="shared" si="185"/>
        <v>28959.518022576252</v>
      </c>
      <c r="Z550" s="6">
        <f t="shared" si="186"/>
        <v>7.244271544986475</v>
      </c>
      <c r="AA550" s="6">
        <f t="shared" si="187"/>
        <v>8.3874758508221207E-38</v>
      </c>
      <c r="AB550">
        <f t="shared" si="188"/>
        <v>0</v>
      </c>
      <c r="AD550" s="6">
        <f t="shared" si="177"/>
        <v>109435.28265736233</v>
      </c>
      <c r="AG550">
        <f t="shared" si="189"/>
        <v>80172.835810384509</v>
      </c>
      <c r="AH550">
        <f t="shared" si="190"/>
        <v>295.68455285659167</v>
      </c>
      <c r="AI550">
        <f t="shared" si="191"/>
        <v>2.0129942041973118E-35</v>
      </c>
      <c r="AL550">
        <f t="shared" si="178"/>
        <v>0.96555874313737655</v>
      </c>
      <c r="AM550">
        <f t="shared" si="194"/>
        <v>0.84180986659509482</v>
      </c>
      <c r="AO550">
        <v>548</v>
      </c>
      <c r="AP550">
        <v>0.96041919308337997</v>
      </c>
      <c r="AQ550">
        <v>0.82421150743142302</v>
      </c>
    </row>
    <row r="551" spans="14:43" x14ac:dyDescent="0.35">
      <c r="N551">
        <f t="shared" si="195"/>
        <v>549</v>
      </c>
      <c r="O551" s="6">
        <f t="shared" si="175"/>
        <v>260622.63042007663</v>
      </c>
      <c r="P551">
        <f t="shared" si="179"/>
        <v>13.031131521003832</v>
      </c>
      <c r="Q551">
        <f t="shared" si="180"/>
        <v>0</v>
      </c>
      <c r="R551" s="6">
        <f t="shared" si="192"/>
        <v>64.807253241449047</v>
      </c>
      <c r="S551">
        <f t="shared" si="181"/>
        <v>0.38884351944869427</v>
      </c>
      <c r="T551">
        <f t="shared" si="182"/>
        <v>0</v>
      </c>
      <c r="U551" s="6">
        <f t="shared" si="193"/>
        <v>6.4164190258789155E-37</v>
      </c>
      <c r="V551">
        <f t="shared" si="183"/>
        <v>9.6246285388183724E-38</v>
      </c>
      <c r="W551">
        <f t="shared" si="184"/>
        <v>0</v>
      </c>
      <c r="X551">
        <f t="shared" si="176"/>
        <v>260687.43767331808</v>
      </c>
      <c r="Y551" s="6">
        <f t="shared" si="185"/>
        <v>28958.070046675122</v>
      </c>
      <c r="Z551" s="6">
        <f t="shared" si="186"/>
        <v>7.2008059157165558</v>
      </c>
      <c r="AA551" s="6">
        <f t="shared" si="187"/>
        <v>7.1293544731988026E-38</v>
      </c>
      <c r="AB551">
        <f t="shared" si="188"/>
        <v>0</v>
      </c>
      <c r="AD551" s="6">
        <f t="shared" si="177"/>
        <v>109428.00846672428</v>
      </c>
      <c r="AG551">
        <f t="shared" si="189"/>
        <v>80168.827168593984</v>
      </c>
      <c r="AH551">
        <f t="shared" si="190"/>
        <v>293.9104455394521</v>
      </c>
      <c r="AI551">
        <f t="shared" si="191"/>
        <v>1.7110450735677149E-35</v>
      </c>
      <c r="AL551">
        <f t="shared" si="178"/>
        <v>0.96550902841969666</v>
      </c>
      <c r="AM551">
        <f t="shared" si="194"/>
        <v>0.84175391128249444</v>
      </c>
      <c r="AO551">
        <v>549</v>
      </c>
      <c r="AP551">
        <v>0.96036574162231803</v>
      </c>
      <c r="AQ551">
        <v>0.82412130809088002</v>
      </c>
    </row>
    <row r="552" spans="14:43" x14ac:dyDescent="0.35">
      <c r="N552">
        <f t="shared" si="195"/>
        <v>550</v>
      </c>
      <c r="O552" s="6">
        <f t="shared" si="175"/>
        <v>260609.59928855562</v>
      </c>
      <c r="P552">
        <f t="shared" si="179"/>
        <v>13.030479964427782</v>
      </c>
      <c r="Q552">
        <f t="shared" si="180"/>
        <v>0</v>
      </c>
      <c r="R552" s="6">
        <f t="shared" si="192"/>
        <v>64.418409722000348</v>
      </c>
      <c r="S552">
        <f t="shared" si="181"/>
        <v>0.38651045833200209</v>
      </c>
      <c r="T552">
        <f t="shared" si="182"/>
        <v>0</v>
      </c>
      <c r="U552" s="6">
        <f t="shared" si="193"/>
        <v>5.453956171997078E-37</v>
      </c>
      <c r="V552">
        <f t="shared" si="183"/>
        <v>8.1809342579956169E-38</v>
      </c>
      <c r="W552">
        <f t="shared" si="184"/>
        <v>0</v>
      </c>
      <c r="X552">
        <f t="shared" si="176"/>
        <v>260674.01769827763</v>
      </c>
      <c r="Y552" s="6">
        <f t="shared" si="185"/>
        <v>28956.62214317279</v>
      </c>
      <c r="Z552" s="6">
        <f t="shared" si="186"/>
        <v>7.1576010802222561</v>
      </c>
      <c r="AA552" s="6">
        <f t="shared" si="187"/>
        <v>6.0599513022189826E-38</v>
      </c>
      <c r="AB552">
        <f t="shared" si="188"/>
        <v>0</v>
      </c>
      <c r="AD552" s="6">
        <f t="shared" si="177"/>
        <v>109420.74545435478</v>
      </c>
      <c r="AG552">
        <f t="shared" si="189"/>
        <v>80164.818727235557</v>
      </c>
      <c r="AH552">
        <f t="shared" si="190"/>
        <v>292.14698286621541</v>
      </c>
      <c r="AI552">
        <f t="shared" si="191"/>
        <v>1.4543883125325578E-35</v>
      </c>
      <c r="AL552">
        <f t="shared" si="178"/>
        <v>0.96545932480843566</v>
      </c>
      <c r="AM552">
        <f t="shared" si="194"/>
        <v>0.84169804195657527</v>
      </c>
      <c r="AO552">
        <v>550</v>
      </c>
      <c r="AP552">
        <v>0.96028556443072499</v>
      </c>
      <c r="AQ552">
        <v>0.82403110875033703</v>
      </c>
    </row>
    <row r="553" spans="14:43" x14ac:dyDescent="0.35">
      <c r="N553">
        <f t="shared" si="195"/>
        <v>551</v>
      </c>
      <c r="O553" s="6">
        <f t="shared" si="175"/>
        <v>260596.5688085912</v>
      </c>
      <c r="P553">
        <f t="shared" si="179"/>
        <v>13.02982844042956</v>
      </c>
      <c r="Q553">
        <f t="shared" si="180"/>
        <v>0</v>
      </c>
      <c r="R553" s="6">
        <f t="shared" si="192"/>
        <v>64.03189926366835</v>
      </c>
      <c r="S553">
        <f t="shared" si="181"/>
        <v>0.3841913955820101</v>
      </c>
      <c r="T553">
        <f t="shared" si="182"/>
        <v>0</v>
      </c>
      <c r="U553" s="6">
        <f t="shared" si="193"/>
        <v>4.6358627461975165E-37</v>
      </c>
      <c r="V553">
        <f t="shared" si="183"/>
        <v>6.9537941192962741E-38</v>
      </c>
      <c r="W553">
        <f t="shared" si="184"/>
        <v>0</v>
      </c>
      <c r="X553">
        <f t="shared" si="176"/>
        <v>260660.60070785487</v>
      </c>
      <c r="Y553" s="6">
        <f t="shared" si="185"/>
        <v>28955.174312065632</v>
      </c>
      <c r="Z553" s="6">
        <f t="shared" si="186"/>
        <v>7.1146554737409229</v>
      </c>
      <c r="AA553" s="6">
        <f t="shared" si="187"/>
        <v>5.150958606886135E-38</v>
      </c>
      <c r="AB553">
        <f t="shared" si="188"/>
        <v>0</v>
      </c>
      <c r="AD553" s="6">
        <f t="shared" si="177"/>
        <v>109413.49355480759</v>
      </c>
      <c r="AG553">
        <f t="shared" si="189"/>
        <v>80160.81048629919</v>
      </c>
      <c r="AH553">
        <f t="shared" si="190"/>
        <v>290.3941009690181</v>
      </c>
      <c r="AI553">
        <f t="shared" si="191"/>
        <v>1.236230065652674E-35</v>
      </c>
      <c r="AL553">
        <f t="shared" si="178"/>
        <v>0.96540963225131438</v>
      </c>
      <c r="AM553">
        <f t="shared" si="194"/>
        <v>0.84164225811390447</v>
      </c>
      <c r="AO553">
        <v>551</v>
      </c>
      <c r="AP553">
        <v>0.96021206867176601</v>
      </c>
      <c r="AQ553">
        <v>0.82400104230349103</v>
      </c>
    </row>
    <row r="554" spans="14:43" x14ac:dyDescent="0.35">
      <c r="N554">
        <f t="shared" si="195"/>
        <v>552</v>
      </c>
      <c r="O554" s="6">
        <f t="shared" si="175"/>
        <v>260583.53898015077</v>
      </c>
      <c r="P554">
        <f t="shared" si="179"/>
        <v>13.029176949007539</v>
      </c>
      <c r="Q554">
        <f t="shared" si="180"/>
        <v>0</v>
      </c>
      <c r="R554" s="6">
        <f t="shared" si="192"/>
        <v>63.647707868086343</v>
      </c>
      <c r="S554">
        <f t="shared" si="181"/>
        <v>0.38188624720851805</v>
      </c>
      <c r="T554">
        <f t="shared" si="182"/>
        <v>0</v>
      </c>
      <c r="U554" s="6">
        <f t="shared" si="193"/>
        <v>3.9404833342678887E-37</v>
      </c>
      <c r="V554">
        <f t="shared" si="183"/>
        <v>5.9107250014018329E-38</v>
      </c>
      <c r="W554">
        <f t="shared" si="184"/>
        <v>0</v>
      </c>
      <c r="X554">
        <f t="shared" si="176"/>
        <v>260647.18668801885</v>
      </c>
      <c r="Y554" s="6">
        <f t="shared" si="185"/>
        <v>28953.726553350029</v>
      </c>
      <c r="Z554" s="6">
        <f t="shared" si="186"/>
        <v>7.071967540898477</v>
      </c>
      <c r="AA554" s="6">
        <f t="shared" si="187"/>
        <v>4.3783148158532149E-38</v>
      </c>
      <c r="AB554">
        <f t="shared" si="188"/>
        <v>0</v>
      </c>
      <c r="AD554" s="6">
        <f t="shared" si="177"/>
        <v>109406.25270302899</v>
      </c>
      <c r="AG554">
        <f t="shared" si="189"/>
        <v>80156.802445774869</v>
      </c>
      <c r="AH554">
        <f t="shared" si="190"/>
        <v>288.65173636320401</v>
      </c>
      <c r="AI554">
        <f t="shared" si="191"/>
        <v>1.0507955558047729E-35</v>
      </c>
      <c r="AL554">
        <f t="shared" si="178"/>
        <v>0.96535995069636604</v>
      </c>
      <c r="AM554">
        <f t="shared" si="194"/>
        <v>0.84158655925406922</v>
      </c>
      <c r="AO554">
        <v>552</v>
      </c>
      <c r="AP554">
        <v>0.96012855076385595</v>
      </c>
      <c r="AQ554">
        <v>0.82388077651610003</v>
      </c>
    </row>
    <row r="555" spans="14:43" x14ac:dyDescent="0.35">
      <c r="N555">
        <f t="shared" si="195"/>
        <v>553</v>
      </c>
      <c r="O555" s="6">
        <f t="shared" si="175"/>
        <v>260570.50980320177</v>
      </c>
      <c r="P555">
        <f t="shared" si="179"/>
        <v>13.028525490160089</v>
      </c>
      <c r="Q555">
        <f t="shared" si="180"/>
        <v>0</v>
      </c>
      <c r="R555" s="6">
        <f t="shared" si="192"/>
        <v>63.265821620877823</v>
      </c>
      <c r="S555">
        <f t="shared" si="181"/>
        <v>0.37959492972526693</v>
      </c>
      <c r="T555">
        <f t="shared" si="182"/>
        <v>0</v>
      </c>
      <c r="U555" s="6">
        <f t="shared" si="193"/>
        <v>3.3494108341277056E-37</v>
      </c>
      <c r="V555">
        <f t="shared" si="183"/>
        <v>5.0241162511915581E-38</v>
      </c>
      <c r="W555">
        <f t="shared" si="184"/>
        <v>0</v>
      </c>
      <c r="X555">
        <f t="shared" si="176"/>
        <v>260633.77562482265</v>
      </c>
      <c r="Y555" s="6">
        <f t="shared" si="185"/>
        <v>28952.27886702236</v>
      </c>
      <c r="Z555" s="6">
        <f t="shared" si="186"/>
        <v>7.0295357356530861</v>
      </c>
      <c r="AA555" s="6">
        <f t="shared" si="187"/>
        <v>3.7215675934752327E-38</v>
      </c>
      <c r="AB555">
        <f t="shared" si="188"/>
        <v>0</v>
      </c>
      <c r="AD555" s="6">
        <f t="shared" si="177"/>
        <v>109399.02283435562</v>
      </c>
      <c r="AG555">
        <f t="shared" si="189"/>
        <v>80152.794605652583</v>
      </c>
      <c r="AH555">
        <f t="shared" si="190"/>
        <v>286.9198259450248</v>
      </c>
      <c r="AI555">
        <f t="shared" si="191"/>
        <v>8.9317622243405702E-36</v>
      </c>
      <c r="AL555">
        <f t="shared" si="178"/>
        <v>0.96531028009193576</v>
      </c>
      <c r="AM555">
        <f t="shared" si="194"/>
        <v>0.84153094487965863</v>
      </c>
      <c r="AO555">
        <v>553</v>
      </c>
      <c r="AP555">
        <v>0.960045032855946</v>
      </c>
      <c r="AQ555">
        <v>0.823770532877659</v>
      </c>
    </row>
    <row r="556" spans="14:43" x14ac:dyDescent="0.35">
      <c r="N556">
        <f t="shared" si="195"/>
        <v>554</v>
      </c>
      <c r="O556" s="6">
        <f t="shared" si="175"/>
        <v>260557.4812777116</v>
      </c>
      <c r="P556">
        <f t="shared" si="179"/>
        <v>13.02787406388558</v>
      </c>
      <c r="Q556">
        <f t="shared" si="180"/>
        <v>0</v>
      </c>
      <c r="R556" s="6">
        <f t="shared" si="192"/>
        <v>62.886226691152558</v>
      </c>
      <c r="S556">
        <f t="shared" si="181"/>
        <v>0.37731736014691536</v>
      </c>
      <c r="T556">
        <f t="shared" si="182"/>
        <v>0</v>
      </c>
      <c r="U556" s="6">
        <f t="shared" si="193"/>
        <v>2.84699920900855E-37</v>
      </c>
      <c r="V556">
        <f t="shared" si="183"/>
        <v>4.2704988135128246E-38</v>
      </c>
      <c r="W556">
        <f t="shared" si="184"/>
        <v>0</v>
      </c>
      <c r="X556">
        <f t="shared" si="176"/>
        <v>260620.36750440276</v>
      </c>
      <c r="Y556" s="6">
        <f t="shared" si="185"/>
        <v>28950.83125307901</v>
      </c>
      <c r="Z556" s="6">
        <f t="shared" si="186"/>
        <v>6.9873585212391678</v>
      </c>
      <c r="AA556" s="6">
        <f t="shared" si="187"/>
        <v>3.1633324544539478E-38</v>
      </c>
      <c r="AB556">
        <f t="shared" si="188"/>
        <v>0</v>
      </c>
      <c r="AD556" s="6">
        <f t="shared" si="177"/>
        <v>109391.80388451192</v>
      </c>
      <c r="AG556">
        <f t="shared" si="189"/>
        <v>80148.786965922307</v>
      </c>
      <c r="AH556">
        <f t="shared" si="190"/>
        <v>285.19830698935465</v>
      </c>
      <c r="AI556">
        <f t="shared" si="191"/>
        <v>7.5919978906894848E-36</v>
      </c>
      <c r="AL556">
        <f t="shared" si="178"/>
        <v>0.96526062038667693</v>
      </c>
      <c r="AM556">
        <f t="shared" si="194"/>
        <v>0.84147541449624552</v>
      </c>
      <c r="AO556">
        <v>554</v>
      </c>
      <c r="AP556">
        <v>0.95995483351540301</v>
      </c>
      <c r="AQ556">
        <v>0.82366028923921797</v>
      </c>
    </row>
    <row r="557" spans="14:43" x14ac:dyDescent="0.35">
      <c r="N557">
        <f t="shared" si="195"/>
        <v>555</v>
      </c>
      <c r="O557" s="6">
        <f t="shared" si="175"/>
        <v>260544.45340364773</v>
      </c>
      <c r="P557">
        <f t="shared" si="179"/>
        <v>13.027222670182386</v>
      </c>
      <c r="Q557">
        <f t="shared" si="180"/>
        <v>0</v>
      </c>
      <c r="R557" s="6">
        <f t="shared" si="192"/>
        <v>62.50890933100564</v>
      </c>
      <c r="S557">
        <f t="shared" si="181"/>
        <v>0.37505345598603385</v>
      </c>
      <c r="T557">
        <f t="shared" si="182"/>
        <v>0</v>
      </c>
      <c r="U557" s="6">
        <f t="shared" si="193"/>
        <v>2.4199493276572675E-37</v>
      </c>
      <c r="V557">
        <f t="shared" si="183"/>
        <v>3.629923991485901E-38</v>
      </c>
      <c r="W557">
        <f t="shared" si="184"/>
        <v>0</v>
      </c>
      <c r="X557">
        <f t="shared" si="176"/>
        <v>260606.96231297872</v>
      </c>
      <c r="Y557" s="6">
        <f t="shared" si="185"/>
        <v>28949.383711516355</v>
      </c>
      <c r="Z557" s="6">
        <f t="shared" si="186"/>
        <v>6.9454343701117329</v>
      </c>
      <c r="AA557" s="6">
        <f t="shared" si="187"/>
        <v>2.6888325862858554E-38</v>
      </c>
      <c r="AB557">
        <f t="shared" si="188"/>
        <v>0</v>
      </c>
      <c r="AD557" s="6">
        <f t="shared" si="177"/>
        <v>109384.59578960791</v>
      </c>
      <c r="AG557">
        <f t="shared" si="189"/>
        <v>80144.779526574013</v>
      </c>
      <c r="AH557">
        <f t="shared" si="190"/>
        <v>283.48711714741853</v>
      </c>
      <c r="AI557">
        <f t="shared" si="191"/>
        <v>6.4531982070860622E-36</v>
      </c>
      <c r="AL557">
        <f t="shared" si="178"/>
        <v>0.96521097152955082</v>
      </c>
      <c r="AM557">
        <f t="shared" si="194"/>
        <v>0.84141996761236848</v>
      </c>
      <c r="AO557">
        <v>555</v>
      </c>
      <c r="AP557">
        <v>0.959877997040126</v>
      </c>
      <c r="AQ557">
        <v>0.82353000130287901</v>
      </c>
    </row>
    <row r="558" spans="14:43" x14ac:dyDescent="0.35">
      <c r="N558">
        <f t="shared" si="195"/>
        <v>556</v>
      </c>
      <c r="O558" s="6">
        <f t="shared" si="175"/>
        <v>260531.42618097755</v>
      </c>
      <c r="P558">
        <f t="shared" si="179"/>
        <v>13.026571309048878</v>
      </c>
      <c r="Q558">
        <f t="shared" si="180"/>
        <v>0</v>
      </c>
      <c r="R558" s="6">
        <f t="shared" si="192"/>
        <v>62.133855875019606</v>
      </c>
      <c r="S558">
        <f t="shared" si="181"/>
        <v>0.37280313525011766</v>
      </c>
      <c r="T558">
        <f t="shared" si="182"/>
        <v>0</v>
      </c>
      <c r="U558" s="6">
        <f t="shared" si="193"/>
        <v>2.0569569285086774E-37</v>
      </c>
      <c r="V558">
        <f t="shared" si="183"/>
        <v>3.085435392763016E-38</v>
      </c>
      <c r="W558">
        <f t="shared" si="184"/>
        <v>0</v>
      </c>
      <c r="X558">
        <f t="shared" si="176"/>
        <v>260593.56003685258</v>
      </c>
      <c r="Y558" s="6">
        <f t="shared" si="185"/>
        <v>28947.936242330779</v>
      </c>
      <c r="Z558" s="6">
        <f t="shared" si="186"/>
        <v>6.9037617638910627</v>
      </c>
      <c r="AA558" s="6">
        <f t="shared" si="187"/>
        <v>2.2855076983429772E-38</v>
      </c>
      <c r="AB558">
        <f t="shared" si="188"/>
        <v>0</v>
      </c>
      <c r="AD558" s="6">
        <f t="shared" si="177"/>
        <v>109377.3984861369</v>
      </c>
      <c r="AG558">
        <f t="shared" si="189"/>
        <v>80140.772287597691</v>
      </c>
      <c r="AH558">
        <f t="shared" si="190"/>
        <v>281.78619444453403</v>
      </c>
      <c r="AI558">
        <f t="shared" si="191"/>
        <v>5.4852184760231526E-36</v>
      </c>
      <c r="AL558">
        <f t="shared" si="178"/>
        <v>0.96516133346982436</v>
      </c>
      <c r="AM558">
        <f t="shared" si="194"/>
        <v>0.8413646037395146</v>
      </c>
      <c r="AO558">
        <v>556</v>
      </c>
      <c r="AP558">
        <v>0.95979113841590002</v>
      </c>
      <c r="AQ558">
        <v>0.82335962477074298</v>
      </c>
    </row>
    <row r="559" spans="14:43" x14ac:dyDescent="0.35">
      <c r="N559">
        <f t="shared" si="195"/>
        <v>557</v>
      </c>
      <c r="O559" s="6">
        <f t="shared" si="175"/>
        <v>260518.3996096685</v>
      </c>
      <c r="P559">
        <f t="shared" si="179"/>
        <v>13.025919980483426</v>
      </c>
      <c r="Q559">
        <f t="shared" si="180"/>
        <v>0</v>
      </c>
      <c r="R559" s="6">
        <f t="shared" si="192"/>
        <v>61.76105273976949</v>
      </c>
      <c r="S559">
        <f t="shared" si="181"/>
        <v>0.37056631643861693</v>
      </c>
      <c r="T559">
        <f t="shared" si="182"/>
        <v>0</v>
      </c>
      <c r="U559" s="6">
        <f t="shared" si="193"/>
        <v>1.7484133892323758E-37</v>
      </c>
      <c r="V559">
        <f t="shared" si="183"/>
        <v>2.6226200838485636E-38</v>
      </c>
      <c r="W559">
        <f t="shared" si="184"/>
        <v>0</v>
      </c>
      <c r="X559">
        <f t="shared" si="176"/>
        <v>260580.16066240828</v>
      </c>
      <c r="Y559" s="6">
        <f t="shared" si="185"/>
        <v>28946.488845518663</v>
      </c>
      <c r="Z559" s="6">
        <f t="shared" si="186"/>
        <v>6.862339193307716</v>
      </c>
      <c r="AA559" s="6">
        <f t="shared" si="187"/>
        <v>1.9426815435915305E-38</v>
      </c>
      <c r="AB559">
        <f t="shared" si="188"/>
        <v>0</v>
      </c>
      <c r="AD559" s="6">
        <f t="shared" si="177"/>
        <v>109370.21191097314</v>
      </c>
      <c r="AG559">
        <f t="shared" si="189"/>
        <v>80136.765248983313</v>
      </c>
      <c r="AH559">
        <f t="shared" si="190"/>
        <v>280.09547727786685</v>
      </c>
      <c r="AI559">
        <f t="shared" si="191"/>
        <v>4.6624357046196802E-36</v>
      </c>
      <c r="AL559">
        <f t="shared" si="178"/>
        <v>0.96511170615706765</v>
      </c>
      <c r="AM559">
        <f t="shared" si="194"/>
        <v>0.8413093223921011</v>
      </c>
      <c r="AO559">
        <v>557</v>
      </c>
      <c r="AP559">
        <v>0.95971764265693904</v>
      </c>
      <c r="AQ559">
        <v>0.82329949187704798</v>
      </c>
    </row>
    <row r="560" spans="14:43" x14ac:dyDescent="0.35">
      <c r="N560">
        <f t="shared" si="195"/>
        <v>558</v>
      </c>
      <c r="O560" s="6">
        <f t="shared" si="175"/>
        <v>260505.37368968801</v>
      </c>
      <c r="P560">
        <f t="shared" si="179"/>
        <v>13.025268684484402</v>
      </c>
      <c r="Q560">
        <f t="shared" si="180"/>
        <v>0</v>
      </c>
      <c r="R560" s="6">
        <f t="shared" si="192"/>
        <v>61.39048642333087</v>
      </c>
      <c r="S560">
        <f t="shared" si="181"/>
        <v>0.36834291853998524</v>
      </c>
      <c r="T560">
        <f t="shared" si="182"/>
        <v>0</v>
      </c>
      <c r="U560" s="6">
        <f t="shared" si="193"/>
        <v>1.4861513808475194E-37</v>
      </c>
      <c r="V560">
        <f t="shared" si="183"/>
        <v>2.2292270712712789E-38</v>
      </c>
      <c r="W560">
        <f t="shared" si="184"/>
        <v>0</v>
      </c>
      <c r="X560">
        <f t="shared" si="176"/>
        <v>260566.76417611135</v>
      </c>
      <c r="Y560" s="6">
        <f t="shared" si="185"/>
        <v>28945.041521076386</v>
      </c>
      <c r="Z560" s="6">
        <f t="shared" si="186"/>
        <v>6.8211651581478696</v>
      </c>
      <c r="AA560" s="6">
        <f t="shared" si="187"/>
        <v>1.6512793120528009E-38</v>
      </c>
      <c r="AB560">
        <f t="shared" si="188"/>
        <v>0</v>
      </c>
      <c r="AD560" s="6">
        <f t="shared" si="177"/>
        <v>109363.0360013696</v>
      </c>
      <c r="AG560">
        <f t="shared" si="189"/>
        <v>80132.758410720868</v>
      </c>
      <c r="AH560">
        <f t="shared" si="190"/>
        <v>278.41490441419967</v>
      </c>
      <c r="AI560">
        <f t="shared" si="191"/>
        <v>3.9630703489267281E-36</v>
      </c>
      <c r="AL560">
        <f t="shared" si="178"/>
        <v>0.96506208954115313</v>
      </c>
      <c r="AM560">
        <f t="shared" si="194"/>
        <v>0.84125412308745851</v>
      </c>
      <c r="AO560">
        <v>558</v>
      </c>
      <c r="AP560">
        <v>0.95965082833061099</v>
      </c>
      <c r="AQ560">
        <v>0.82322933683440402</v>
      </c>
    </row>
    <row r="561" spans="14:43" x14ac:dyDescent="0.35">
      <c r="N561">
        <f t="shared" si="195"/>
        <v>559</v>
      </c>
      <c r="O561" s="6">
        <f t="shared" si="175"/>
        <v>260492.34842100352</v>
      </c>
      <c r="P561">
        <f t="shared" si="179"/>
        <v>13.024617421050177</v>
      </c>
      <c r="Q561">
        <f t="shared" si="180"/>
        <v>0</v>
      </c>
      <c r="R561" s="6">
        <f t="shared" si="192"/>
        <v>61.022143504790883</v>
      </c>
      <c r="S561">
        <f t="shared" si="181"/>
        <v>0.36613286102874532</v>
      </c>
      <c r="T561">
        <f t="shared" si="182"/>
        <v>0</v>
      </c>
      <c r="U561" s="6">
        <f t="shared" si="193"/>
        <v>1.2632286737203914E-37</v>
      </c>
      <c r="V561">
        <f t="shared" si="183"/>
        <v>1.8948430105805871E-38</v>
      </c>
      <c r="W561">
        <f t="shared" si="184"/>
        <v>0</v>
      </c>
      <c r="X561">
        <f t="shared" si="176"/>
        <v>260553.37056450831</v>
      </c>
      <c r="Y561" s="6">
        <f t="shared" si="185"/>
        <v>28943.594269000332</v>
      </c>
      <c r="Z561" s="6">
        <f t="shared" si="186"/>
        <v>6.7802381671989824</v>
      </c>
      <c r="AA561" s="6">
        <f t="shared" si="187"/>
        <v>1.4035874152448807E-38</v>
      </c>
      <c r="AB561">
        <f t="shared" si="188"/>
        <v>0</v>
      </c>
      <c r="AD561" s="6">
        <f t="shared" si="177"/>
        <v>109355.87069495558</v>
      </c>
      <c r="AG561">
        <f t="shared" si="189"/>
        <v>80128.751772800329</v>
      </c>
      <c r="AH561">
        <f t="shared" si="190"/>
        <v>276.74441498771449</v>
      </c>
      <c r="AI561">
        <f t="shared" si="191"/>
        <v>3.368609796587719E-36</v>
      </c>
      <c r="AL561">
        <f t="shared" si="178"/>
        <v>0.965012483572253</v>
      </c>
      <c r="AM561">
        <f t="shared" si="194"/>
        <v>0.84119900534581216</v>
      </c>
      <c r="AO561">
        <v>559</v>
      </c>
      <c r="AP561">
        <v>0.95958735472059997</v>
      </c>
      <c r="AQ561">
        <v>0.82313913749386203</v>
      </c>
    </row>
    <row r="562" spans="14:43" x14ac:dyDescent="0.35">
      <c r="N562">
        <f t="shared" si="195"/>
        <v>560</v>
      </c>
      <c r="O562" s="6">
        <f t="shared" si="175"/>
        <v>260479.32380358246</v>
      </c>
      <c r="P562">
        <f t="shared" si="179"/>
        <v>13.023966190179124</v>
      </c>
      <c r="Q562">
        <f t="shared" si="180"/>
        <v>0</v>
      </c>
      <c r="R562" s="6">
        <f t="shared" si="192"/>
        <v>60.656010643762137</v>
      </c>
      <c r="S562">
        <f t="shared" si="181"/>
        <v>0.36393606386257282</v>
      </c>
      <c r="T562">
        <f t="shared" si="182"/>
        <v>0</v>
      </c>
      <c r="U562" s="6">
        <f t="shared" si="193"/>
        <v>1.0737443726623328E-37</v>
      </c>
      <c r="V562">
        <f t="shared" si="183"/>
        <v>1.6106165589934991E-38</v>
      </c>
      <c r="W562">
        <f t="shared" si="184"/>
        <v>0</v>
      </c>
      <c r="X562">
        <f t="shared" si="176"/>
        <v>260539.97981422622</v>
      </c>
      <c r="Y562" s="6">
        <f t="shared" si="185"/>
        <v>28942.147089286882</v>
      </c>
      <c r="Z562" s="6">
        <f t="shared" si="186"/>
        <v>6.7395567381957884</v>
      </c>
      <c r="AA562" s="6">
        <f t="shared" si="187"/>
        <v>1.1930493029581486E-38</v>
      </c>
      <c r="AB562">
        <f t="shared" si="188"/>
        <v>0</v>
      </c>
      <c r="AD562" s="6">
        <f t="shared" si="177"/>
        <v>109348.71592973456</v>
      </c>
      <c r="AG562">
        <f t="shared" si="189"/>
        <v>80124.745335211686</v>
      </c>
      <c r="AH562">
        <f t="shared" si="190"/>
        <v>275.08394849778819</v>
      </c>
      <c r="AI562">
        <f t="shared" si="191"/>
        <v>2.8633183270995611E-36</v>
      </c>
      <c r="AL562">
        <f t="shared" si="178"/>
        <v>0.96496288820083786</v>
      </c>
      <c r="AM562">
        <f t="shared" si="194"/>
        <v>0.84114396869026586</v>
      </c>
      <c r="AO562">
        <v>560</v>
      </c>
      <c r="AP562">
        <v>0.95951385896163799</v>
      </c>
      <c r="AQ562">
        <v>0.82304893815331803</v>
      </c>
    </row>
    <row r="563" spans="14:43" x14ac:dyDescent="0.35">
      <c r="N563">
        <f t="shared" si="195"/>
        <v>561</v>
      </c>
      <c r="O563" s="6">
        <f t="shared" si="175"/>
        <v>260466.29983739229</v>
      </c>
      <c r="P563">
        <f t="shared" si="179"/>
        <v>13.023314991869615</v>
      </c>
      <c r="Q563">
        <f t="shared" si="180"/>
        <v>0</v>
      </c>
      <c r="R563" s="6">
        <f t="shared" si="192"/>
        <v>60.292074579899563</v>
      </c>
      <c r="S563">
        <f t="shared" si="181"/>
        <v>0.36175244747939739</v>
      </c>
      <c r="T563">
        <f t="shared" si="182"/>
        <v>0</v>
      </c>
      <c r="U563" s="6">
        <f t="shared" si="193"/>
        <v>9.126827167629829E-38</v>
      </c>
      <c r="V563">
        <f t="shared" si="183"/>
        <v>1.3690240751444743E-38</v>
      </c>
      <c r="W563">
        <f t="shared" si="184"/>
        <v>0</v>
      </c>
      <c r="X563">
        <f t="shared" si="176"/>
        <v>260526.59191197218</v>
      </c>
      <c r="Y563" s="6">
        <f t="shared" si="185"/>
        <v>28940.699981932419</v>
      </c>
      <c r="Z563" s="6">
        <f t="shared" si="186"/>
        <v>6.6991193977666139</v>
      </c>
      <c r="AA563" s="6">
        <f t="shared" si="187"/>
        <v>1.0140919075144263E-38</v>
      </c>
      <c r="AB563">
        <f t="shared" si="188"/>
        <v>0</v>
      </c>
      <c r="AD563" s="6">
        <f t="shared" si="177"/>
        <v>109341.57164408191</v>
      </c>
      <c r="AG563">
        <f t="shared" si="189"/>
        <v>80120.739097944926</v>
      </c>
      <c r="AH563">
        <f t="shared" si="190"/>
        <v>273.43344480680145</v>
      </c>
      <c r="AI563">
        <f t="shared" si="191"/>
        <v>2.433820578034627E-36</v>
      </c>
      <c r="AL563">
        <f t="shared" si="178"/>
        <v>0.96491330337767478</v>
      </c>
      <c r="AM563">
        <f t="shared" si="194"/>
        <v>0.84108901264678393</v>
      </c>
      <c r="AO563">
        <v>561</v>
      </c>
      <c r="AP563">
        <v>0.95945038535162697</v>
      </c>
      <c r="AQ563">
        <v>0.822998827408573</v>
      </c>
    </row>
    <row r="564" spans="14:43" x14ac:dyDescent="0.35">
      <c r="N564">
        <f t="shared" si="195"/>
        <v>562</v>
      </c>
      <c r="O564" s="6">
        <f t="shared" ref="O564:O627" si="196">O563-(P563-Q563)</f>
        <v>260453.27652240041</v>
      </c>
      <c r="P564">
        <f t="shared" si="179"/>
        <v>13.022663826120022</v>
      </c>
      <c r="Q564">
        <f t="shared" si="180"/>
        <v>0</v>
      </c>
      <c r="R564" s="6">
        <f t="shared" si="192"/>
        <v>59.930322132420166</v>
      </c>
      <c r="S564">
        <f t="shared" si="181"/>
        <v>0.359581932794521</v>
      </c>
      <c r="T564">
        <f t="shared" si="182"/>
        <v>0</v>
      </c>
      <c r="U564" s="6">
        <f t="shared" si="193"/>
        <v>7.7578030924853541E-38</v>
      </c>
      <c r="V564">
        <f t="shared" si="183"/>
        <v>1.1636704638728031E-38</v>
      </c>
      <c r="W564">
        <f t="shared" si="184"/>
        <v>0</v>
      </c>
      <c r="X564">
        <f t="shared" ref="X564:X627" si="197">O564+R564+U564-$J$57</f>
        <v>260513.20684453283</v>
      </c>
      <c r="Y564" s="6">
        <f t="shared" si="185"/>
        <v>28939.252946933324</v>
      </c>
      <c r="Z564" s="6">
        <f t="shared" si="186"/>
        <v>6.6589246813800145</v>
      </c>
      <c r="AA564" s="6">
        <f t="shared" si="187"/>
        <v>8.6197812138726234E-39</v>
      </c>
      <c r="AB564">
        <f t="shared" si="188"/>
        <v>0</v>
      </c>
      <c r="AD564" s="6">
        <f t="shared" ref="AD564:AD627" si="198">Y564+Z564+AA564+AG564+AH564+AI564-AB564+$M$59</f>
        <v>109334.43777674269</v>
      </c>
      <c r="AG564">
        <f t="shared" si="189"/>
        <v>80116.733060990024</v>
      </c>
      <c r="AH564">
        <f t="shared" si="190"/>
        <v>271.79284413796063</v>
      </c>
      <c r="AI564">
        <f t="shared" si="191"/>
        <v>2.0687474913294329E-36</v>
      </c>
      <c r="AL564">
        <f t="shared" ref="AL564:AL627" si="199">X564/$X$2</f>
        <v>0.96486372905382534</v>
      </c>
      <c r="AM564">
        <f t="shared" si="194"/>
        <v>0.8410341367441746</v>
      </c>
      <c r="AO564">
        <v>562</v>
      </c>
      <c r="AP564">
        <v>0.95935350457845203</v>
      </c>
      <c r="AQ564">
        <v>0.822878561621183</v>
      </c>
    </row>
    <row r="565" spans="14:43" x14ac:dyDescent="0.35">
      <c r="N565">
        <f t="shared" si="195"/>
        <v>563</v>
      </c>
      <c r="O565" s="6">
        <f t="shared" si="196"/>
        <v>260440.25385857429</v>
      </c>
      <c r="P565">
        <f t="shared" si="179"/>
        <v>13.022012692928715</v>
      </c>
      <c r="Q565">
        <f t="shared" si="180"/>
        <v>0</v>
      </c>
      <c r="R565" s="6">
        <f t="shared" si="192"/>
        <v>59.570740199625646</v>
      </c>
      <c r="S565">
        <f t="shared" si="181"/>
        <v>0.35742444119775391</v>
      </c>
      <c r="T565">
        <f t="shared" si="182"/>
        <v>0</v>
      </c>
      <c r="U565" s="6">
        <f t="shared" si="193"/>
        <v>6.594132628612551E-38</v>
      </c>
      <c r="V565">
        <f t="shared" si="183"/>
        <v>9.8911989429188257E-39</v>
      </c>
      <c r="W565">
        <f t="shared" si="184"/>
        <v>0</v>
      </c>
      <c r="X565">
        <f t="shared" si="197"/>
        <v>260499.82459877391</v>
      </c>
      <c r="Y565" s="6">
        <f t="shared" si="185"/>
        <v>28937.805984285977</v>
      </c>
      <c r="Z565" s="6">
        <f t="shared" si="186"/>
        <v>6.6189711332917343</v>
      </c>
      <c r="AA565" s="6">
        <f t="shared" si="187"/>
        <v>7.3268140317917306E-39</v>
      </c>
      <c r="AB565">
        <f t="shared" si="188"/>
        <v>0</v>
      </c>
      <c r="AD565" s="6">
        <f t="shared" si="198"/>
        <v>109327.31426682937</v>
      </c>
      <c r="AG565">
        <f t="shared" si="189"/>
        <v>80112.727224336981</v>
      </c>
      <c r="AH565">
        <f t="shared" si="190"/>
        <v>270.16208707313285</v>
      </c>
      <c r="AI565">
        <f t="shared" si="191"/>
        <v>1.7584353676300179E-36</v>
      </c>
      <c r="AL565">
        <f t="shared" si="199"/>
        <v>0.96481416518064411</v>
      </c>
      <c r="AM565">
        <f t="shared" si="194"/>
        <v>0.84097934051407208</v>
      </c>
      <c r="AO565">
        <v>563</v>
      </c>
      <c r="AP565">
        <v>0.95928669025212399</v>
      </c>
      <c r="AQ565">
        <v>0.82279838442958897</v>
      </c>
    </row>
    <row r="566" spans="14:43" x14ac:dyDescent="0.35">
      <c r="N566">
        <f t="shared" si="195"/>
        <v>564</v>
      </c>
      <c r="O566" s="6">
        <f t="shared" si="196"/>
        <v>260427.23184588135</v>
      </c>
      <c r="P566">
        <f t="shared" si="179"/>
        <v>13.021361592294069</v>
      </c>
      <c r="Q566">
        <f t="shared" si="180"/>
        <v>0</v>
      </c>
      <c r="R566" s="6">
        <f t="shared" si="192"/>
        <v>59.213315758427889</v>
      </c>
      <c r="S566">
        <f t="shared" si="181"/>
        <v>0.35527989455056735</v>
      </c>
      <c r="T566">
        <f t="shared" si="182"/>
        <v>0</v>
      </c>
      <c r="U566" s="6">
        <f t="shared" si="193"/>
        <v>5.6050127343206683E-38</v>
      </c>
      <c r="V566">
        <f t="shared" si="183"/>
        <v>8.407519101481002E-39</v>
      </c>
      <c r="W566">
        <f t="shared" si="184"/>
        <v>0</v>
      </c>
      <c r="X566">
        <f t="shared" si="197"/>
        <v>260486.44516163977</v>
      </c>
      <c r="Y566" s="6">
        <f t="shared" si="185"/>
        <v>28936.359093986761</v>
      </c>
      <c r="Z566" s="6">
        <f t="shared" si="186"/>
        <v>6.5792573064919839</v>
      </c>
      <c r="AA566" s="6">
        <f t="shared" si="187"/>
        <v>6.2277919270229709E-39</v>
      </c>
      <c r="AB566">
        <f t="shared" si="188"/>
        <v>0</v>
      </c>
      <c r="AD566" s="6">
        <f t="shared" si="198"/>
        <v>109320.20105381971</v>
      </c>
      <c r="AG566">
        <f t="shared" si="189"/>
        <v>80108.721587975757</v>
      </c>
      <c r="AH566">
        <f t="shared" si="190"/>
        <v>268.54111455069403</v>
      </c>
      <c r="AI566">
        <f t="shared" si="191"/>
        <v>1.4946700624855152E-36</v>
      </c>
      <c r="AL566">
        <f t="shared" si="199"/>
        <v>0.9647646117097769</v>
      </c>
      <c r="AM566">
        <f t="shared" si="194"/>
        <v>0.84092462349092079</v>
      </c>
      <c r="AO566">
        <v>564</v>
      </c>
      <c r="AP566">
        <v>0.95922655735842899</v>
      </c>
      <c r="AQ566">
        <v>0.82274827368484305</v>
      </c>
    </row>
    <row r="567" spans="14:43" x14ac:dyDescent="0.35">
      <c r="N567">
        <f t="shared" si="195"/>
        <v>565</v>
      </c>
      <c r="O567" s="6">
        <f t="shared" si="196"/>
        <v>260414.21048428907</v>
      </c>
      <c r="P567">
        <f t="shared" si="179"/>
        <v>13.020710524214454</v>
      </c>
      <c r="Q567">
        <f t="shared" si="180"/>
        <v>0</v>
      </c>
      <c r="R567" s="6">
        <f t="shared" si="192"/>
        <v>58.858035863877319</v>
      </c>
      <c r="S567">
        <f t="shared" si="181"/>
        <v>0.35314821518326395</v>
      </c>
      <c r="T567">
        <f t="shared" si="182"/>
        <v>0</v>
      </c>
      <c r="U567" s="6">
        <f t="shared" si="193"/>
        <v>4.7642608241725684E-38</v>
      </c>
      <c r="V567">
        <f t="shared" si="183"/>
        <v>7.1463912362588523E-39</v>
      </c>
      <c r="W567">
        <f t="shared" si="184"/>
        <v>0</v>
      </c>
      <c r="X567">
        <f t="shared" si="197"/>
        <v>260473.06852015294</v>
      </c>
      <c r="Y567" s="6">
        <f t="shared" si="185"/>
        <v>28934.912276032061</v>
      </c>
      <c r="Z567" s="6">
        <f t="shared" si="186"/>
        <v>6.5397817626530319</v>
      </c>
      <c r="AA567" s="6">
        <f t="shared" si="187"/>
        <v>5.2936231379695256E-39</v>
      </c>
      <c r="AB567">
        <f t="shared" si="188"/>
        <v>0</v>
      </c>
      <c r="AD567" s="6">
        <f t="shared" si="198"/>
        <v>109313.09807755446</v>
      </c>
      <c r="AG567">
        <f t="shared" si="189"/>
        <v>80104.716151896355</v>
      </c>
      <c r="AH567">
        <f t="shared" si="190"/>
        <v>266.92986786338986</v>
      </c>
      <c r="AI567">
        <f t="shared" si="191"/>
        <v>1.2704695531126879E-36</v>
      </c>
      <c r="AL567">
        <f t="shared" si="199"/>
        <v>0.96471506859315903</v>
      </c>
      <c r="AM567">
        <f t="shared" si="194"/>
        <v>0.84086998521195733</v>
      </c>
      <c r="AO567">
        <v>565</v>
      </c>
      <c r="AP567">
        <v>0.95914303945051904</v>
      </c>
      <c r="AQ567">
        <v>0.82267811864219897</v>
      </c>
    </row>
    <row r="568" spans="14:43" x14ac:dyDescent="0.35">
      <c r="N568">
        <f t="shared" si="195"/>
        <v>566</v>
      </c>
      <c r="O568" s="6">
        <f t="shared" si="196"/>
        <v>260401.18977376487</v>
      </c>
      <c r="P568">
        <f t="shared" si="179"/>
        <v>13.020059488688243</v>
      </c>
      <c r="Q568">
        <f t="shared" si="180"/>
        <v>0</v>
      </c>
      <c r="R568" s="6">
        <f t="shared" si="192"/>
        <v>58.504887648694059</v>
      </c>
      <c r="S568">
        <f t="shared" si="181"/>
        <v>0.35102932589216435</v>
      </c>
      <c r="T568">
        <f t="shared" si="182"/>
        <v>0</v>
      </c>
      <c r="U568" s="6">
        <f t="shared" si="193"/>
        <v>4.049621700546683E-38</v>
      </c>
      <c r="V568">
        <f t="shared" si="183"/>
        <v>6.0744325508200243E-39</v>
      </c>
      <c r="W568">
        <f t="shared" si="184"/>
        <v>0</v>
      </c>
      <c r="X568">
        <f t="shared" si="197"/>
        <v>260459.69466141355</v>
      </c>
      <c r="Y568" s="6">
        <f t="shared" si="185"/>
        <v>28933.46553041826</v>
      </c>
      <c r="Z568" s="6">
        <f t="shared" si="186"/>
        <v>6.5005430720771136</v>
      </c>
      <c r="AA568" s="6">
        <f t="shared" si="187"/>
        <v>4.4995796672740967E-39</v>
      </c>
      <c r="AB568">
        <f t="shared" si="188"/>
        <v>0</v>
      </c>
      <c r="AD568" s="6">
        <f t="shared" si="198"/>
        <v>109306.00527823532</v>
      </c>
      <c r="AG568">
        <f t="shared" si="189"/>
        <v>80100.710916088763</v>
      </c>
      <c r="AH568">
        <f t="shared" si="190"/>
        <v>265.32828865620951</v>
      </c>
      <c r="AI568">
        <f t="shared" si="191"/>
        <v>1.0798991201457848E-36</v>
      </c>
      <c r="AL568">
        <f t="shared" si="199"/>
        <v>0.96466553578301317</v>
      </c>
      <c r="AM568">
        <f t="shared" si="194"/>
        <v>0.84081542521719477</v>
      </c>
      <c r="AO568">
        <v>566</v>
      </c>
      <c r="AP568">
        <v>0.95904949939366002</v>
      </c>
      <c r="AQ568">
        <v>0.82256787500375705</v>
      </c>
    </row>
    <row r="569" spans="14:43" x14ac:dyDescent="0.35">
      <c r="N569">
        <f t="shared" si="195"/>
        <v>567</v>
      </c>
      <c r="O569" s="6">
        <f t="shared" si="196"/>
        <v>260388.16971427618</v>
      </c>
      <c r="P569">
        <f t="shared" si="179"/>
        <v>13.019408485713809</v>
      </c>
      <c r="Q569">
        <f t="shared" si="180"/>
        <v>0</v>
      </c>
      <c r="R569" s="6">
        <f t="shared" si="192"/>
        <v>58.153858322801895</v>
      </c>
      <c r="S569">
        <f t="shared" si="181"/>
        <v>0.34892314993681139</v>
      </c>
      <c r="T569">
        <f t="shared" si="182"/>
        <v>0</v>
      </c>
      <c r="U569" s="6">
        <f t="shared" si="193"/>
        <v>3.4421784454646805E-38</v>
      </c>
      <c r="V569">
        <f t="shared" si="183"/>
        <v>5.1632676681970207E-39</v>
      </c>
      <c r="W569">
        <f t="shared" si="184"/>
        <v>0</v>
      </c>
      <c r="X569">
        <f t="shared" si="197"/>
        <v>260446.32357259898</v>
      </c>
      <c r="Y569" s="6">
        <f t="shared" si="185"/>
        <v>28932.018857141738</v>
      </c>
      <c r="Z569" s="6">
        <f t="shared" si="186"/>
        <v>6.4615398136446505</v>
      </c>
      <c r="AA569" s="6">
        <f t="shared" si="187"/>
        <v>3.8246427171829821E-39</v>
      </c>
      <c r="AB569">
        <f t="shared" si="188"/>
        <v>0</v>
      </c>
      <c r="AD569" s="6">
        <f t="shared" si="198"/>
        <v>109298.92259642262</v>
      </c>
      <c r="AG569">
        <f t="shared" si="189"/>
        <v>80096.705880542955</v>
      </c>
      <c r="AH569">
        <f t="shared" si="190"/>
        <v>263.73631892427227</v>
      </c>
      <c r="AI569">
        <f t="shared" si="191"/>
        <v>9.179142521239171E-37</v>
      </c>
      <c r="AL569">
        <f t="shared" si="199"/>
        <v>0.96461601323184809</v>
      </c>
      <c r="AM569">
        <f t="shared" si="194"/>
        <v>0.84076094304940474</v>
      </c>
      <c r="AO569">
        <v>567</v>
      </c>
      <c r="AP569">
        <v>0.95895930005311802</v>
      </c>
      <c r="AQ569">
        <v>0.82253780855691006</v>
      </c>
    </row>
    <row r="570" spans="14:43" x14ac:dyDescent="0.35">
      <c r="N570">
        <f t="shared" si="195"/>
        <v>568</v>
      </c>
      <c r="O570" s="6">
        <f t="shared" si="196"/>
        <v>260375.15030579048</v>
      </c>
      <c r="P570">
        <f t="shared" si="179"/>
        <v>13.018757515289524</v>
      </c>
      <c r="Q570">
        <f t="shared" si="180"/>
        <v>0</v>
      </c>
      <c r="R570" s="6">
        <f t="shared" si="192"/>
        <v>57.804935172865086</v>
      </c>
      <c r="S570">
        <f t="shared" si="181"/>
        <v>0.34682961103719051</v>
      </c>
      <c r="T570">
        <f t="shared" si="182"/>
        <v>0</v>
      </c>
      <c r="U570" s="6">
        <f t="shared" si="193"/>
        <v>2.9258516786449783E-38</v>
      </c>
      <c r="V570">
        <f t="shared" si="183"/>
        <v>4.3887775179674673E-39</v>
      </c>
      <c r="W570">
        <f t="shared" si="184"/>
        <v>0</v>
      </c>
      <c r="X570">
        <f t="shared" si="197"/>
        <v>260432.95524096335</v>
      </c>
      <c r="Y570" s="6">
        <f t="shared" si="185"/>
        <v>28930.57225619888</v>
      </c>
      <c r="Z570" s="6">
        <f t="shared" si="186"/>
        <v>6.4227705747627821</v>
      </c>
      <c r="AA570" s="6">
        <f t="shared" si="187"/>
        <v>3.2509463096055352E-39</v>
      </c>
      <c r="AB570">
        <f t="shared" si="188"/>
        <v>0</v>
      </c>
      <c r="AD570" s="6">
        <f t="shared" si="198"/>
        <v>109291.8499730333</v>
      </c>
      <c r="AG570">
        <f t="shared" si="189"/>
        <v>80092.701045248934</v>
      </c>
      <c r="AH570">
        <f t="shared" si="190"/>
        <v>262.15390101072666</v>
      </c>
      <c r="AI570">
        <f t="shared" si="191"/>
        <v>7.8022711430532949E-37</v>
      </c>
      <c r="AL570">
        <f t="shared" si="199"/>
        <v>0.96456650089245688</v>
      </c>
      <c r="AM570">
        <f t="shared" si="194"/>
        <v>0.84070653825410235</v>
      </c>
      <c r="AO570">
        <v>568</v>
      </c>
      <c r="AP570">
        <v>0.95888914501047295</v>
      </c>
      <c r="AQ570">
        <v>0.82243758706741799</v>
      </c>
    </row>
    <row r="571" spans="14:43" x14ac:dyDescent="0.35">
      <c r="N571">
        <f t="shared" si="195"/>
        <v>569</v>
      </c>
      <c r="O571" s="6">
        <f t="shared" si="196"/>
        <v>260362.13154827518</v>
      </c>
      <c r="P571">
        <f t="shared" si="179"/>
        <v>13.018106577413759</v>
      </c>
      <c r="Q571">
        <f t="shared" si="180"/>
        <v>0</v>
      </c>
      <c r="R571" s="6">
        <f t="shared" si="192"/>
        <v>57.458105561827892</v>
      </c>
      <c r="S571">
        <f t="shared" si="181"/>
        <v>0.34474863337096734</v>
      </c>
      <c r="T571">
        <f t="shared" si="182"/>
        <v>0</v>
      </c>
      <c r="U571" s="6">
        <f t="shared" si="193"/>
        <v>2.4869739268482315E-38</v>
      </c>
      <c r="V571">
        <f t="shared" si="183"/>
        <v>3.7304608902723472E-39</v>
      </c>
      <c r="W571">
        <f t="shared" si="184"/>
        <v>0</v>
      </c>
      <c r="X571">
        <f t="shared" si="197"/>
        <v>260419.589653837</v>
      </c>
      <c r="Y571" s="6">
        <f t="shared" si="185"/>
        <v>28929.12572758607</v>
      </c>
      <c r="Z571" s="6">
        <f t="shared" si="186"/>
        <v>6.3842339513142052</v>
      </c>
      <c r="AA571" s="6">
        <f t="shared" si="187"/>
        <v>2.7633043631647049E-39</v>
      </c>
      <c r="AB571">
        <f t="shared" si="188"/>
        <v>0</v>
      </c>
      <c r="AD571" s="6">
        <f t="shared" si="198"/>
        <v>109284.78734933873</v>
      </c>
      <c r="AG571">
        <f t="shared" si="189"/>
        <v>80088.696410196673</v>
      </c>
      <c r="AH571">
        <f t="shared" si="190"/>
        <v>260.58097760466228</v>
      </c>
      <c r="AI571">
        <f t="shared" si="191"/>
        <v>6.6319304715953006E-37</v>
      </c>
      <c r="AL571">
        <f t="shared" si="199"/>
        <v>0.96451699871791485</v>
      </c>
      <c r="AM571">
        <f t="shared" si="194"/>
        <v>0.84065221037952864</v>
      </c>
      <c r="AO571">
        <v>569</v>
      </c>
      <c r="AP571">
        <v>0.95880562710256401</v>
      </c>
      <c r="AQ571">
        <v>0.82235740987582495</v>
      </c>
    </row>
    <row r="572" spans="14:43" x14ac:dyDescent="0.35">
      <c r="N572">
        <f t="shared" si="195"/>
        <v>570</v>
      </c>
      <c r="O572" s="6">
        <f t="shared" si="196"/>
        <v>260349.11344169776</v>
      </c>
      <c r="P572">
        <f t="shared" si="179"/>
        <v>13.017455672084889</v>
      </c>
      <c r="Q572">
        <f t="shared" si="180"/>
        <v>0</v>
      </c>
      <c r="R572" s="6">
        <f t="shared" si="192"/>
        <v>57.113356928456923</v>
      </c>
      <c r="S572">
        <f t="shared" si="181"/>
        <v>0.34268014157074156</v>
      </c>
      <c r="T572">
        <f t="shared" si="182"/>
        <v>0</v>
      </c>
      <c r="U572" s="6">
        <f t="shared" si="193"/>
        <v>2.1139278378209966E-38</v>
      </c>
      <c r="V572">
        <f t="shared" si="183"/>
        <v>3.1708917567314951E-39</v>
      </c>
      <c r="W572">
        <f t="shared" si="184"/>
        <v>0</v>
      </c>
      <c r="X572">
        <f t="shared" si="197"/>
        <v>260406.22679862622</v>
      </c>
      <c r="Y572" s="6">
        <f t="shared" si="185"/>
        <v>28927.67927129969</v>
      </c>
      <c r="Z572" s="6">
        <f t="shared" si="186"/>
        <v>6.3459285476063201</v>
      </c>
      <c r="AA572" s="6">
        <f t="shared" si="187"/>
        <v>2.348808708689999E-39</v>
      </c>
      <c r="AB572">
        <f t="shared" si="188"/>
        <v>0</v>
      </c>
      <c r="AD572" s="6">
        <f t="shared" si="198"/>
        <v>109277.7346669625</v>
      </c>
      <c r="AG572">
        <f t="shared" si="189"/>
        <v>80084.691975376161</v>
      </c>
      <c r="AH572">
        <f t="shared" si="190"/>
        <v>259.01749173903431</v>
      </c>
      <c r="AI572">
        <f t="shared" si="191"/>
        <v>5.6371409008560057E-37</v>
      </c>
      <c r="AL572">
        <f t="shared" si="199"/>
        <v>0.96446750666157854</v>
      </c>
      <c r="AM572">
        <f t="shared" si="194"/>
        <v>0.84059795897663458</v>
      </c>
      <c r="AO572">
        <v>570</v>
      </c>
      <c r="AP572">
        <v>0.95870206489675502</v>
      </c>
      <c r="AQ572">
        <v>0.82225718838633299</v>
      </c>
    </row>
    <row r="573" spans="14:43" x14ac:dyDescent="0.35">
      <c r="N573">
        <f t="shared" si="195"/>
        <v>571</v>
      </c>
      <c r="O573" s="6">
        <f t="shared" si="196"/>
        <v>260336.09598602567</v>
      </c>
      <c r="P573">
        <f t="shared" si="179"/>
        <v>13.016804799301283</v>
      </c>
      <c r="Q573">
        <f t="shared" si="180"/>
        <v>0</v>
      </c>
      <c r="R573" s="6">
        <f t="shared" si="192"/>
        <v>56.770676786886185</v>
      </c>
      <c r="S573">
        <f t="shared" si="181"/>
        <v>0.34062406072131712</v>
      </c>
      <c r="T573">
        <f t="shared" si="182"/>
        <v>0</v>
      </c>
      <c r="U573" s="6">
        <f t="shared" si="193"/>
        <v>1.7968386621478472E-38</v>
      </c>
      <c r="V573">
        <f t="shared" si="183"/>
        <v>2.6952579932217706E-39</v>
      </c>
      <c r="W573">
        <f t="shared" si="184"/>
        <v>0</v>
      </c>
      <c r="X573">
        <f t="shared" si="197"/>
        <v>260392.86666281256</v>
      </c>
      <c r="Y573" s="6">
        <f t="shared" si="185"/>
        <v>28926.232887336126</v>
      </c>
      <c r="Z573" s="6">
        <f t="shared" si="186"/>
        <v>6.3078529763206825</v>
      </c>
      <c r="AA573" s="6">
        <f t="shared" si="187"/>
        <v>1.9964874023864991E-39</v>
      </c>
      <c r="AB573">
        <f t="shared" si="188"/>
        <v>0</v>
      </c>
      <c r="AD573" s="6">
        <f t="shared" si="198"/>
        <v>109270.69186787844</v>
      </c>
      <c r="AG573">
        <f t="shared" si="189"/>
        <v>80080.687740777386</v>
      </c>
      <c r="AH573">
        <f t="shared" si="190"/>
        <v>257.46338678860013</v>
      </c>
      <c r="AI573">
        <f t="shared" si="191"/>
        <v>4.7915697657276046E-37</v>
      </c>
      <c r="AL573">
        <f t="shared" si="199"/>
        <v>0.9644180246770836</v>
      </c>
      <c r="AM573">
        <f t="shared" si="194"/>
        <v>0.8405437835990649</v>
      </c>
      <c r="AO573">
        <v>571</v>
      </c>
      <c r="AP573">
        <v>0.95861854698884597</v>
      </c>
      <c r="AQ573">
        <v>0.822136922598944</v>
      </c>
    </row>
    <row r="574" spans="14:43" x14ac:dyDescent="0.35">
      <c r="N574">
        <f t="shared" si="195"/>
        <v>572</v>
      </c>
      <c r="O574" s="6">
        <f t="shared" si="196"/>
        <v>260323.07918122638</v>
      </c>
      <c r="P574">
        <f t="shared" si="179"/>
        <v>13.01615395906132</v>
      </c>
      <c r="Q574">
        <f t="shared" si="180"/>
        <v>0</v>
      </c>
      <c r="R574" s="6">
        <f t="shared" si="192"/>
        <v>56.430052726164867</v>
      </c>
      <c r="S574">
        <f t="shared" si="181"/>
        <v>0.33858031635698921</v>
      </c>
      <c r="T574">
        <f t="shared" si="182"/>
        <v>0</v>
      </c>
      <c r="U574" s="6">
        <f t="shared" si="193"/>
        <v>1.5273128628256701E-38</v>
      </c>
      <c r="V574">
        <f t="shared" si="183"/>
        <v>2.2909692942385051E-39</v>
      </c>
      <c r="W574">
        <f t="shared" si="184"/>
        <v>0</v>
      </c>
      <c r="X574">
        <f t="shared" si="197"/>
        <v>260379.50923395253</v>
      </c>
      <c r="Y574" s="6">
        <f t="shared" si="185"/>
        <v>28924.78657569176</v>
      </c>
      <c r="Z574" s="6">
        <f t="shared" si="186"/>
        <v>6.270005858462758</v>
      </c>
      <c r="AA574" s="6">
        <f t="shared" si="187"/>
        <v>1.6970142920285244E-39</v>
      </c>
      <c r="AB574">
        <f t="shared" si="188"/>
        <v>0</v>
      </c>
      <c r="AD574" s="6">
        <f t="shared" si="198"/>
        <v>109263.65889440844</v>
      </c>
      <c r="AG574">
        <f t="shared" si="189"/>
        <v>80076.683706390351</v>
      </c>
      <c r="AH574">
        <f t="shared" si="190"/>
        <v>255.91860646786853</v>
      </c>
      <c r="AI574">
        <f t="shared" si="191"/>
        <v>4.0728343008684642E-37</v>
      </c>
      <c r="AL574">
        <f t="shared" si="199"/>
        <v>0.96436855271834265</v>
      </c>
      <c r="AM574">
        <f t="shared" si="194"/>
        <v>0.84048968380314182</v>
      </c>
      <c r="AO574">
        <v>572</v>
      </c>
      <c r="AP574">
        <v>0.95855841409514997</v>
      </c>
      <c r="AQ574">
        <v>0.82206676755629904</v>
      </c>
    </row>
    <row r="575" spans="14:43" x14ac:dyDescent="0.35">
      <c r="N575">
        <f t="shared" si="195"/>
        <v>573</v>
      </c>
      <c r="O575" s="6">
        <f t="shared" si="196"/>
        <v>260310.06302726732</v>
      </c>
      <c r="P575">
        <f t="shared" si="179"/>
        <v>13.015503151363367</v>
      </c>
      <c r="Q575">
        <f t="shared" si="180"/>
        <v>0</v>
      </c>
      <c r="R575" s="6">
        <f t="shared" si="192"/>
        <v>56.091472409807878</v>
      </c>
      <c r="S575">
        <f t="shared" si="181"/>
        <v>0.33654883445884726</v>
      </c>
      <c r="T575">
        <f t="shared" si="182"/>
        <v>0</v>
      </c>
      <c r="U575" s="6">
        <f t="shared" si="193"/>
        <v>1.2982159334018197E-38</v>
      </c>
      <c r="V575">
        <f t="shared" si="183"/>
        <v>1.9473239001027295E-39</v>
      </c>
      <c r="W575">
        <f t="shared" si="184"/>
        <v>0</v>
      </c>
      <c r="X575">
        <f t="shared" si="197"/>
        <v>260366.15449967713</v>
      </c>
      <c r="Y575" s="6">
        <f t="shared" si="185"/>
        <v>28923.340336362977</v>
      </c>
      <c r="Z575" s="6">
        <f t="shared" si="186"/>
        <v>6.2323858233119811</v>
      </c>
      <c r="AA575" s="6">
        <f t="shared" si="187"/>
        <v>1.4424621482242458E-39</v>
      </c>
      <c r="AB575">
        <f t="shared" si="188"/>
        <v>0</v>
      </c>
      <c r="AD575" s="6">
        <f t="shared" si="198"/>
        <v>109256.63568922038</v>
      </c>
      <c r="AG575">
        <f t="shared" si="189"/>
        <v>80072.67987220503</v>
      </c>
      <c r="AH575">
        <f t="shared" si="190"/>
        <v>254.38309482906132</v>
      </c>
      <c r="AI575">
        <f t="shared" si="191"/>
        <v>3.4619091557381944E-37</v>
      </c>
      <c r="AL575">
        <f t="shared" si="199"/>
        <v>0.96431909073954492</v>
      </c>
      <c r="AM575">
        <f t="shared" si="194"/>
        <v>0.84043565914784901</v>
      </c>
      <c r="AO575">
        <v>573</v>
      </c>
      <c r="AP575">
        <v>0.95848825905250501</v>
      </c>
      <c r="AQ575">
        <v>0.82194650176890904</v>
      </c>
    </row>
    <row r="576" spans="14:43" x14ac:dyDescent="0.35">
      <c r="N576">
        <f t="shared" si="195"/>
        <v>574</v>
      </c>
      <c r="O576" s="6">
        <f t="shared" si="196"/>
        <v>260297.04752411594</v>
      </c>
      <c r="P576">
        <f t="shared" si="179"/>
        <v>13.014852376205798</v>
      </c>
      <c r="Q576">
        <f t="shared" si="180"/>
        <v>0</v>
      </c>
      <c r="R576" s="6">
        <f t="shared" si="192"/>
        <v>55.754923575349032</v>
      </c>
      <c r="S576">
        <f t="shared" si="181"/>
        <v>0.33452954145209418</v>
      </c>
      <c r="T576">
        <f t="shared" si="182"/>
        <v>0</v>
      </c>
      <c r="U576" s="6">
        <f t="shared" si="193"/>
        <v>1.1034835433915468E-38</v>
      </c>
      <c r="V576">
        <f t="shared" si="183"/>
        <v>1.6552253150873202E-39</v>
      </c>
      <c r="W576">
        <f t="shared" si="184"/>
        <v>0</v>
      </c>
      <c r="X576">
        <f t="shared" si="197"/>
        <v>260352.8024476913</v>
      </c>
      <c r="Y576" s="6">
        <f t="shared" si="185"/>
        <v>28921.89416934616</v>
      </c>
      <c r="Z576" s="6">
        <f t="shared" si="186"/>
        <v>6.1949915083721088</v>
      </c>
      <c r="AA576" s="6">
        <f t="shared" si="187"/>
        <v>1.226092825990609E-39</v>
      </c>
      <c r="AB576">
        <f t="shared" si="188"/>
        <v>0</v>
      </c>
      <c r="AD576" s="6">
        <f t="shared" si="198"/>
        <v>109249.62219532605</v>
      </c>
      <c r="AG576">
        <f t="shared" si="189"/>
        <v>80068.676238211425</v>
      </c>
      <c r="AH576">
        <f t="shared" si="190"/>
        <v>252.85679626008695</v>
      </c>
      <c r="AI576">
        <f t="shared" si="191"/>
        <v>2.9426227823774654E-37</v>
      </c>
      <c r="AL576">
        <f t="shared" si="199"/>
        <v>0.96426963869515292</v>
      </c>
      <c r="AM576">
        <f t="shared" si="194"/>
        <v>0.84038170919481581</v>
      </c>
      <c r="AO576">
        <v>574</v>
      </c>
      <c r="AP576">
        <v>0.95838469684669902</v>
      </c>
      <c r="AQ576">
        <v>0.82183625813046801</v>
      </c>
    </row>
    <row r="577" spans="14:43" x14ac:dyDescent="0.35">
      <c r="N577">
        <f t="shared" si="195"/>
        <v>575</v>
      </c>
      <c r="O577" s="6">
        <f t="shared" si="196"/>
        <v>260284.03267173973</v>
      </c>
      <c r="P577">
        <f t="shared" si="179"/>
        <v>13.014201633586987</v>
      </c>
      <c r="Q577">
        <f t="shared" si="180"/>
        <v>0</v>
      </c>
      <c r="R577" s="6">
        <f t="shared" si="192"/>
        <v>55.42039403389694</v>
      </c>
      <c r="S577">
        <f t="shared" si="181"/>
        <v>0.33252236420338166</v>
      </c>
      <c r="T577">
        <f t="shared" si="182"/>
        <v>0</v>
      </c>
      <c r="U577" s="6">
        <f t="shared" si="193"/>
        <v>9.3796101188281475E-39</v>
      </c>
      <c r="V577">
        <f t="shared" si="183"/>
        <v>1.406941517824222E-39</v>
      </c>
      <c r="W577">
        <f t="shared" si="184"/>
        <v>0</v>
      </c>
      <c r="X577">
        <f t="shared" si="197"/>
        <v>260339.45306577362</v>
      </c>
      <c r="Y577" s="6">
        <f t="shared" si="185"/>
        <v>28920.448074637694</v>
      </c>
      <c r="Z577" s="6">
        <f t="shared" si="186"/>
        <v>6.1578215593218761</v>
      </c>
      <c r="AA577" s="6">
        <f t="shared" si="187"/>
        <v>1.0421789020920176E-39</v>
      </c>
      <c r="AB577">
        <f t="shared" si="188"/>
        <v>0</v>
      </c>
      <c r="AD577" s="6">
        <f t="shared" si="198"/>
        <v>109242.61835607905</v>
      </c>
      <c r="AG577">
        <f t="shared" si="189"/>
        <v>80064.67280439951</v>
      </c>
      <c r="AH577">
        <f t="shared" si="190"/>
        <v>251.33965548252644</v>
      </c>
      <c r="AI577">
        <f t="shared" si="191"/>
        <v>2.5012293650208457E-37</v>
      </c>
      <c r="AL577">
        <f t="shared" si="199"/>
        <v>0.96422019653990232</v>
      </c>
      <c r="AM577">
        <f t="shared" si="194"/>
        <v>0.84032783350830043</v>
      </c>
      <c r="AO577">
        <v>575</v>
      </c>
      <c r="AP577">
        <v>0.95830786037142102</v>
      </c>
      <c r="AQ577">
        <v>0.82177612523677201</v>
      </c>
    </row>
    <row r="578" spans="14:43" x14ac:dyDescent="0.35">
      <c r="N578">
        <f t="shared" si="195"/>
        <v>576</v>
      </c>
      <c r="O578" s="6">
        <f t="shared" si="196"/>
        <v>260271.01847010615</v>
      </c>
      <c r="P578">
        <f t="shared" ref="P578:P641" si="200">IF(N578&lt;$H$12,O578*($F$3+$H$3),O578*$F$3)</f>
        <v>13.013550923505308</v>
      </c>
      <c r="Q578">
        <f t="shared" ref="Q578:Q641" si="201">IF(N578&lt;$H$12,P578*$I$3,0)</f>
        <v>0</v>
      </c>
      <c r="R578" s="6">
        <f t="shared" si="192"/>
        <v>55.087871669693556</v>
      </c>
      <c r="S578">
        <f t="shared" ref="S578:S641" si="202">IF(N578&lt;$H$12,R578*($F$4+$H$4),R578*$F$4)</f>
        <v>0.33052723001816137</v>
      </c>
      <c r="T578">
        <f t="shared" ref="T578:T641" si="203">IF(N578&lt;$H$12,S578*$I$4,0)</f>
        <v>0</v>
      </c>
      <c r="U578" s="6">
        <f t="shared" si="193"/>
        <v>7.9726686010039253E-39</v>
      </c>
      <c r="V578">
        <f t="shared" ref="V578:V641" si="204">IF(N578&lt;$H$12,U578*($F$5+$H$5),U578*$F$5)</f>
        <v>1.1959002901505888E-39</v>
      </c>
      <c r="W578">
        <f t="shared" ref="W578:W641" si="205">IF(N578&lt;$H$12,V578*$I$5,0)</f>
        <v>0</v>
      </c>
      <c r="X578">
        <f t="shared" si="197"/>
        <v>260326.10634177586</v>
      </c>
      <c r="Y578" s="6">
        <f t="shared" si="185"/>
        <v>28919.002052233962</v>
      </c>
      <c r="Z578" s="6">
        <f t="shared" si="186"/>
        <v>6.1208746299659449</v>
      </c>
      <c r="AA578" s="6">
        <f t="shared" si="187"/>
        <v>8.8585206677821494E-40</v>
      </c>
      <c r="AB578">
        <f t="shared" si="188"/>
        <v>0</v>
      </c>
      <c r="AD578" s="6">
        <f t="shared" si="198"/>
        <v>109235.62411517285</v>
      </c>
      <c r="AG578">
        <f t="shared" si="189"/>
        <v>80060.669570759288</v>
      </c>
      <c r="AH578">
        <f t="shared" si="190"/>
        <v>249.83161754963129</v>
      </c>
      <c r="AI578">
        <f t="shared" si="191"/>
        <v>2.126044960267719E-37</v>
      </c>
      <c r="AL578">
        <f t="shared" si="199"/>
        <v>0.96417076422879944</v>
      </c>
      <c r="AM578">
        <f t="shared" si="194"/>
        <v>0.84027403165517578</v>
      </c>
      <c r="AO578">
        <v>576</v>
      </c>
      <c r="AP578">
        <v>0.95825440891035896</v>
      </c>
      <c r="AQ578">
        <v>0.82163581515148398</v>
      </c>
    </row>
    <row r="579" spans="14:43" x14ac:dyDescent="0.35">
      <c r="N579">
        <f t="shared" si="195"/>
        <v>577</v>
      </c>
      <c r="O579" s="6">
        <f t="shared" si="196"/>
        <v>260258.00491918265</v>
      </c>
      <c r="P579">
        <f t="shared" si="200"/>
        <v>13.012900245959134</v>
      </c>
      <c r="Q579">
        <f t="shared" si="201"/>
        <v>0</v>
      </c>
      <c r="R579" s="6">
        <f t="shared" si="192"/>
        <v>54.757344439675393</v>
      </c>
      <c r="S579">
        <f t="shared" si="202"/>
        <v>0.32854406663805236</v>
      </c>
      <c r="T579">
        <f t="shared" si="203"/>
        <v>0</v>
      </c>
      <c r="U579" s="6">
        <f t="shared" si="193"/>
        <v>6.7767683108533365E-39</v>
      </c>
      <c r="V579">
        <f t="shared" si="204"/>
        <v>1.0165152466280005E-39</v>
      </c>
      <c r="W579">
        <f t="shared" si="205"/>
        <v>0</v>
      </c>
      <c r="X579">
        <f t="shared" si="197"/>
        <v>260312.76226362234</v>
      </c>
      <c r="Y579" s="6">
        <f t="shared" ref="Y579:Y642" si="206">Y578-Y578*$F$3-Q579</f>
        <v>28917.556102131352</v>
      </c>
      <c r="Z579" s="6">
        <f t="shared" ref="Z579:Z642" si="207">Z578-Z578*$F$4</f>
        <v>6.0841493821861494</v>
      </c>
      <c r="AA579" s="6">
        <f t="shared" ref="AA579:AA642" si="208">AA578-AA578*$F$5</f>
        <v>7.5297425676148263E-40</v>
      </c>
      <c r="AB579">
        <f t="shared" ref="AB579:AB642" si="209">Q579+T579+W579</f>
        <v>0</v>
      </c>
      <c r="AD579" s="6">
        <f t="shared" si="198"/>
        <v>109228.63941663862</v>
      </c>
      <c r="AG579">
        <f t="shared" ref="AG579:AG642" si="210">IF(N578&lt;$H$12,AG578-AG578*($F$7+$H$7),AG578-AG578*$F$7)</f>
        <v>80056.666537280747</v>
      </c>
      <c r="AH579">
        <f t="shared" ref="AH579:AH642" si="211">IF(N578&lt;$H$12,AH578-AH578*($F$8+$H$8),AH578-AH578*$F$8)</f>
        <v>248.3326278443335</v>
      </c>
      <c r="AI579">
        <f t="shared" ref="AI579:AI642" si="212">IF(N578&lt;$H$12,AI578-AI578*($F$9+$H$9),AI578-AI578*$F$9)</f>
        <v>1.8071382162275611E-37</v>
      </c>
      <c r="AL579">
        <f t="shared" si="199"/>
        <v>0.96412134171711972</v>
      </c>
      <c r="AM579">
        <f t="shared" si="194"/>
        <v>0.84022030320491248</v>
      </c>
      <c r="AO579">
        <v>577</v>
      </c>
      <c r="AP579">
        <v>0.95816086885349905</v>
      </c>
      <c r="AQ579">
        <v>0.82159572655568802</v>
      </c>
    </row>
    <row r="580" spans="14:43" x14ac:dyDescent="0.35">
      <c r="N580">
        <f t="shared" si="195"/>
        <v>578</v>
      </c>
      <c r="O580" s="6">
        <f t="shared" si="196"/>
        <v>260244.9920189367</v>
      </c>
      <c r="P580">
        <f t="shared" si="200"/>
        <v>13.012249600946836</v>
      </c>
      <c r="Q580">
        <f t="shared" si="201"/>
        <v>0</v>
      </c>
      <c r="R580" s="6">
        <f t="shared" ref="R580:R643" si="213">R579-(S579-T579)</f>
        <v>54.42880037303734</v>
      </c>
      <c r="S580">
        <f t="shared" si="202"/>
        <v>0.32657280223822405</v>
      </c>
      <c r="T580">
        <f t="shared" si="203"/>
        <v>0</v>
      </c>
      <c r="U580" s="6">
        <f t="shared" ref="U580:U643" si="214">U579-(V579-W579)</f>
        <v>5.760253064225336E-39</v>
      </c>
      <c r="V580">
        <f t="shared" si="204"/>
        <v>8.6403795963380041E-40</v>
      </c>
      <c r="W580">
        <f t="shared" si="205"/>
        <v>0</v>
      </c>
      <c r="X580">
        <f t="shared" si="197"/>
        <v>260299.42081930974</v>
      </c>
      <c r="Y580" s="6">
        <f t="shared" si="206"/>
        <v>28916.110224326247</v>
      </c>
      <c r="Z580" s="6">
        <f t="shared" si="207"/>
        <v>6.0476444858930325</v>
      </c>
      <c r="AA580" s="6">
        <f t="shared" si="208"/>
        <v>6.4002811824726022E-40</v>
      </c>
      <c r="AB580">
        <f t="shared" si="209"/>
        <v>0</v>
      </c>
      <c r="AD580" s="6">
        <f t="shared" si="198"/>
        <v>109221.66420484328</v>
      </c>
      <c r="AG580">
        <f t="shared" si="210"/>
        <v>80052.663703953876</v>
      </c>
      <c r="AH580">
        <f t="shared" si="211"/>
        <v>246.8426320772675</v>
      </c>
      <c r="AI580">
        <f t="shared" si="212"/>
        <v>1.5360674837934271E-37</v>
      </c>
      <c r="AL580">
        <f t="shared" si="199"/>
        <v>0.9640719289604065</v>
      </c>
      <c r="AM580">
        <f t="shared" ref="AM580:AM643" si="215">IF(AD580/$AD$2&lt;AM579,AD580/$AD$2,AM579)</f>
        <v>0.84016664772956373</v>
      </c>
      <c r="AO580">
        <v>578</v>
      </c>
      <c r="AP580">
        <v>0.958063988080324</v>
      </c>
      <c r="AQ580">
        <v>0.82150552721514603</v>
      </c>
    </row>
    <row r="581" spans="14:43" x14ac:dyDescent="0.35">
      <c r="N581">
        <f t="shared" si="195"/>
        <v>579</v>
      </c>
      <c r="O581" s="6">
        <f t="shared" si="196"/>
        <v>260231.97976933574</v>
      </c>
      <c r="P581">
        <f t="shared" si="200"/>
        <v>13.011598988466787</v>
      </c>
      <c r="Q581">
        <f t="shared" si="201"/>
        <v>0</v>
      </c>
      <c r="R581" s="6">
        <f t="shared" si="213"/>
        <v>54.102227570799116</v>
      </c>
      <c r="S581">
        <f t="shared" si="202"/>
        <v>0.32461336542479469</v>
      </c>
      <c r="T581">
        <f t="shared" si="203"/>
        <v>0</v>
      </c>
      <c r="U581" s="6">
        <f t="shared" si="214"/>
        <v>4.8962151045915356E-39</v>
      </c>
      <c r="V581">
        <f t="shared" si="204"/>
        <v>7.3443226568873035E-40</v>
      </c>
      <c r="W581">
        <f t="shared" si="205"/>
        <v>0</v>
      </c>
      <c r="X581">
        <f t="shared" si="197"/>
        <v>260286.08199690655</v>
      </c>
      <c r="Y581" s="6">
        <f t="shared" si="206"/>
        <v>28914.664418815031</v>
      </c>
      <c r="Z581" s="6">
        <f t="shared" si="207"/>
        <v>6.011358618977674</v>
      </c>
      <c r="AA581" s="6">
        <f t="shared" si="208"/>
        <v>5.4402390051017115E-40</v>
      </c>
      <c r="AB581">
        <f t="shared" si="209"/>
        <v>0</v>
      </c>
      <c r="AD581" s="6">
        <f t="shared" si="198"/>
        <v>109214.69842448749</v>
      </c>
      <c r="AG581">
        <f t="shared" si="210"/>
        <v>80048.661070768678</v>
      </c>
      <c r="AH581">
        <f t="shared" si="211"/>
        <v>245.3615762848039</v>
      </c>
      <c r="AI581">
        <f t="shared" si="212"/>
        <v>1.305657361224413E-37</v>
      </c>
      <c r="AL581">
        <f t="shared" si="199"/>
        <v>0.96402252591446869</v>
      </c>
      <c r="AM581">
        <f t="shared" si="215"/>
        <v>0.84011306480374992</v>
      </c>
      <c r="AO581">
        <v>579</v>
      </c>
      <c r="AP581">
        <v>0.95798381088873197</v>
      </c>
      <c r="AQ581">
        <v>0.82136521712985699</v>
      </c>
    </row>
    <row r="582" spans="14:43" x14ac:dyDescent="0.35">
      <c r="N582">
        <f t="shared" si="195"/>
        <v>580</v>
      </c>
      <c r="O582" s="6">
        <f t="shared" si="196"/>
        <v>260218.96817034727</v>
      </c>
      <c r="P582">
        <f t="shared" si="200"/>
        <v>13.010948408517365</v>
      </c>
      <c r="Q582">
        <f t="shared" si="201"/>
        <v>0</v>
      </c>
      <c r="R582" s="6">
        <f t="shared" si="213"/>
        <v>53.77761420537432</v>
      </c>
      <c r="S582">
        <f t="shared" si="202"/>
        <v>0.32266568523224592</v>
      </c>
      <c r="T582">
        <f t="shared" si="203"/>
        <v>0</v>
      </c>
      <c r="U582" s="6">
        <f t="shared" si="214"/>
        <v>4.1617828389028053E-39</v>
      </c>
      <c r="V582">
        <f t="shared" si="204"/>
        <v>6.2426742583542081E-40</v>
      </c>
      <c r="W582">
        <f t="shared" si="205"/>
        <v>0</v>
      </c>
      <c r="X582">
        <f t="shared" si="197"/>
        <v>260272.74578455265</v>
      </c>
      <c r="Y582" s="6">
        <f t="shared" si="206"/>
        <v>28913.218685594089</v>
      </c>
      <c r="Z582" s="6">
        <f t="shared" si="207"/>
        <v>5.9752904672638083</v>
      </c>
      <c r="AA582" s="6">
        <f t="shared" si="208"/>
        <v>4.624203154336455E-40</v>
      </c>
      <c r="AB582">
        <f t="shared" si="209"/>
        <v>0</v>
      </c>
      <c r="AD582" s="6">
        <f t="shared" si="198"/>
        <v>109207.74202060357</v>
      </c>
      <c r="AG582">
        <f t="shared" si="210"/>
        <v>80044.65863771514</v>
      </c>
      <c r="AH582">
        <f t="shared" si="211"/>
        <v>243.88940682709509</v>
      </c>
      <c r="AI582">
        <f t="shared" si="212"/>
        <v>1.109808757040751E-37</v>
      </c>
      <c r="AL582">
        <f t="shared" si="199"/>
        <v>0.96397313253538019</v>
      </c>
      <c r="AM582">
        <f t="shared" si="215"/>
        <v>0.84005955400464294</v>
      </c>
      <c r="AO582">
        <v>580</v>
      </c>
      <c r="AP582">
        <v>0.95788693011555504</v>
      </c>
      <c r="AQ582">
        <v>0.82126499564036504</v>
      </c>
    </row>
    <row r="583" spans="14:43" x14ac:dyDescent="0.35">
      <c r="N583">
        <f t="shared" si="195"/>
        <v>581</v>
      </c>
      <c r="O583" s="6">
        <f t="shared" si="196"/>
        <v>260205.95722193876</v>
      </c>
      <c r="P583">
        <f t="shared" si="200"/>
        <v>13.010297861096939</v>
      </c>
      <c r="Q583">
        <f t="shared" si="201"/>
        <v>0</v>
      </c>
      <c r="R583" s="6">
        <f t="shared" si="213"/>
        <v>53.454948520142075</v>
      </c>
      <c r="S583">
        <f t="shared" si="202"/>
        <v>0.32072969112085248</v>
      </c>
      <c r="T583">
        <f t="shared" si="203"/>
        <v>0</v>
      </c>
      <c r="U583" s="6">
        <f t="shared" si="214"/>
        <v>3.5375154130673847E-39</v>
      </c>
      <c r="V583">
        <f t="shared" si="204"/>
        <v>5.3062731196010771E-40</v>
      </c>
      <c r="W583">
        <f t="shared" si="205"/>
        <v>0</v>
      </c>
      <c r="X583">
        <f t="shared" si="197"/>
        <v>260259.41217045891</v>
      </c>
      <c r="Y583" s="6">
        <f t="shared" si="206"/>
        <v>28911.773024659808</v>
      </c>
      <c r="Z583" s="6">
        <f t="shared" si="207"/>
        <v>5.9394387244602251</v>
      </c>
      <c r="AA583" s="6">
        <f t="shared" si="208"/>
        <v>3.9305726811859871E-40</v>
      </c>
      <c r="AB583">
        <f t="shared" si="209"/>
        <v>0</v>
      </c>
      <c r="AD583" s="6">
        <f t="shared" si="198"/>
        <v>109200.79493855365</v>
      </c>
      <c r="AG583">
        <f t="shared" si="210"/>
        <v>80040.656404783251</v>
      </c>
      <c r="AH583">
        <f t="shared" si="211"/>
        <v>242.42607038613252</v>
      </c>
      <c r="AI583">
        <f t="shared" si="212"/>
        <v>9.4333744348463843E-38</v>
      </c>
      <c r="AL583">
        <f t="shared" si="199"/>
        <v>0.9639237487794774</v>
      </c>
      <c r="AM583">
        <f t="shared" si="215"/>
        <v>0.8400061149119511</v>
      </c>
      <c r="AO583">
        <v>581</v>
      </c>
      <c r="AP583">
        <v>0.95779673077501404</v>
      </c>
      <c r="AQ583">
        <v>0.821154752001924</v>
      </c>
    </row>
    <row r="584" spans="14:43" x14ac:dyDescent="0.35">
      <c r="N584">
        <f t="shared" si="195"/>
        <v>582</v>
      </c>
      <c r="O584" s="6">
        <f t="shared" si="196"/>
        <v>260192.94692407767</v>
      </c>
      <c r="P584">
        <f t="shared" si="200"/>
        <v>13.009647346203884</v>
      </c>
      <c r="Q584">
        <f t="shared" si="201"/>
        <v>0</v>
      </c>
      <c r="R584" s="6">
        <f t="shared" si="213"/>
        <v>53.134218829021222</v>
      </c>
      <c r="S584">
        <f t="shared" si="202"/>
        <v>0.31880531297412734</v>
      </c>
      <c r="T584">
        <f t="shared" si="203"/>
        <v>0</v>
      </c>
      <c r="U584" s="6">
        <f t="shared" si="214"/>
        <v>3.006888101107277E-39</v>
      </c>
      <c r="V584">
        <f t="shared" si="204"/>
        <v>4.5103321516609152E-40</v>
      </c>
      <c r="W584">
        <f t="shared" si="205"/>
        <v>0</v>
      </c>
      <c r="X584">
        <f t="shared" si="197"/>
        <v>260246.08114290668</v>
      </c>
      <c r="Y584" s="6">
        <f t="shared" si="206"/>
        <v>28910.327436008574</v>
      </c>
      <c r="Z584" s="6">
        <f t="shared" si="207"/>
        <v>5.9038020921134642</v>
      </c>
      <c r="AA584" s="6">
        <f t="shared" si="208"/>
        <v>3.3409867790080888E-40</v>
      </c>
      <c r="AB584">
        <f t="shared" si="209"/>
        <v>0</v>
      </c>
      <c r="AD584" s="6">
        <f t="shared" si="198"/>
        <v>109193.85712402752</v>
      </c>
      <c r="AG584">
        <f t="shared" si="210"/>
        <v>80036.654371963014</v>
      </c>
      <c r="AH584">
        <f t="shared" si="211"/>
        <v>240.97151396381574</v>
      </c>
      <c r="AI584">
        <f t="shared" si="212"/>
        <v>8.0183682696194263E-38</v>
      </c>
      <c r="AL584">
        <f t="shared" si="199"/>
        <v>0.96387437460335812</v>
      </c>
      <c r="AM584">
        <f t="shared" si="215"/>
        <v>0.83995274710790402</v>
      </c>
      <c r="AO584">
        <v>582</v>
      </c>
      <c r="AP584">
        <v>0.95773325716500102</v>
      </c>
      <c r="AQ584">
        <v>0.82109461910822901</v>
      </c>
    </row>
    <row r="585" spans="14:43" x14ac:dyDescent="0.35">
      <c r="N585">
        <f t="shared" si="195"/>
        <v>583</v>
      </c>
      <c r="O585" s="6">
        <f t="shared" si="196"/>
        <v>260179.93727673145</v>
      </c>
      <c r="P585">
        <f t="shared" si="200"/>
        <v>13.008996863836574</v>
      </c>
      <c r="Q585">
        <f t="shared" si="201"/>
        <v>0</v>
      </c>
      <c r="R585" s="6">
        <f t="shared" si="213"/>
        <v>52.815413516047094</v>
      </c>
      <c r="S585">
        <f t="shared" si="202"/>
        <v>0.3168924810962826</v>
      </c>
      <c r="T585">
        <f t="shared" si="203"/>
        <v>0</v>
      </c>
      <c r="U585" s="6">
        <f t="shared" si="214"/>
        <v>2.5558548859411857E-39</v>
      </c>
      <c r="V585">
        <f t="shared" si="204"/>
        <v>3.8337823289117782E-40</v>
      </c>
      <c r="W585">
        <f t="shared" si="205"/>
        <v>0</v>
      </c>
      <c r="X585">
        <f t="shared" si="197"/>
        <v>260232.75269024749</v>
      </c>
      <c r="Y585" s="6">
        <f t="shared" si="206"/>
        <v>28908.881919636773</v>
      </c>
      <c r="Z585" s="6">
        <f t="shared" si="207"/>
        <v>5.8683792795607834</v>
      </c>
      <c r="AA585" s="6">
        <f t="shared" si="208"/>
        <v>2.8398387621568757E-40</v>
      </c>
      <c r="AB585">
        <f t="shared" si="209"/>
        <v>0</v>
      </c>
      <c r="AD585" s="6">
        <f t="shared" si="198"/>
        <v>109186.92852304078</v>
      </c>
      <c r="AG585">
        <f t="shared" si="210"/>
        <v>80032.652539244416</v>
      </c>
      <c r="AH585">
        <f t="shared" si="211"/>
        <v>239.52568488003286</v>
      </c>
      <c r="AI585">
        <f t="shared" si="212"/>
        <v>6.8156130291765118E-38</v>
      </c>
      <c r="AL585">
        <f t="shared" si="199"/>
        <v>0.96382500996387965</v>
      </c>
      <c r="AM585">
        <f t="shared" si="215"/>
        <v>0.83989945017723677</v>
      </c>
      <c r="AO585">
        <v>583</v>
      </c>
      <c r="AP585">
        <v>0.95767312427130702</v>
      </c>
      <c r="AQ585">
        <v>0.82094428687399001</v>
      </c>
    </row>
    <row r="586" spans="14:43" x14ac:dyDescent="0.35">
      <c r="N586">
        <f t="shared" si="195"/>
        <v>584</v>
      </c>
      <c r="O586" s="6">
        <f t="shared" si="196"/>
        <v>260166.9282798676</v>
      </c>
      <c r="P586">
        <f t="shared" si="200"/>
        <v>13.008346413993381</v>
      </c>
      <c r="Q586">
        <f t="shared" si="201"/>
        <v>0</v>
      </c>
      <c r="R586" s="6">
        <f t="shared" si="213"/>
        <v>52.498521034950812</v>
      </c>
      <c r="S586">
        <f t="shared" si="202"/>
        <v>0.31499112620970487</v>
      </c>
      <c r="T586">
        <f t="shared" si="203"/>
        <v>0</v>
      </c>
      <c r="U586" s="6">
        <f t="shared" si="214"/>
        <v>2.172476653050008E-39</v>
      </c>
      <c r="V586">
        <f t="shared" si="204"/>
        <v>3.2587149795750119E-40</v>
      </c>
      <c r="W586">
        <f t="shared" si="205"/>
        <v>0</v>
      </c>
      <c r="X586">
        <f t="shared" si="197"/>
        <v>260219.42680090255</v>
      </c>
      <c r="Y586" s="6">
        <f t="shared" si="206"/>
        <v>28907.436475540791</v>
      </c>
      <c r="Z586" s="6">
        <f t="shared" si="207"/>
        <v>5.8331690038834187</v>
      </c>
      <c r="AA586" s="6">
        <f t="shared" si="208"/>
        <v>2.4138629478333444E-40</v>
      </c>
      <c r="AB586">
        <f t="shared" si="209"/>
        <v>0</v>
      </c>
      <c r="AD586" s="6">
        <f t="shared" si="198"/>
        <v>109180.00908193288</v>
      </c>
      <c r="AG586">
        <f t="shared" si="210"/>
        <v>80028.650906617448</v>
      </c>
      <c r="AH586">
        <f t="shared" si="211"/>
        <v>238.08853077075267</v>
      </c>
      <c r="AI586">
        <f t="shared" si="212"/>
        <v>5.7932710748000349E-38</v>
      </c>
      <c r="AL586">
        <f t="shared" si="199"/>
        <v>0.96377565481815763</v>
      </c>
      <c r="AM586">
        <f t="shared" si="215"/>
        <v>0.83984622370717599</v>
      </c>
      <c r="AO586">
        <v>584</v>
      </c>
      <c r="AP586">
        <v>0.95758960636339696</v>
      </c>
      <c r="AQ586">
        <v>0.82085408753344902</v>
      </c>
    </row>
    <row r="587" spans="14:43" x14ac:dyDescent="0.35">
      <c r="N587">
        <f t="shared" si="195"/>
        <v>585</v>
      </c>
      <c r="O587" s="6">
        <f t="shared" si="196"/>
        <v>260153.91993345361</v>
      </c>
      <c r="P587">
        <f t="shared" si="200"/>
        <v>13.00769599667268</v>
      </c>
      <c r="Q587">
        <f t="shared" si="201"/>
        <v>0</v>
      </c>
      <c r="R587" s="6">
        <f t="shared" si="213"/>
        <v>52.183529908741107</v>
      </c>
      <c r="S587">
        <f t="shared" si="202"/>
        <v>0.31310117945244664</v>
      </c>
      <c r="T587">
        <f t="shared" si="203"/>
        <v>0</v>
      </c>
      <c r="U587" s="6">
        <f t="shared" si="214"/>
        <v>1.8466051550925069E-39</v>
      </c>
      <c r="V587">
        <f t="shared" si="204"/>
        <v>2.7699077326387604E-40</v>
      </c>
      <c r="W587">
        <f t="shared" si="205"/>
        <v>0</v>
      </c>
      <c r="X587">
        <f t="shared" si="197"/>
        <v>260206.10346336235</v>
      </c>
      <c r="Y587" s="6">
        <f t="shared" si="206"/>
        <v>28905.991103717013</v>
      </c>
      <c r="Z587" s="6">
        <f t="shared" si="207"/>
        <v>5.798169989860118</v>
      </c>
      <c r="AA587" s="6">
        <f t="shared" si="208"/>
        <v>2.0517835056583426E-40</v>
      </c>
      <c r="AB587">
        <f t="shared" si="209"/>
        <v>0</v>
      </c>
      <c r="AD587" s="6">
        <f t="shared" si="198"/>
        <v>109173.09874736512</v>
      </c>
      <c r="AG587">
        <f t="shared" si="210"/>
        <v>80024.64947407211</v>
      </c>
      <c r="AH587">
        <f t="shared" si="211"/>
        <v>236.65999958612815</v>
      </c>
      <c r="AI587">
        <f t="shared" si="212"/>
        <v>4.9242804135800296E-38</v>
      </c>
      <c r="AL587">
        <f t="shared" si="199"/>
        <v>0.96372630912356427</v>
      </c>
      <c r="AM587">
        <f t="shared" si="215"/>
        <v>0.83979306728742398</v>
      </c>
      <c r="AO587">
        <v>585</v>
      </c>
      <c r="AP587">
        <v>0.957489384873905</v>
      </c>
      <c r="AQ587">
        <v>0.82073382174605902</v>
      </c>
    </row>
    <row r="588" spans="14:43" x14ac:dyDescent="0.35">
      <c r="N588">
        <f t="shared" si="195"/>
        <v>586</v>
      </c>
      <c r="O588" s="6">
        <f t="shared" si="196"/>
        <v>260140.91223745694</v>
      </c>
      <c r="P588">
        <f t="shared" si="200"/>
        <v>13.007045611872847</v>
      </c>
      <c r="Q588">
        <f t="shared" si="201"/>
        <v>0</v>
      </c>
      <c r="R588" s="6">
        <f t="shared" si="213"/>
        <v>51.870428729288662</v>
      </c>
      <c r="S588">
        <f t="shared" si="202"/>
        <v>0.31122257237573198</v>
      </c>
      <c r="T588">
        <f t="shared" si="203"/>
        <v>0</v>
      </c>
      <c r="U588" s="6">
        <f t="shared" si="214"/>
        <v>1.5696143818286309E-39</v>
      </c>
      <c r="V588">
        <f t="shared" si="204"/>
        <v>2.3544215727429463E-40</v>
      </c>
      <c r="W588">
        <f t="shared" si="205"/>
        <v>0</v>
      </c>
      <c r="X588">
        <f t="shared" si="197"/>
        <v>260192.78266618622</v>
      </c>
      <c r="Y588" s="6">
        <f t="shared" si="206"/>
        <v>28904.545804161826</v>
      </c>
      <c r="Z588" s="6">
        <f t="shared" si="207"/>
        <v>5.7633809699209575</v>
      </c>
      <c r="AA588" s="6">
        <f t="shared" si="208"/>
        <v>1.7440159798095912E-40</v>
      </c>
      <c r="AB588">
        <f t="shared" si="209"/>
        <v>0</v>
      </c>
      <c r="AD588" s="6">
        <f t="shared" si="198"/>
        <v>109166.19746631876</v>
      </c>
      <c r="AG588">
        <f t="shared" si="210"/>
        <v>80020.648241598406</v>
      </c>
      <c r="AH588">
        <f t="shared" si="211"/>
        <v>235.24003958861138</v>
      </c>
      <c r="AI588">
        <f t="shared" si="212"/>
        <v>4.1856383515430253E-38</v>
      </c>
      <c r="AL588">
        <f t="shared" si="199"/>
        <v>0.96367697283772669</v>
      </c>
      <c r="AM588">
        <f t="shared" si="215"/>
        <v>0.83973998051014431</v>
      </c>
      <c r="AO588">
        <v>586</v>
      </c>
      <c r="AP588">
        <v>0.95741254839862699</v>
      </c>
      <c r="AQ588">
        <v>0.82063360025656695</v>
      </c>
    </row>
    <row r="589" spans="14:43" x14ac:dyDescent="0.35">
      <c r="N589">
        <f t="shared" si="195"/>
        <v>587</v>
      </c>
      <c r="O589" s="6">
        <f t="shared" si="196"/>
        <v>260127.90519184506</v>
      </c>
      <c r="P589">
        <f t="shared" si="200"/>
        <v>13.006395259592253</v>
      </c>
      <c r="Q589">
        <f t="shared" si="201"/>
        <v>0</v>
      </c>
      <c r="R589" s="6">
        <f t="shared" si="213"/>
        <v>51.559206156912929</v>
      </c>
      <c r="S589">
        <f t="shared" si="202"/>
        <v>0.3093552369414776</v>
      </c>
      <c r="T589">
        <f t="shared" si="203"/>
        <v>0</v>
      </c>
      <c r="U589" s="6">
        <f t="shared" si="214"/>
        <v>1.3341722245543363E-39</v>
      </c>
      <c r="V589">
        <f t="shared" si="204"/>
        <v>2.0012583368315045E-40</v>
      </c>
      <c r="W589">
        <f t="shared" si="205"/>
        <v>0</v>
      </c>
      <c r="X589">
        <f t="shared" si="197"/>
        <v>260179.46439800196</v>
      </c>
      <c r="Y589" s="6">
        <f t="shared" si="206"/>
        <v>28903.100576871617</v>
      </c>
      <c r="Z589" s="6">
        <f t="shared" si="207"/>
        <v>5.7288006841014321</v>
      </c>
      <c r="AA589" s="6">
        <f t="shared" si="208"/>
        <v>1.4824135828381525E-40</v>
      </c>
      <c r="AB589">
        <f t="shared" si="209"/>
        <v>0</v>
      </c>
      <c r="AD589" s="6">
        <f t="shared" si="198"/>
        <v>109159.30518609312</v>
      </c>
      <c r="AG589">
        <f t="shared" si="210"/>
        <v>80016.647209186325</v>
      </c>
      <c r="AH589">
        <f t="shared" si="211"/>
        <v>233.8285993510797</v>
      </c>
      <c r="AI589">
        <f t="shared" si="212"/>
        <v>3.5577925988115712E-38</v>
      </c>
      <c r="AL589">
        <f t="shared" si="199"/>
        <v>0.96362764591852579</v>
      </c>
      <c r="AM589">
        <f t="shared" si="215"/>
        <v>0.83968696296994705</v>
      </c>
      <c r="AO589">
        <v>587</v>
      </c>
      <c r="AP589">
        <v>0.95733237120703496</v>
      </c>
      <c r="AQ589">
        <v>0.820533378767074</v>
      </c>
    </row>
    <row r="590" spans="14:43" x14ac:dyDescent="0.35">
      <c r="N590">
        <f t="shared" si="195"/>
        <v>588</v>
      </c>
      <c r="O590" s="6">
        <f t="shared" si="196"/>
        <v>260114.89879658548</v>
      </c>
      <c r="P590">
        <f t="shared" si="200"/>
        <v>13.005744939829274</v>
      </c>
      <c r="Q590">
        <f t="shared" si="201"/>
        <v>0</v>
      </c>
      <c r="R590" s="6">
        <f t="shared" si="213"/>
        <v>51.24985091997145</v>
      </c>
      <c r="S590">
        <f t="shared" si="202"/>
        <v>0.30749910551982873</v>
      </c>
      <c r="T590">
        <f t="shared" si="203"/>
        <v>0</v>
      </c>
      <c r="U590" s="6">
        <f t="shared" si="214"/>
        <v>1.1340463908711859E-39</v>
      </c>
      <c r="V590">
        <f t="shared" si="204"/>
        <v>1.7010695863067787E-40</v>
      </c>
      <c r="W590">
        <f t="shared" si="205"/>
        <v>0</v>
      </c>
      <c r="X590">
        <f t="shared" si="197"/>
        <v>260166.14864750544</v>
      </c>
      <c r="Y590" s="6">
        <f t="shared" si="206"/>
        <v>28901.655421842774</v>
      </c>
      <c r="Z590" s="6">
        <f t="shared" si="207"/>
        <v>5.6944278799968231</v>
      </c>
      <c r="AA590" s="6">
        <f t="shared" si="208"/>
        <v>1.2600515454124297E-40</v>
      </c>
      <c r="AB590">
        <f t="shared" si="209"/>
        <v>0</v>
      </c>
      <c r="AD590" s="6">
        <f t="shared" si="198"/>
        <v>109152.42185430361</v>
      </c>
      <c r="AG590">
        <f t="shared" si="210"/>
        <v>80012.646376825869</v>
      </c>
      <c r="AH590">
        <f t="shared" si="211"/>
        <v>232.42562775497322</v>
      </c>
      <c r="AI590">
        <f t="shared" si="212"/>
        <v>3.0241237089898356E-38</v>
      </c>
      <c r="AL590">
        <f t="shared" si="199"/>
        <v>0.96357832832409418</v>
      </c>
      <c r="AM590">
        <f t="shared" si="215"/>
        <v>0.83963401426387396</v>
      </c>
      <c r="AO590">
        <v>588</v>
      </c>
      <c r="AP590">
        <v>0.95725887544807398</v>
      </c>
      <c r="AQ590">
        <v>0.82045320157548096</v>
      </c>
    </row>
    <row r="591" spans="14:43" x14ac:dyDescent="0.35">
      <c r="N591">
        <f t="shared" si="195"/>
        <v>589</v>
      </c>
      <c r="O591" s="6">
        <f t="shared" si="196"/>
        <v>260101.89305164566</v>
      </c>
      <c r="P591">
        <f t="shared" si="200"/>
        <v>13.005094652582283</v>
      </c>
      <c r="Q591">
        <f t="shared" si="201"/>
        <v>0</v>
      </c>
      <c r="R591" s="6">
        <f t="shared" si="213"/>
        <v>50.942351814451619</v>
      </c>
      <c r="S591">
        <f t="shared" si="202"/>
        <v>0.30565411088670974</v>
      </c>
      <c r="T591">
        <f t="shared" si="203"/>
        <v>0</v>
      </c>
      <c r="U591" s="6">
        <f t="shared" si="214"/>
        <v>9.6393943224050808E-40</v>
      </c>
      <c r="V591">
        <f t="shared" si="204"/>
        <v>1.4459091483607621E-40</v>
      </c>
      <c r="W591">
        <f t="shared" si="205"/>
        <v>0</v>
      </c>
      <c r="X591">
        <f t="shared" si="197"/>
        <v>260152.83540346011</v>
      </c>
      <c r="Y591" s="6">
        <f t="shared" si="206"/>
        <v>28900.21033907168</v>
      </c>
      <c r="Z591" s="6">
        <f t="shared" si="207"/>
        <v>5.660261312716842</v>
      </c>
      <c r="AA591" s="6">
        <f t="shared" si="208"/>
        <v>1.0710438136005653E-40</v>
      </c>
      <c r="AB591">
        <f t="shared" si="209"/>
        <v>0</v>
      </c>
      <c r="AD591" s="6">
        <f t="shared" si="198"/>
        <v>109145.54741887987</v>
      </c>
      <c r="AG591">
        <f t="shared" si="210"/>
        <v>80008.645744507026</v>
      </c>
      <c r="AH591">
        <f t="shared" si="211"/>
        <v>231.03107398844338</v>
      </c>
      <c r="AI591">
        <f t="shared" si="212"/>
        <v>2.57050515264136E-38</v>
      </c>
      <c r="AL591">
        <f t="shared" si="199"/>
        <v>0.96352902001281526</v>
      </c>
      <c r="AM591">
        <f t="shared" si="215"/>
        <v>0.83958113399138357</v>
      </c>
      <c r="AO591">
        <v>589</v>
      </c>
      <c r="AP591">
        <v>0.95717535754016403</v>
      </c>
      <c r="AQ591">
        <v>0.82036300223493797</v>
      </c>
    </row>
    <row r="592" spans="14:43" x14ac:dyDescent="0.35">
      <c r="N592">
        <f t="shared" si="195"/>
        <v>590</v>
      </c>
      <c r="O592" s="6">
        <f t="shared" si="196"/>
        <v>260088.88795699307</v>
      </c>
      <c r="P592">
        <f t="shared" si="200"/>
        <v>13.004444397849655</v>
      </c>
      <c r="Q592">
        <f t="shared" si="201"/>
        <v>0</v>
      </c>
      <c r="R592" s="6">
        <f t="shared" si="213"/>
        <v>50.636697703564913</v>
      </c>
      <c r="S592">
        <f t="shared" si="202"/>
        <v>0.30382018622138951</v>
      </c>
      <c r="T592">
        <f t="shared" si="203"/>
        <v>0</v>
      </c>
      <c r="U592" s="6">
        <f t="shared" si="214"/>
        <v>8.1934851740443189E-40</v>
      </c>
      <c r="V592">
        <f t="shared" si="204"/>
        <v>1.2290227761066478E-40</v>
      </c>
      <c r="W592">
        <f t="shared" si="205"/>
        <v>0</v>
      </c>
      <c r="X592">
        <f t="shared" si="197"/>
        <v>260139.52465469664</v>
      </c>
      <c r="Y592" s="6">
        <f t="shared" si="206"/>
        <v>28898.765328554728</v>
      </c>
      <c r="Z592" s="6">
        <f t="shared" si="207"/>
        <v>5.6262997448405407</v>
      </c>
      <c r="AA592" s="6">
        <f t="shared" si="208"/>
        <v>9.1038724156048047E-41</v>
      </c>
      <c r="AB592">
        <f t="shared" si="209"/>
        <v>0</v>
      </c>
      <c r="AD592" s="6">
        <f t="shared" si="198"/>
        <v>109138.68182806387</v>
      </c>
      <c r="AG592">
        <f t="shared" si="210"/>
        <v>80004.6453122198</v>
      </c>
      <c r="AH592">
        <f t="shared" si="211"/>
        <v>229.64488754451273</v>
      </c>
      <c r="AI592">
        <f t="shared" si="212"/>
        <v>2.1849293797451561E-38</v>
      </c>
      <c r="AL592">
        <f t="shared" si="199"/>
        <v>0.96347972094332091</v>
      </c>
      <c r="AM592">
        <f t="shared" si="215"/>
        <v>0.83952832175433745</v>
      </c>
      <c r="AO592">
        <v>590</v>
      </c>
      <c r="AP592">
        <v>0.95709852106488702</v>
      </c>
      <c r="AQ592">
        <v>0.82025275859649804</v>
      </c>
    </row>
    <row r="593" spans="14:43" x14ac:dyDescent="0.35">
      <c r="N593">
        <f t="shared" si="195"/>
        <v>591</v>
      </c>
      <c r="O593" s="6">
        <f t="shared" si="196"/>
        <v>260075.88351259523</v>
      </c>
      <c r="P593">
        <f t="shared" si="200"/>
        <v>13.003794175629762</v>
      </c>
      <c r="Q593">
        <f t="shared" si="201"/>
        <v>0</v>
      </c>
      <c r="R593" s="6">
        <f t="shared" si="213"/>
        <v>50.332877517343526</v>
      </c>
      <c r="S593">
        <f t="shared" si="202"/>
        <v>0.30199726510406116</v>
      </c>
      <c r="T593">
        <f t="shared" si="203"/>
        <v>0</v>
      </c>
      <c r="U593" s="6">
        <f t="shared" si="214"/>
        <v>6.9644623979376709E-40</v>
      </c>
      <c r="V593">
        <f t="shared" si="204"/>
        <v>1.0446693596906506E-40</v>
      </c>
      <c r="W593">
        <f t="shared" si="205"/>
        <v>0</v>
      </c>
      <c r="X593">
        <f t="shared" si="197"/>
        <v>260126.21639011259</v>
      </c>
      <c r="Y593" s="6">
        <f t="shared" si="206"/>
        <v>28897.3203902883</v>
      </c>
      <c r="Z593" s="6">
        <f t="shared" si="207"/>
        <v>5.5925419463714974</v>
      </c>
      <c r="AA593" s="6">
        <f t="shared" si="208"/>
        <v>7.7382915532640838E-41</v>
      </c>
      <c r="AB593">
        <f t="shared" si="209"/>
        <v>0</v>
      </c>
      <c r="AD593" s="6">
        <f t="shared" si="198"/>
        <v>109131.82503040812</v>
      </c>
      <c r="AG593">
        <f t="shared" si="210"/>
        <v>80000.645079954193</v>
      </c>
      <c r="AH593">
        <f t="shared" si="211"/>
        <v>228.26701821924564</v>
      </c>
      <c r="AI593">
        <f t="shared" si="212"/>
        <v>1.8571899727833825E-38</v>
      </c>
      <c r="AL593">
        <f t="shared" si="199"/>
        <v>0.96343043107449111</v>
      </c>
      <c r="AM593">
        <f t="shared" si="215"/>
        <v>0.83947557715698551</v>
      </c>
      <c r="AO593">
        <v>591</v>
      </c>
      <c r="AP593">
        <v>0.957004981008029</v>
      </c>
      <c r="AQ593">
        <v>0.82018260355385397</v>
      </c>
    </row>
    <row r="594" spans="14:43" x14ac:dyDescent="0.35">
      <c r="N594">
        <f t="shared" si="195"/>
        <v>592</v>
      </c>
      <c r="O594" s="6">
        <f t="shared" si="196"/>
        <v>260062.8797184196</v>
      </c>
      <c r="P594">
        <f t="shared" si="200"/>
        <v>13.00314398592098</v>
      </c>
      <c r="Q594">
        <f t="shared" si="201"/>
        <v>0</v>
      </c>
      <c r="R594" s="6">
        <f t="shared" si="213"/>
        <v>50.030880252239463</v>
      </c>
      <c r="S594">
        <f t="shared" si="202"/>
        <v>0.30018528151343676</v>
      </c>
      <c r="T594">
        <f t="shared" si="203"/>
        <v>0</v>
      </c>
      <c r="U594" s="6">
        <f t="shared" si="214"/>
        <v>5.9197930382470206E-40</v>
      </c>
      <c r="V594">
        <f t="shared" si="204"/>
        <v>8.8796895573705302E-41</v>
      </c>
      <c r="W594">
        <f t="shared" si="205"/>
        <v>0</v>
      </c>
      <c r="X594">
        <f t="shared" si="197"/>
        <v>260112.91059867185</v>
      </c>
      <c r="Y594" s="6">
        <f t="shared" si="206"/>
        <v>28895.875524268784</v>
      </c>
      <c r="Z594" s="6">
        <f t="shared" si="207"/>
        <v>5.5589866946932682</v>
      </c>
      <c r="AA594" s="6">
        <f t="shared" si="208"/>
        <v>6.5775478202744718E-41</v>
      </c>
      <c r="AB594">
        <f t="shared" si="209"/>
        <v>0</v>
      </c>
      <c r="AD594" s="6">
        <f t="shared" si="198"/>
        <v>109124.9769747736</v>
      </c>
      <c r="AG594">
        <f t="shared" si="210"/>
        <v>79996.645047700193</v>
      </c>
      <c r="AH594">
        <f t="shared" si="211"/>
        <v>226.89741610993016</v>
      </c>
      <c r="AI594">
        <f t="shared" si="212"/>
        <v>1.5786114768658751E-38</v>
      </c>
      <c r="AL594">
        <f t="shared" si="199"/>
        <v>0.96338115036545124</v>
      </c>
      <c r="AM594">
        <f t="shared" si="215"/>
        <v>0.83942289980595075</v>
      </c>
      <c r="AO594">
        <v>592</v>
      </c>
      <c r="AP594">
        <v>0.956884715220638</v>
      </c>
      <c r="AQ594">
        <v>0.82004229346856605</v>
      </c>
    </row>
    <row r="595" spans="14:43" x14ac:dyDescent="0.35">
      <c r="N595">
        <f t="shared" si="195"/>
        <v>593</v>
      </c>
      <c r="O595" s="6">
        <f t="shared" si="196"/>
        <v>260049.87657443367</v>
      </c>
      <c r="P595">
        <f t="shared" si="200"/>
        <v>13.002493828721684</v>
      </c>
      <c r="Q595">
        <f t="shared" si="201"/>
        <v>0</v>
      </c>
      <c r="R595" s="6">
        <f t="shared" si="213"/>
        <v>49.730694970726027</v>
      </c>
      <c r="S595">
        <f t="shared" si="202"/>
        <v>0.29838416982435617</v>
      </c>
      <c r="T595">
        <f t="shared" si="203"/>
        <v>0</v>
      </c>
      <c r="U595" s="6">
        <f t="shared" si="214"/>
        <v>5.0318240825099674E-40</v>
      </c>
      <c r="V595">
        <f t="shared" si="204"/>
        <v>7.5477361237649513E-41</v>
      </c>
      <c r="W595">
        <f t="shared" si="205"/>
        <v>0</v>
      </c>
      <c r="X595">
        <f t="shared" si="197"/>
        <v>260099.6072694044</v>
      </c>
      <c r="Y595" s="6">
        <f t="shared" si="206"/>
        <v>28894.430730492571</v>
      </c>
      <c r="Z595" s="6">
        <f t="shared" si="207"/>
        <v>5.5256327745251088</v>
      </c>
      <c r="AA595" s="6">
        <f t="shared" si="208"/>
        <v>5.5909156472333014E-41</v>
      </c>
      <c r="AB595">
        <f t="shared" si="209"/>
        <v>0</v>
      </c>
      <c r="AD595" s="6">
        <f t="shared" si="198"/>
        <v>109118.13761032818</v>
      </c>
      <c r="AG595">
        <f t="shared" si="210"/>
        <v>79992.645215447803</v>
      </c>
      <c r="AH595">
        <f t="shared" si="211"/>
        <v>225.53603161327058</v>
      </c>
      <c r="AI595">
        <f t="shared" si="212"/>
        <v>1.3418197553359938E-38</v>
      </c>
      <c r="AL595">
        <f t="shared" si="199"/>
        <v>0.9633318787755718</v>
      </c>
      <c r="AM595">
        <f t="shared" si="215"/>
        <v>0.83937028931021673</v>
      </c>
      <c r="AO595">
        <v>593</v>
      </c>
      <c r="AP595">
        <v>0.95682458232694301</v>
      </c>
      <c r="AQ595">
        <v>0.81993204983012402</v>
      </c>
    </row>
    <row r="596" spans="14:43" x14ac:dyDescent="0.35">
      <c r="N596">
        <f t="shared" si="195"/>
        <v>594</v>
      </c>
      <c r="O596" s="6">
        <f t="shared" si="196"/>
        <v>260036.87408060496</v>
      </c>
      <c r="P596">
        <f t="shared" si="200"/>
        <v>13.001843704030248</v>
      </c>
      <c r="Q596">
        <f t="shared" si="201"/>
        <v>0</v>
      </c>
      <c r="R596" s="6">
        <f t="shared" si="213"/>
        <v>49.432310800901668</v>
      </c>
      <c r="S596">
        <f t="shared" si="202"/>
        <v>0.29659386480541</v>
      </c>
      <c r="T596">
        <f t="shared" si="203"/>
        <v>0</v>
      </c>
      <c r="U596" s="6">
        <f t="shared" si="214"/>
        <v>4.2770504701334724E-40</v>
      </c>
      <c r="V596">
        <f t="shared" si="204"/>
        <v>6.4155757052002086E-41</v>
      </c>
      <c r="W596">
        <f t="shared" si="205"/>
        <v>0</v>
      </c>
      <c r="X596">
        <f t="shared" si="197"/>
        <v>260086.30639140587</v>
      </c>
      <c r="Y596" s="6">
        <f t="shared" si="206"/>
        <v>28892.986008956046</v>
      </c>
      <c r="Z596" s="6">
        <f t="shared" si="207"/>
        <v>5.4924789778779584</v>
      </c>
      <c r="AA596" s="6">
        <f t="shared" si="208"/>
        <v>4.7522783001483067E-41</v>
      </c>
      <c r="AB596">
        <f t="shared" si="209"/>
        <v>0</v>
      </c>
      <c r="AD596" s="6">
        <f t="shared" si="198"/>
        <v>109111.30688654454</v>
      </c>
      <c r="AG596">
        <f t="shared" si="210"/>
        <v>79988.645583187026</v>
      </c>
      <c r="AH596">
        <f t="shared" si="211"/>
        <v>224.18281542359097</v>
      </c>
      <c r="AI596">
        <f t="shared" si="212"/>
        <v>1.1405467920355947E-38</v>
      </c>
      <c r="AL596">
        <f t="shared" si="199"/>
        <v>0.96328261626446621</v>
      </c>
      <c r="AM596">
        <f t="shared" si="215"/>
        <v>0.8393177452811118</v>
      </c>
      <c r="AO596">
        <v>594</v>
      </c>
      <c r="AP596">
        <v>0.95673772370271604</v>
      </c>
      <c r="AQ596">
        <v>0.81986189478747995</v>
      </c>
    </row>
    <row r="597" spans="14:43" x14ac:dyDescent="0.35">
      <c r="N597">
        <f t="shared" si="195"/>
        <v>595</v>
      </c>
      <c r="O597" s="6">
        <f t="shared" si="196"/>
        <v>260023.87223690093</v>
      </c>
      <c r="P597">
        <f t="shared" si="200"/>
        <v>13.001193611845048</v>
      </c>
      <c r="Q597">
        <f t="shared" si="201"/>
        <v>0</v>
      </c>
      <c r="R597" s="6">
        <f t="shared" si="213"/>
        <v>49.135716936096259</v>
      </c>
      <c r="S597">
        <f t="shared" si="202"/>
        <v>0.29481430161657757</v>
      </c>
      <c r="T597">
        <f t="shared" si="203"/>
        <v>0</v>
      </c>
      <c r="U597" s="6">
        <f t="shared" si="214"/>
        <v>3.6354928996134515E-40</v>
      </c>
      <c r="V597">
        <f t="shared" si="204"/>
        <v>5.4532393494201769E-41</v>
      </c>
      <c r="W597">
        <f t="shared" si="205"/>
        <v>0</v>
      </c>
      <c r="X597">
        <f t="shared" si="197"/>
        <v>260073.00795383702</v>
      </c>
      <c r="Y597" s="6">
        <f t="shared" si="206"/>
        <v>28891.541359655599</v>
      </c>
      <c r="Z597" s="6">
        <f t="shared" si="207"/>
        <v>5.4595241040106908</v>
      </c>
      <c r="AA597" s="6">
        <f t="shared" si="208"/>
        <v>4.0394365551260608E-41</v>
      </c>
      <c r="AB597">
        <f t="shared" si="209"/>
        <v>0</v>
      </c>
      <c r="AD597" s="6">
        <f t="shared" si="198"/>
        <v>109104.48475319853</v>
      </c>
      <c r="AG597">
        <f t="shared" si="210"/>
        <v>79984.646150907865</v>
      </c>
      <c r="AH597">
        <f t="shared" si="211"/>
        <v>222.83771853104943</v>
      </c>
      <c r="AI597">
        <f t="shared" si="212"/>
        <v>9.6946477323025557E-39</v>
      </c>
      <c r="AL597">
        <f t="shared" si="199"/>
        <v>0.96323336279198901</v>
      </c>
      <c r="AM597">
        <f t="shared" si="215"/>
        <v>0.83926526733229634</v>
      </c>
      <c r="AO597">
        <v>595</v>
      </c>
      <c r="AP597">
        <v>0.95663750221322497</v>
      </c>
      <c r="AQ597">
        <v>0.81974162900008996</v>
      </c>
    </row>
    <row r="598" spans="14:43" x14ac:dyDescent="0.35">
      <c r="N598">
        <f t="shared" si="195"/>
        <v>596</v>
      </c>
      <c r="O598" s="6">
        <f t="shared" si="196"/>
        <v>260010.87104328908</v>
      </c>
      <c r="P598">
        <f t="shared" si="200"/>
        <v>13.000543552164455</v>
      </c>
      <c r="Q598">
        <f t="shared" si="201"/>
        <v>0</v>
      </c>
      <c r="R598" s="6">
        <f t="shared" si="213"/>
        <v>48.840902634479683</v>
      </c>
      <c r="S598">
        <f t="shared" si="202"/>
        <v>0.2930454158068781</v>
      </c>
      <c r="T598">
        <f t="shared" si="203"/>
        <v>0</v>
      </c>
      <c r="U598" s="6">
        <f t="shared" si="214"/>
        <v>3.0901689646714336E-40</v>
      </c>
      <c r="V598">
        <f t="shared" si="204"/>
        <v>4.6352534470071503E-41</v>
      </c>
      <c r="W598">
        <f t="shared" si="205"/>
        <v>0</v>
      </c>
      <c r="X598">
        <f t="shared" si="197"/>
        <v>260059.71194592357</v>
      </c>
      <c r="Y598" s="6">
        <f t="shared" si="206"/>
        <v>28890.096782587618</v>
      </c>
      <c r="Z598" s="6">
        <f t="shared" si="207"/>
        <v>5.4267669593866268</v>
      </c>
      <c r="AA598" s="6">
        <f t="shared" si="208"/>
        <v>3.4335210718571518E-41</v>
      </c>
      <c r="AB598">
        <f t="shared" si="209"/>
        <v>0</v>
      </c>
      <c r="AD598" s="6">
        <f t="shared" si="198"/>
        <v>109097.67116036719</v>
      </c>
      <c r="AG598">
        <f t="shared" si="210"/>
        <v>79980.646918600323</v>
      </c>
      <c r="AH598">
        <f t="shared" si="211"/>
        <v>221.50069221986314</v>
      </c>
      <c r="AI598">
        <f t="shared" si="212"/>
        <v>8.2404505724571725E-39</v>
      </c>
      <c r="AL598">
        <f t="shared" si="199"/>
        <v>0.96318411831823547</v>
      </c>
      <c r="AM598">
        <f t="shared" si="215"/>
        <v>0.83921285507974763</v>
      </c>
      <c r="AO598">
        <v>596</v>
      </c>
      <c r="AP598">
        <v>0.95657402860321405</v>
      </c>
      <c r="AQ598">
        <v>0.81966145180849603</v>
      </c>
    </row>
    <row r="599" spans="14:43" x14ac:dyDescent="0.35">
      <c r="N599">
        <f t="shared" si="195"/>
        <v>597</v>
      </c>
      <c r="O599" s="6">
        <f t="shared" si="196"/>
        <v>259997.87049973692</v>
      </c>
      <c r="P599">
        <f t="shared" si="200"/>
        <v>12.999893524986847</v>
      </c>
      <c r="Q599">
        <f t="shared" si="201"/>
        <v>0</v>
      </c>
      <c r="R599" s="6">
        <f t="shared" si="213"/>
        <v>48.547857218672803</v>
      </c>
      <c r="S599">
        <f t="shared" si="202"/>
        <v>0.29128714331203681</v>
      </c>
      <c r="T599">
        <f t="shared" si="203"/>
        <v>0</v>
      </c>
      <c r="U599" s="6">
        <f t="shared" si="214"/>
        <v>2.6266436199707185E-40</v>
      </c>
      <c r="V599">
        <f t="shared" si="204"/>
        <v>3.9399654299560778E-41</v>
      </c>
      <c r="W599">
        <f t="shared" si="205"/>
        <v>0</v>
      </c>
      <c r="X599">
        <f t="shared" si="197"/>
        <v>260046.4183569556</v>
      </c>
      <c r="Y599" s="6">
        <f t="shared" si="206"/>
        <v>28888.65227774849</v>
      </c>
      <c r="Z599" s="6">
        <f t="shared" si="207"/>
        <v>5.3942063576303072</v>
      </c>
      <c r="AA599" s="6">
        <f t="shared" si="208"/>
        <v>2.9184929110785792E-41</v>
      </c>
      <c r="AB599">
        <f t="shared" si="209"/>
        <v>0</v>
      </c>
      <c r="AD599" s="6">
        <f t="shared" si="198"/>
        <v>109090.86605842705</v>
      </c>
      <c r="AG599">
        <f t="shared" si="210"/>
        <v>79976.647886254388</v>
      </c>
      <c r="AH599">
        <f t="shared" si="211"/>
        <v>220.17168806654396</v>
      </c>
      <c r="AI599">
        <f t="shared" si="212"/>
        <v>7.0043829865885971E-39</v>
      </c>
      <c r="AL599">
        <f t="shared" si="199"/>
        <v>0.96313488280353932</v>
      </c>
      <c r="AM599">
        <f t="shared" si="215"/>
        <v>0.83916050814174659</v>
      </c>
      <c r="AO599">
        <v>597</v>
      </c>
      <c r="AP599">
        <v>0.95650053284425296</v>
      </c>
      <c r="AQ599">
        <v>0.81948105312741104</v>
      </c>
    </row>
    <row r="600" spans="14:43" x14ac:dyDescent="0.35">
      <c r="N600">
        <f t="shared" si="195"/>
        <v>598</v>
      </c>
      <c r="O600" s="6">
        <f t="shared" si="196"/>
        <v>259984.87060621195</v>
      </c>
      <c r="P600">
        <f t="shared" si="200"/>
        <v>12.999243530310597</v>
      </c>
      <c r="Q600">
        <f t="shared" si="201"/>
        <v>0</v>
      </c>
      <c r="R600" s="6">
        <f t="shared" si="213"/>
        <v>48.256570075360763</v>
      </c>
      <c r="S600">
        <f t="shared" si="202"/>
        <v>0.28953942045216458</v>
      </c>
      <c r="T600">
        <f t="shared" si="203"/>
        <v>0</v>
      </c>
      <c r="U600" s="6">
        <f t="shared" si="214"/>
        <v>2.2326470769751107E-40</v>
      </c>
      <c r="V600">
        <f t="shared" si="204"/>
        <v>3.3489706154626662E-41</v>
      </c>
      <c r="W600">
        <f t="shared" si="205"/>
        <v>0</v>
      </c>
      <c r="X600">
        <f t="shared" si="197"/>
        <v>260033.12717628729</v>
      </c>
      <c r="Y600" s="6">
        <f t="shared" si="206"/>
        <v>28887.207845134602</v>
      </c>
      <c r="Z600" s="6">
        <f t="shared" si="207"/>
        <v>5.3618411194845255</v>
      </c>
      <c r="AA600" s="6">
        <f t="shared" si="208"/>
        <v>2.4807189744167923E-41</v>
      </c>
      <c r="AB600">
        <f t="shared" si="209"/>
        <v>0</v>
      </c>
      <c r="AD600" s="6">
        <f t="shared" si="198"/>
        <v>109084.06939805231</v>
      </c>
      <c r="AG600">
        <f t="shared" si="210"/>
        <v>79972.649053860077</v>
      </c>
      <c r="AH600">
        <f t="shared" si="211"/>
        <v>218.85065793814471</v>
      </c>
      <c r="AI600">
        <f t="shared" si="212"/>
        <v>5.9537255386003077E-39</v>
      </c>
      <c r="AL600">
        <f t="shared" si="199"/>
        <v>0.96308565620847142</v>
      </c>
      <c r="AM600">
        <f t="shared" si="215"/>
        <v>0.83910822613886393</v>
      </c>
      <c r="AO600">
        <v>598</v>
      </c>
      <c r="AP600">
        <v>0.95642703708529297</v>
      </c>
      <c r="AQ600">
        <v>0.81935076519107097</v>
      </c>
    </row>
    <row r="601" spans="14:43" x14ac:dyDescent="0.35">
      <c r="N601">
        <f t="shared" si="195"/>
        <v>599</v>
      </c>
      <c r="O601" s="6">
        <f t="shared" si="196"/>
        <v>259971.87136268165</v>
      </c>
      <c r="P601">
        <f t="shared" si="200"/>
        <v>12.998593568134083</v>
      </c>
      <c r="Q601">
        <f t="shared" si="201"/>
        <v>0</v>
      </c>
      <c r="R601" s="6">
        <f t="shared" si="213"/>
        <v>47.967030654908598</v>
      </c>
      <c r="S601">
        <f t="shared" si="202"/>
        <v>0.28780218392945162</v>
      </c>
      <c r="T601">
        <f t="shared" si="203"/>
        <v>0</v>
      </c>
      <c r="U601" s="6">
        <f t="shared" si="214"/>
        <v>1.8977500154288443E-40</v>
      </c>
      <c r="V601">
        <f t="shared" si="204"/>
        <v>2.8466250231432663E-41</v>
      </c>
      <c r="W601">
        <f t="shared" si="205"/>
        <v>0</v>
      </c>
      <c r="X601">
        <f t="shared" si="197"/>
        <v>260019.83839333654</v>
      </c>
      <c r="Y601" s="6">
        <f t="shared" si="206"/>
        <v>28885.763484742347</v>
      </c>
      <c r="Z601" s="6">
        <f t="shared" si="207"/>
        <v>5.3296700727676187</v>
      </c>
      <c r="AA601" s="6">
        <f t="shared" si="208"/>
        <v>2.1086111282542734E-41</v>
      </c>
      <c r="AB601">
        <f t="shared" si="209"/>
        <v>0</v>
      </c>
      <c r="AD601" s="6">
        <f t="shared" si="198"/>
        <v>109077.28113021301</v>
      </c>
      <c r="AG601">
        <f t="shared" si="210"/>
        <v>79968.650421407379</v>
      </c>
      <c r="AH601">
        <f t="shared" si="211"/>
        <v>217.53755399051585</v>
      </c>
      <c r="AI601">
        <f t="shared" si="212"/>
        <v>5.0606667078102616E-39</v>
      </c>
      <c r="AL601">
        <f t="shared" si="199"/>
        <v>0.96303643849383902</v>
      </c>
      <c r="AM601">
        <f t="shared" si="215"/>
        <v>0.83905600869394625</v>
      </c>
      <c r="AO601">
        <v>599</v>
      </c>
      <c r="AP601">
        <v>0.95630677129790198</v>
      </c>
      <c r="AQ601">
        <v>0.81927058799947905</v>
      </c>
    </row>
    <row r="602" spans="14:43" x14ac:dyDescent="0.35">
      <c r="N602">
        <f t="shared" si="195"/>
        <v>600</v>
      </c>
      <c r="O602" s="6">
        <f t="shared" si="196"/>
        <v>259958.87276911351</v>
      </c>
      <c r="P602">
        <f t="shared" si="200"/>
        <v>12.997943638455677</v>
      </c>
      <c r="Q602">
        <f t="shared" si="201"/>
        <v>0</v>
      </c>
      <c r="R602" s="6">
        <f t="shared" si="213"/>
        <v>47.679228470979147</v>
      </c>
      <c r="S602">
        <f t="shared" si="202"/>
        <v>0.28607537082587486</v>
      </c>
      <c r="T602">
        <f t="shared" si="203"/>
        <v>0</v>
      </c>
      <c r="U602" s="6">
        <f t="shared" si="214"/>
        <v>1.6130875131145177E-40</v>
      </c>
      <c r="V602">
        <f t="shared" si="204"/>
        <v>2.4196312696717764E-41</v>
      </c>
      <c r="W602">
        <f t="shared" si="205"/>
        <v>0</v>
      </c>
      <c r="X602">
        <f t="shared" si="197"/>
        <v>260006.55199758449</v>
      </c>
      <c r="Y602" s="6">
        <f t="shared" si="206"/>
        <v>28884.319196568111</v>
      </c>
      <c r="Z602" s="6">
        <f t="shared" si="207"/>
        <v>5.2976920523310129</v>
      </c>
      <c r="AA602" s="6">
        <f t="shared" si="208"/>
        <v>1.7923194590161324E-41</v>
      </c>
      <c r="AB602">
        <f t="shared" si="209"/>
        <v>0</v>
      </c>
      <c r="AD602" s="6">
        <f t="shared" si="198"/>
        <v>109070.50120617333</v>
      </c>
      <c r="AG602">
        <f t="shared" si="210"/>
        <v>79964.651988886311</v>
      </c>
      <c r="AH602">
        <f t="shared" si="211"/>
        <v>216.23232866657276</v>
      </c>
      <c r="AI602">
        <f t="shared" si="212"/>
        <v>4.3015667016387228E-39</v>
      </c>
      <c r="AL602">
        <f t="shared" si="199"/>
        <v>0.96298722962068328</v>
      </c>
      <c r="AM602">
        <f t="shared" si="215"/>
        <v>0.83900385543210254</v>
      </c>
      <c r="AO602">
        <v>600</v>
      </c>
      <c r="AP602">
        <v>0.95622659410630895</v>
      </c>
      <c r="AQ602">
        <v>0.81915032221208794</v>
      </c>
    </row>
    <row r="603" spans="14:43" x14ac:dyDescent="0.35">
      <c r="N603">
        <f t="shared" si="195"/>
        <v>601</v>
      </c>
      <c r="O603" s="6">
        <f t="shared" si="196"/>
        <v>259945.87482547507</v>
      </c>
      <c r="P603">
        <f t="shared" si="200"/>
        <v>12.997293741273754</v>
      </c>
      <c r="Q603">
        <f t="shared" si="201"/>
        <v>0</v>
      </c>
      <c r="R603" s="6">
        <f t="shared" si="213"/>
        <v>47.39315310015327</v>
      </c>
      <c r="S603">
        <f t="shared" si="202"/>
        <v>0.28435891860091961</v>
      </c>
      <c r="T603">
        <f t="shared" si="203"/>
        <v>0</v>
      </c>
      <c r="U603" s="6">
        <f t="shared" si="214"/>
        <v>1.3711243861473401E-40</v>
      </c>
      <c r="V603">
        <f t="shared" si="204"/>
        <v>2.0566865792210102E-41</v>
      </c>
      <c r="W603">
        <f t="shared" si="205"/>
        <v>0</v>
      </c>
      <c r="X603">
        <f t="shared" si="197"/>
        <v>259993.26797857523</v>
      </c>
      <c r="Y603" s="6">
        <f t="shared" si="206"/>
        <v>28882.874980608281</v>
      </c>
      <c r="Z603" s="6">
        <f t="shared" si="207"/>
        <v>5.2659059000170272</v>
      </c>
      <c r="AA603" s="6">
        <f t="shared" si="208"/>
        <v>1.5234715401637125E-41</v>
      </c>
      <c r="AB603">
        <f t="shared" si="209"/>
        <v>0</v>
      </c>
      <c r="AD603" s="6">
        <f t="shared" si="198"/>
        <v>109063.72957748974</v>
      </c>
      <c r="AG603">
        <f t="shared" si="210"/>
        <v>79960.653756286862</v>
      </c>
      <c r="AH603">
        <f t="shared" si="211"/>
        <v>214.93493469457331</v>
      </c>
      <c r="AI603">
        <f t="shared" si="212"/>
        <v>3.6563316963929142E-39</v>
      </c>
      <c r="AL603">
        <f t="shared" si="199"/>
        <v>0.96293802955027863</v>
      </c>
      <c r="AM603">
        <f t="shared" si="215"/>
        <v>0.83895176598069032</v>
      </c>
      <c r="AO603">
        <v>601</v>
      </c>
      <c r="AP603">
        <v>0.95614641691471502</v>
      </c>
      <c r="AQ603">
        <v>0.81902003427574899</v>
      </c>
    </row>
    <row r="604" spans="14:43" x14ac:dyDescent="0.35">
      <c r="N604">
        <f t="shared" si="195"/>
        <v>602</v>
      </c>
      <c r="O604" s="6">
        <f t="shared" si="196"/>
        <v>259932.8775317338</v>
      </c>
      <c r="P604">
        <f t="shared" si="200"/>
        <v>12.99664387658669</v>
      </c>
      <c r="Q604">
        <f t="shared" si="201"/>
        <v>0</v>
      </c>
      <c r="R604" s="6">
        <f t="shared" si="213"/>
        <v>47.108794181552348</v>
      </c>
      <c r="S604">
        <f t="shared" si="202"/>
        <v>0.28265276508931408</v>
      </c>
      <c r="T604">
        <f t="shared" si="203"/>
        <v>0</v>
      </c>
      <c r="U604" s="6">
        <f t="shared" si="214"/>
        <v>1.1654557282252392E-40</v>
      </c>
      <c r="V604">
        <f t="shared" si="204"/>
        <v>1.7481835923378587E-41</v>
      </c>
      <c r="W604">
        <f t="shared" si="205"/>
        <v>0</v>
      </c>
      <c r="X604">
        <f t="shared" si="197"/>
        <v>259979.98632591535</v>
      </c>
      <c r="Y604" s="6">
        <f t="shared" si="206"/>
        <v>28881.43083685925</v>
      </c>
      <c r="Z604" s="6">
        <f t="shared" si="207"/>
        <v>5.2343104646169252</v>
      </c>
      <c r="AA604" s="6">
        <f t="shared" si="208"/>
        <v>1.2949508091391557E-41</v>
      </c>
      <c r="AB604">
        <f t="shared" si="209"/>
        <v>0</v>
      </c>
      <c r="AD604" s="6">
        <f t="shared" si="198"/>
        <v>109056.96619600931</v>
      </c>
      <c r="AG604">
        <f t="shared" si="210"/>
        <v>79956.655723599048</v>
      </c>
      <c r="AH604">
        <f t="shared" si="211"/>
        <v>213.64532508640588</v>
      </c>
      <c r="AI604">
        <f t="shared" si="212"/>
        <v>3.107881941933977E-39</v>
      </c>
      <c r="AL604">
        <f t="shared" si="199"/>
        <v>0.96288883824413096</v>
      </c>
      <c r="AM604">
        <f t="shared" si="215"/>
        <v>0.83889973996930234</v>
      </c>
      <c r="AO604">
        <v>602</v>
      </c>
      <c r="AP604">
        <v>0.95607292115575504</v>
      </c>
      <c r="AQ604">
        <v>0.81892983493520699</v>
      </c>
    </row>
    <row r="605" spans="14:43" x14ac:dyDescent="0.35">
      <c r="N605">
        <f t="shared" si="195"/>
        <v>603</v>
      </c>
      <c r="O605" s="6">
        <f t="shared" si="196"/>
        <v>259919.8808878572</v>
      </c>
      <c r="P605">
        <f t="shared" si="200"/>
        <v>12.995994044392861</v>
      </c>
      <c r="Q605">
        <f t="shared" si="201"/>
        <v>0</v>
      </c>
      <c r="R605" s="6">
        <f t="shared" si="213"/>
        <v>46.826141416463031</v>
      </c>
      <c r="S605">
        <f t="shared" si="202"/>
        <v>0.28095684849877817</v>
      </c>
      <c r="T605">
        <f t="shared" si="203"/>
        <v>0</v>
      </c>
      <c r="U605" s="6">
        <f t="shared" si="214"/>
        <v>9.9063736899145336E-41</v>
      </c>
      <c r="V605">
        <f t="shared" si="204"/>
        <v>1.4859560534871801E-41</v>
      </c>
      <c r="W605">
        <f t="shared" si="205"/>
        <v>0</v>
      </c>
      <c r="X605">
        <f t="shared" si="197"/>
        <v>259966.70702927368</v>
      </c>
      <c r="Y605" s="6">
        <f t="shared" si="206"/>
        <v>28879.986765317408</v>
      </c>
      <c r="Z605" s="6">
        <f t="shared" si="207"/>
        <v>5.202904601829224</v>
      </c>
      <c r="AA605" s="6">
        <f t="shared" si="208"/>
        <v>1.1007081877682824E-41</v>
      </c>
      <c r="AB605">
        <f t="shared" si="209"/>
        <v>0</v>
      </c>
      <c r="AD605" s="6">
        <f t="shared" si="198"/>
        <v>109050.21101386799</v>
      </c>
      <c r="AG605">
        <f t="shared" si="210"/>
        <v>79952.657890812872</v>
      </c>
      <c r="AH605">
        <f t="shared" si="211"/>
        <v>212.36345313588745</v>
      </c>
      <c r="AI605">
        <f t="shared" si="212"/>
        <v>2.6416996506438803E-39</v>
      </c>
      <c r="AL605">
        <f t="shared" si="199"/>
        <v>0.96283965566397656</v>
      </c>
      <c r="AM605">
        <f t="shared" si="215"/>
        <v>0.83884777702975377</v>
      </c>
      <c r="AO605">
        <v>603</v>
      </c>
      <c r="AP605">
        <v>0.95601946969469298</v>
      </c>
      <c r="AQ605">
        <v>0.81879954699886703</v>
      </c>
    </row>
    <row r="606" spans="14:43" x14ac:dyDescent="0.35">
      <c r="N606">
        <f t="shared" si="195"/>
        <v>604</v>
      </c>
      <c r="O606" s="6">
        <f t="shared" si="196"/>
        <v>259906.88489381282</v>
      </c>
      <c r="P606">
        <f t="shared" si="200"/>
        <v>12.995344244690642</v>
      </c>
      <c r="Q606">
        <f t="shared" si="201"/>
        <v>0</v>
      </c>
      <c r="R606" s="6">
        <f t="shared" si="213"/>
        <v>46.545184567964256</v>
      </c>
      <c r="S606">
        <f t="shared" si="202"/>
        <v>0.27927110740778555</v>
      </c>
      <c r="T606">
        <f t="shared" si="203"/>
        <v>0</v>
      </c>
      <c r="U606" s="6">
        <f t="shared" si="214"/>
        <v>8.4204176364273533E-41</v>
      </c>
      <c r="V606">
        <f t="shared" si="204"/>
        <v>1.263062645464103E-41</v>
      </c>
      <c r="W606">
        <f t="shared" si="205"/>
        <v>0</v>
      </c>
      <c r="X606">
        <f t="shared" si="197"/>
        <v>259953.4300783808</v>
      </c>
      <c r="Y606" s="6">
        <f t="shared" si="206"/>
        <v>28878.542765979142</v>
      </c>
      <c r="Z606" s="6">
        <f t="shared" si="207"/>
        <v>5.1716871742182491</v>
      </c>
      <c r="AA606" s="6">
        <f t="shared" si="208"/>
        <v>9.3560195960304E-42</v>
      </c>
      <c r="AB606">
        <f t="shared" si="209"/>
        <v>0</v>
      </c>
      <c r="AD606" s="6">
        <f t="shared" si="198"/>
        <v>109043.46398348876</v>
      </c>
      <c r="AG606">
        <f t="shared" si="210"/>
        <v>79948.660257918338</v>
      </c>
      <c r="AH606">
        <f t="shared" si="211"/>
        <v>211.08927241707212</v>
      </c>
      <c r="AI606">
        <f t="shared" si="212"/>
        <v>2.2454447030472982E-39</v>
      </c>
      <c r="AL606">
        <f t="shared" si="199"/>
        <v>0.96279048177178073</v>
      </c>
      <c r="AM606">
        <f t="shared" si="215"/>
        <v>0.83879587679606737</v>
      </c>
      <c r="AO606">
        <v>604</v>
      </c>
      <c r="AP606">
        <v>0.95595933680099698</v>
      </c>
      <c r="AQ606">
        <v>0.818689303360426</v>
      </c>
    </row>
    <row r="607" spans="14:43" x14ac:dyDescent="0.35">
      <c r="N607">
        <f t="shared" si="195"/>
        <v>605</v>
      </c>
      <c r="O607" s="6">
        <f t="shared" si="196"/>
        <v>259893.88954956812</v>
      </c>
      <c r="P607">
        <f t="shared" si="200"/>
        <v>12.994694477478406</v>
      </c>
      <c r="Q607">
        <f t="shared" si="201"/>
        <v>0</v>
      </c>
      <c r="R607" s="6">
        <f t="shared" si="213"/>
        <v>46.265913460556469</v>
      </c>
      <c r="S607">
        <f t="shared" si="202"/>
        <v>0.27759548076333884</v>
      </c>
      <c r="T607">
        <f t="shared" si="203"/>
        <v>0</v>
      </c>
      <c r="U607" s="6">
        <f t="shared" si="214"/>
        <v>7.1573549909632503E-41</v>
      </c>
      <c r="V607">
        <f t="shared" si="204"/>
        <v>1.0736032486444875E-41</v>
      </c>
      <c r="W607">
        <f t="shared" si="205"/>
        <v>0</v>
      </c>
      <c r="X607">
        <f t="shared" si="197"/>
        <v>259940.15546302867</v>
      </c>
      <c r="Y607" s="6">
        <f t="shared" si="206"/>
        <v>28877.098838840844</v>
      </c>
      <c r="Z607" s="6">
        <f t="shared" si="207"/>
        <v>5.1406570511729397</v>
      </c>
      <c r="AA607" s="6">
        <f t="shared" si="208"/>
        <v>7.9526166566258407E-42</v>
      </c>
      <c r="AB607">
        <f t="shared" si="209"/>
        <v>0</v>
      </c>
      <c r="AD607" s="6">
        <f t="shared" si="198"/>
        <v>109036.72505758004</v>
      </c>
      <c r="AG607">
        <f t="shared" si="210"/>
        <v>79944.662824905448</v>
      </c>
      <c r="AH607">
        <f t="shared" si="211"/>
        <v>209.82273678256968</v>
      </c>
      <c r="AI607">
        <f t="shared" si="212"/>
        <v>1.9086279975902036E-39</v>
      </c>
      <c r="AL607">
        <f t="shared" si="199"/>
        <v>0.96274131652973582</v>
      </c>
      <c r="AM607">
        <f t="shared" si="215"/>
        <v>0.83874403890446192</v>
      </c>
      <c r="AO607">
        <v>605</v>
      </c>
      <c r="AP607">
        <v>0.95585577459519</v>
      </c>
      <c r="AQ607">
        <v>0.81858908187093404</v>
      </c>
    </row>
    <row r="608" spans="14:43" x14ac:dyDescent="0.35">
      <c r="N608">
        <f t="shared" si="195"/>
        <v>606</v>
      </c>
      <c r="O608" s="6">
        <f t="shared" si="196"/>
        <v>259880.89485509065</v>
      </c>
      <c r="P608">
        <f t="shared" si="200"/>
        <v>12.994044742754532</v>
      </c>
      <c r="Q608">
        <f t="shared" si="201"/>
        <v>0</v>
      </c>
      <c r="R608" s="6">
        <f t="shared" si="213"/>
        <v>45.988317979793131</v>
      </c>
      <c r="S608">
        <f t="shared" si="202"/>
        <v>0.27592990787875876</v>
      </c>
      <c r="T608">
        <f t="shared" si="203"/>
        <v>0</v>
      </c>
      <c r="U608" s="6">
        <f t="shared" si="214"/>
        <v>6.0837517423187627E-41</v>
      </c>
      <c r="V608">
        <f t="shared" si="204"/>
        <v>9.125627613478144E-42</v>
      </c>
      <c r="W608">
        <f t="shared" si="205"/>
        <v>0</v>
      </c>
      <c r="X608">
        <f t="shared" si="197"/>
        <v>259926.88317307044</v>
      </c>
      <c r="Y608" s="6">
        <f t="shared" si="206"/>
        <v>28875.654983898901</v>
      </c>
      <c r="Z608" s="6">
        <f t="shared" si="207"/>
        <v>5.109813108865902</v>
      </c>
      <c r="AA608" s="6">
        <f t="shared" si="208"/>
        <v>6.7597241581319645E-42</v>
      </c>
      <c r="AB608">
        <f t="shared" si="209"/>
        <v>0</v>
      </c>
      <c r="AD608" s="6">
        <f t="shared" si="198"/>
        <v>109029.99418913385</v>
      </c>
      <c r="AG608">
        <f t="shared" si="210"/>
        <v>79940.665591764206</v>
      </c>
      <c r="AH608">
        <f t="shared" si="211"/>
        <v>208.56380036187426</v>
      </c>
      <c r="AI608">
        <f t="shared" si="212"/>
        <v>1.6223337979516732E-39</v>
      </c>
      <c r="AL608">
        <f t="shared" si="199"/>
        <v>0.96269215990026091</v>
      </c>
      <c r="AM608">
        <f t="shared" si="215"/>
        <v>0.83869226299333732</v>
      </c>
      <c r="AO608">
        <v>606</v>
      </c>
      <c r="AP608">
        <v>0.95578227883622802</v>
      </c>
      <c r="AQ608">
        <v>0.81849888253039105</v>
      </c>
    </row>
    <row r="609" spans="14:43" x14ac:dyDescent="0.35">
      <c r="N609">
        <f t="shared" si="195"/>
        <v>607</v>
      </c>
      <c r="O609" s="6">
        <f t="shared" si="196"/>
        <v>259867.9008103479</v>
      </c>
      <c r="P609">
        <f t="shared" si="200"/>
        <v>12.993395040517395</v>
      </c>
      <c r="Q609">
        <f t="shared" si="201"/>
        <v>0</v>
      </c>
      <c r="R609" s="6">
        <f t="shared" si="213"/>
        <v>45.712388071914368</v>
      </c>
      <c r="S609">
        <f t="shared" si="202"/>
        <v>0.27427432843148619</v>
      </c>
      <c r="T609">
        <f t="shared" si="203"/>
        <v>0</v>
      </c>
      <c r="U609" s="6">
        <f t="shared" si="214"/>
        <v>5.1711889809709485E-41</v>
      </c>
      <c r="V609">
        <f t="shared" si="204"/>
        <v>7.7567834714564226E-42</v>
      </c>
      <c r="W609">
        <f t="shared" si="205"/>
        <v>0</v>
      </c>
      <c r="X609">
        <f t="shared" si="197"/>
        <v>259913.6131984198</v>
      </c>
      <c r="Y609" s="6">
        <f t="shared" si="206"/>
        <v>28874.211201149705</v>
      </c>
      <c r="Z609" s="6">
        <f t="shared" si="207"/>
        <v>5.0791542302127066</v>
      </c>
      <c r="AA609" s="6">
        <f t="shared" si="208"/>
        <v>5.7457655344121694E-42</v>
      </c>
      <c r="AB609">
        <f t="shared" si="209"/>
        <v>0</v>
      </c>
      <c r="AD609" s="6">
        <f t="shared" si="198"/>
        <v>109023.27133142424</v>
      </c>
      <c r="AG609">
        <f t="shared" si="210"/>
        <v>79936.668558484613</v>
      </c>
      <c r="AH609">
        <f t="shared" si="211"/>
        <v>207.31241755970302</v>
      </c>
      <c r="AI609">
        <f t="shared" si="212"/>
        <v>1.3789837282589223E-39</v>
      </c>
      <c r="AL609">
        <f t="shared" si="199"/>
        <v>0.96264301184599921</v>
      </c>
      <c r="AM609">
        <f t="shared" si="215"/>
        <v>0.83864054870326343</v>
      </c>
      <c r="AO609">
        <v>607</v>
      </c>
      <c r="AP609">
        <v>0.95571212379358395</v>
      </c>
      <c r="AQ609">
        <v>0.81839866104089998</v>
      </c>
    </row>
    <row r="610" spans="14:43" x14ac:dyDescent="0.35">
      <c r="N610">
        <f t="shared" si="195"/>
        <v>608</v>
      </c>
      <c r="O610" s="6">
        <f t="shared" si="196"/>
        <v>259854.90741530739</v>
      </c>
      <c r="P610">
        <f t="shared" si="200"/>
        <v>12.99274537076537</v>
      </c>
      <c r="Q610">
        <f t="shared" si="201"/>
        <v>0</v>
      </c>
      <c r="R610" s="6">
        <f t="shared" si="213"/>
        <v>45.43811374348288</v>
      </c>
      <c r="S610">
        <f t="shared" si="202"/>
        <v>0.27262868246089728</v>
      </c>
      <c r="T610">
        <f t="shared" si="203"/>
        <v>0</v>
      </c>
      <c r="U610" s="6">
        <f t="shared" si="214"/>
        <v>4.3955106338253064E-41</v>
      </c>
      <c r="V610">
        <f t="shared" si="204"/>
        <v>6.5932659507379596E-42</v>
      </c>
      <c r="W610">
        <f t="shared" si="205"/>
        <v>0</v>
      </c>
      <c r="X610">
        <f t="shared" si="197"/>
        <v>259900.34552905086</v>
      </c>
      <c r="Y610" s="6">
        <f t="shared" si="206"/>
        <v>28872.767490589646</v>
      </c>
      <c r="Z610" s="6">
        <f t="shared" si="207"/>
        <v>5.0486793048314302</v>
      </c>
      <c r="AA610" s="6">
        <f t="shared" si="208"/>
        <v>4.8839007042503442E-42</v>
      </c>
      <c r="AB610">
        <f t="shared" si="209"/>
        <v>0</v>
      </c>
      <c r="AD610" s="6">
        <f t="shared" si="198"/>
        <v>109016.5564380055</v>
      </c>
      <c r="AG610">
        <f t="shared" si="210"/>
        <v>79932.671725056687</v>
      </c>
      <c r="AH610">
        <f t="shared" si="211"/>
        <v>206.06854305434481</v>
      </c>
      <c r="AI610">
        <f t="shared" si="212"/>
        <v>1.172136169020084E-39</v>
      </c>
      <c r="AL610">
        <f t="shared" si="199"/>
        <v>0.96259387232981797</v>
      </c>
      <c r="AM610">
        <f t="shared" si="215"/>
        <v>0.83858889567696537</v>
      </c>
      <c r="AO610">
        <v>608</v>
      </c>
      <c r="AP610">
        <v>0.95562526516935797</v>
      </c>
      <c r="AQ610">
        <v>0.81828841740245895</v>
      </c>
    </row>
    <row r="611" spans="14:43" x14ac:dyDescent="0.35">
      <c r="N611">
        <f t="shared" si="195"/>
        <v>609</v>
      </c>
      <c r="O611" s="6">
        <f t="shared" si="196"/>
        <v>259841.91466993661</v>
      </c>
      <c r="P611">
        <f t="shared" si="200"/>
        <v>12.99209573349683</v>
      </c>
      <c r="Q611">
        <f t="shared" si="201"/>
        <v>0</v>
      </c>
      <c r="R611" s="6">
        <f t="shared" si="213"/>
        <v>45.165485061021982</v>
      </c>
      <c r="S611">
        <f t="shared" si="202"/>
        <v>0.27099291036613188</v>
      </c>
      <c r="T611">
        <f t="shared" si="203"/>
        <v>0</v>
      </c>
      <c r="U611" s="6">
        <f t="shared" si="214"/>
        <v>3.7361840387515103E-41</v>
      </c>
      <c r="V611">
        <f t="shared" si="204"/>
        <v>5.6042760581272654E-42</v>
      </c>
      <c r="W611">
        <f t="shared" si="205"/>
        <v>0</v>
      </c>
      <c r="X611">
        <f t="shared" si="197"/>
        <v>259887.08015499765</v>
      </c>
      <c r="Y611" s="6">
        <f t="shared" si="206"/>
        <v>28871.323852215115</v>
      </c>
      <c r="Z611" s="6">
        <f t="shared" si="207"/>
        <v>5.0183872290024416</v>
      </c>
      <c r="AA611" s="6">
        <f t="shared" si="208"/>
        <v>4.1513155986127929E-42</v>
      </c>
      <c r="AB611">
        <f t="shared" si="209"/>
        <v>0</v>
      </c>
      <c r="AD611" s="6">
        <f t="shared" si="198"/>
        <v>109009.84946271057</v>
      </c>
      <c r="AG611">
        <f t="shared" si="210"/>
        <v>79928.675091470432</v>
      </c>
      <c r="AH611">
        <f t="shared" si="211"/>
        <v>204.83213179601876</v>
      </c>
      <c r="AI611">
        <f t="shared" si="212"/>
        <v>9.9631574366707132E-40</v>
      </c>
      <c r="AL611">
        <f t="shared" si="199"/>
        <v>0.96254474131480605</v>
      </c>
      <c r="AM611">
        <f t="shared" si="215"/>
        <v>0.83853730355931211</v>
      </c>
      <c r="AO611">
        <v>609</v>
      </c>
      <c r="AP611">
        <v>0.95550165866565095</v>
      </c>
      <c r="AQ611">
        <v>0.81817817376401702</v>
      </c>
    </row>
    <row r="612" spans="14:43" x14ac:dyDescent="0.35">
      <c r="N612">
        <f t="shared" si="195"/>
        <v>610</v>
      </c>
      <c r="O612" s="6">
        <f t="shared" si="196"/>
        <v>259828.92257420311</v>
      </c>
      <c r="P612">
        <f t="shared" si="200"/>
        <v>12.991446128710157</v>
      </c>
      <c r="Q612">
        <f t="shared" si="201"/>
        <v>0</v>
      </c>
      <c r="R612" s="6">
        <f t="shared" si="213"/>
        <v>44.89449215065585</v>
      </c>
      <c r="S612">
        <f t="shared" si="202"/>
        <v>0.26936695290393509</v>
      </c>
      <c r="T612">
        <f t="shared" si="203"/>
        <v>0</v>
      </c>
      <c r="U612" s="6">
        <f t="shared" si="214"/>
        <v>3.175756432938784E-41</v>
      </c>
      <c r="V612">
        <f t="shared" si="204"/>
        <v>4.763634649408176E-42</v>
      </c>
      <c r="W612">
        <f t="shared" si="205"/>
        <v>0</v>
      </c>
      <c r="X612">
        <f t="shared" si="197"/>
        <v>259873.81706635377</v>
      </c>
      <c r="Y612" s="6">
        <f t="shared" si="206"/>
        <v>28869.880286022504</v>
      </c>
      <c r="Z612" s="6">
        <f t="shared" si="207"/>
        <v>4.9882769056284273</v>
      </c>
      <c r="AA612" s="6">
        <f t="shared" si="208"/>
        <v>3.528618258820874E-42</v>
      </c>
      <c r="AB612">
        <f t="shared" si="209"/>
        <v>0</v>
      </c>
      <c r="AD612" s="6">
        <f t="shared" si="198"/>
        <v>109003.15035964923</v>
      </c>
      <c r="AG612">
        <f t="shared" si="210"/>
        <v>79924.678657715864</v>
      </c>
      <c r="AH612">
        <f t="shared" si="211"/>
        <v>203.60313900524264</v>
      </c>
      <c r="AI612">
        <f t="shared" si="212"/>
        <v>8.4686838211701067E-40</v>
      </c>
      <c r="AL612">
        <f t="shared" si="199"/>
        <v>0.96249561876427325</v>
      </c>
      <c r="AM612">
        <f t="shared" si="215"/>
        <v>0.83848577199730179</v>
      </c>
      <c r="AO612">
        <v>610</v>
      </c>
      <c r="AP612">
        <v>0.95543150362300699</v>
      </c>
      <c r="AQ612">
        <v>0.81809799657242499</v>
      </c>
    </row>
    <row r="613" spans="14:43" x14ac:dyDescent="0.35">
      <c r="N613">
        <f t="shared" ref="N613:N676" si="216">N612+1</f>
        <v>611</v>
      </c>
      <c r="O613" s="6">
        <f t="shared" si="196"/>
        <v>259815.93112807442</v>
      </c>
      <c r="P613">
        <f t="shared" si="200"/>
        <v>12.990796556403721</v>
      </c>
      <c r="Q613">
        <f t="shared" si="201"/>
        <v>0</v>
      </c>
      <c r="R613" s="6">
        <f t="shared" si="213"/>
        <v>44.625125197751913</v>
      </c>
      <c r="S613">
        <f t="shared" si="202"/>
        <v>0.26775075118651148</v>
      </c>
      <c r="T613">
        <f t="shared" si="203"/>
        <v>0</v>
      </c>
      <c r="U613" s="6">
        <f t="shared" si="214"/>
        <v>2.6993929679979663E-41</v>
      </c>
      <c r="V613">
        <f t="shared" si="204"/>
        <v>4.0490894519969495E-42</v>
      </c>
      <c r="W613">
        <f t="shared" si="205"/>
        <v>0</v>
      </c>
      <c r="X613">
        <f t="shared" si="197"/>
        <v>259860.55625327217</v>
      </c>
      <c r="Y613" s="6">
        <f t="shared" si="206"/>
        <v>28868.436792008204</v>
      </c>
      <c r="Z613" s="6">
        <f t="shared" si="207"/>
        <v>4.9583472441946563</v>
      </c>
      <c r="AA613" s="6">
        <f t="shared" si="208"/>
        <v>2.9993255199977431E-42</v>
      </c>
      <c r="AB613">
        <f t="shared" si="209"/>
        <v>0</v>
      </c>
      <c r="AD613" s="6">
        <f t="shared" si="198"/>
        <v>108996.45908320659</v>
      </c>
      <c r="AG613">
        <f t="shared" si="210"/>
        <v>79920.682423782971</v>
      </c>
      <c r="AH613">
        <f t="shared" si="211"/>
        <v>202.38152017121118</v>
      </c>
      <c r="AI613">
        <f t="shared" si="212"/>
        <v>7.1983812479945908E-40</v>
      </c>
      <c r="AL613">
        <f t="shared" si="199"/>
        <v>0.96244650464174875</v>
      </c>
      <c r="AM613">
        <f t="shared" si="215"/>
        <v>0.83843430064005064</v>
      </c>
      <c r="AO613">
        <v>611</v>
      </c>
      <c r="AP613">
        <v>0.95536803001299597</v>
      </c>
      <c r="AQ613">
        <v>0.81798775293398396</v>
      </c>
    </row>
    <row r="614" spans="14:43" x14ac:dyDescent="0.35">
      <c r="N614">
        <f t="shared" si="216"/>
        <v>612</v>
      </c>
      <c r="O614" s="6">
        <f t="shared" si="196"/>
        <v>259802.94033151801</v>
      </c>
      <c r="P614">
        <f t="shared" si="200"/>
        <v>12.990147016575902</v>
      </c>
      <c r="Q614">
        <f t="shared" si="201"/>
        <v>0</v>
      </c>
      <c r="R614" s="6">
        <f t="shared" si="213"/>
        <v>44.357374446565402</v>
      </c>
      <c r="S614">
        <f t="shared" si="202"/>
        <v>0.2661442466793924</v>
      </c>
      <c r="T614">
        <f t="shared" si="203"/>
        <v>0</v>
      </c>
      <c r="U614" s="6">
        <f t="shared" si="214"/>
        <v>2.2944840227982714E-41</v>
      </c>
      <c r="V614">
        <f t="shared" si="204"/>
        <v>3.4417260341974067E-42</v>
      </c>
      <c r="W614">
        <f t="shared" si="205"/>
        <v>0</v>
      </c>
      <c r="X614">
        <f t="shared" si="197"/>
        <v>259847.29770596456</v>
      </c>
      <c r="Y614" s="6">
        <f t="shared" si="206"/>
        <v>28866.993370168602</v>
      </c>
      <c r="Z614" s="6">
        <f t="shared" si="207"/>
        <v>4.9285971607294883</v>
      </c>
      <c r="AA614" s="6">
        <f t="shared" si="208"/>
        <v>2.5494266919980818E-42</v>
      </c>
      <c r="AB614">
        <f t="shared" si="209"/>
        <v>0</v>
      </c>
      <c r="AD614" s="6">
        <f t="shared" si="198"/>
        <v>108989.7755880413</v>
      </c>
      <c r="AG614">
        <f t="shared" si="210"/>
        <v>79916.686389661787</v>
      </c>
      <c r="AH614">
        <f t="shared" si="211"/>
        <v>201.16723105018391</v>
      </c>
      <c r="AI614">
        <f t="shared" si="212"/>
        <v>6.1186240607954023E-40</v>
      </c>
      <c r="AL614">
        <f t="shared" si="199"/>
        <v>0.96239739891097986</v>
      </c>
      <c r="AM614">
        <f t="shared" si="215"/>
        <v>0.83838288913877923</v>
      </c>
      <c r="AO614">
        <v>612</v>
      </c>
      <c r="AP614">
        <v>0.95527783067245298</v>
      </c>
      <c r="AQ614">
        <v>0.81786748714659396</v>
      </c>
    </row>
    <row r="615" spans="14:43" x14ac:dyDescent="0.35">
      <c r="N615">
        <f t="shared" si="216"/>
        <v>613</v>
      </c>
      <c r="O615" s="6">
        <f t="shared" si="196"/>
        <v>259789.95018450145</v>
      </c>
      <c r="P615">
        <f t="shared" si="200"/>
        <v>12.989497509225073</v>
      </c>
      <c r="Q615">
        <f t="shared" si="201"/>
        <v>0</v>
      </c>
      <c r="R615" s="6">
        <f t="shared" si="213"/>
        <v>44.091230199886006</v>
      </c>
      <c r="S615">
        <f t="shared" si="202"/>
        <v>0.26454738119931603</v>
      </c>
      <c r="T615">
        <f t="shared" si="203"/>
        <v>0</v>
      </c>
      <c r="U615" s="6">
        <f t="shared" si="214"/>
        <v>1.9503114193785306E-41</v>
      </c>
      <c r="V615">
        <f t="shared" si="204"/>
        <v>2.9254671290677958E-42</v>
      </c>
      <c r="W615">
        <f t="shared" si="205"/>
        <v>0</v>
      </c>
      <c r="X615">
        <f t="shared" si="197"/>
        <v>259834.04141470132</v>
      </c>
      <c r="Y615" s="6">
        <f t="shared" si="206"/>
        <v>28865.550020500094</v>
      </c>
      <c r="Z615" s="6">
        <f t="shared" si="207"/>
        <v>4.8990255777651113</v>
      </c>
      <c r="AA615" s="6">
        <f t="shared" si="208"/>
        <v>2.1670126881983696E-42</v>
      </c>
      <c r="AB615">
        <f t="shared" si="209"/>
        <v>0</v>
      </c>
      <c r="AD615" s="6">
        <f t="shared" si="198"/>
        <v>108983.09982908404</v>
      </c>
      <c r="AG615">
        <f t="shared" si="210"/>
        <v>79912.690555342298</v>
      </c>
      <c r="AH615">
        <f t="shared" si="211"/>
        <v>199.96022766388282</v>
      </c>
      <c r="AI615">
        <f t="shared" si="212"/>
        <v>5.2008304516760919E-40</v>
      </c>
      <c r="AL615">
        <f t="shared" si="199"/>
        <v>0.96234830153593087</v>
      </c>
      <c r="AM615">
        <f t="shared" si="215"/>
        <v>0.83833153714680031</v>
      </c>
      <c r="AO615">
        <v>613</v>
      </c>
      <c r="AP615">
        <v>0.95518429061559396</v>
      </c>
      <c r="AQ615">
        <v>0.81774722135920297</v>
      </c>
    </row>
    <row r="616" spans="14:43" x14ac:dyDescent="0.35">
      <c r="N616">
        <f t="shared" si="216"/>
        <v>614</v>
      </c>
      <c r="O616" s="6">
        <f t="shared" si="196"/>
        <v>259776.96068699221</v>
      </c>
      <c r="P616">
        <f t="shared" si="200"/>
        <v>12.988848034349612</v>
      </c>
      <c r="Q616">
        <f t="shared" si="201"/>
        <v>0</v>
      </c>
      <c r="R616" s="6">
        <f t="shared" si="213"/>
        <v>43.826682818686692</v>
      </c>
      <c r="S616">
        <f t="shared" si="202"/>
        <v>0.26296009691212013</v>
      </c>
      <c r="T616">
        <f t="shared" si="203"/>
        <v>0</v>
      </c>
      <c r="U616" s="6">
        <f t="shared" si="214"/>
        <v>1.6577647064717512E-41</v>
      </c>
      <c r="V616">
        <f t="shared" si="204"/>
        <v>2.4866470597076266E-42</v>
      </c>
      <c r="W616">
        <f t="shared" si="205"/>
        <v>0</v>
      </c>
      <c r="X616">
        <f t="shared" si="197"/>
        <v>259820.78736981089</v>
      </c>
      <c r="Y616" s="6">
        <f t="shared" si="206"/>
        <v>28864.106742999069</v>
      </c>
      <c r="Z616" s="6">
        <f t="shared" si="207"/>
        <v>4.8696314242985208</v>
      </c>
      <c r="AA616" s="6">
        <f t="shared" si="208"/>
        <v>1.8419607849686141E-42</v>
      </c>
      <c r="AB616">
        <f t="shared" si="209"/>
        <v>0</v>
      </c>
      <c r="AD616" s="6">
        <f t="shared" si="198"/>
        <v>108976.4317615358</v>
      </c>
      <c r="AG616">
        <f t="shared" si="210"/>
        <v>79908.694920814538</v>
      </c>
      <c r="AH616">
        <f t="shared" si="211"/>
        <v>198.76046629789951</v>
      </c>
      <c r="AI616">
        <f t="shared" si="212"/>
        <v>4.4207058839246785E-40</v>
      </c>
      <c r="AL616">
        <f t="shared" si="199"/>
        <v>0.9622992124807811</v>
      </c>
      <c r="AM616">
        <f t="shared" si="215"/>
        <v>0.83828024431950621</v>
      </c>
      <c r="AO616">
        <v>614</v>
      </c>
      <c r="AP616">
        <v>0.95509075055873405</v>
      </c>
      <c r="AQ616">
        <v>0.81767706631656001</v>
      </c>
    </row>
    <row r="617" spans="14:43" x14ac:dyDescent="0.35">
      <c r="N617">
        <f t="shared" si="216"/>
        <v>615</v>
      </c>
      <c r="O617" s="6">
        <f t="shared" si="196"/>
        <v>259763.97183895786</v>
      </c>
      <c r="P617">
        <f t="shared" si="200"/>
        <v>12.988198591947894</v>
      </c>
      <c r="Q617">
        <f t="shared" si="201"/>
        <v>0</v>
      </c>
      <c r="R617" s="6">
        <f t="shared" si="213"/>
        <v>43.563722721774575</v>
      </c>
      <c r="S617">
        <f t="shared" si="202"/>
        <v>0.26138233633064745</v>
      </c>
      <c r="T617">
        <f t="shared" si="203"/>
        <v>0</v>
      </c>
      <c r="U617" s="6">
        <f t="shared" si="214"/>
        <v>1.4091000005009886E-41</v>
      </c>
      <c r="V617">
        <f t="shared" si="204"/>
        <v>2.1136500007514828E-42</v>
      </c>
      <c r="W617">
        <f t="shared" si="205"/>
        <v>0</v>
      </c>
      <c r="X617">
        <f t="shared" si="197"/>
        <v>259807.53556167963</v>
      </c>
      <c r="Y617" s="6">
        <f t="shared" si="206"/>
        <v>28862.66353766192</v>
      </c>
      <c r="Z617" s="6">
        <f t="shared" si="207"/>
        <v>4.8404136357527294</v>
      </c>
      <c r="AA617" s="6">
        <f t="shared" si="208"/>
        <v>1.5656666672233221E-42</v>
      </c>
      <c r="AB617">
        <f t="shared" si="209"/>
        <v>0</v>
      </c>
      <c r="AD617" s="6">
        <f t="shared" si="198"/>
        <v>108969.77134086628</v>
      </c>
      <c r="AG617">
        <f t="shared" si="210"/>
        <v>79904.699486068494</v>
      </c>
      <c r="AH617">
        <f t="shared" si="211"/>
        <v>197.56790350011212</v>
      </c>
      <c r="AI617">
        <f t="shared" si="212"/>
        <v>3.7576000013359768E-40</v>
      </c>
      <c r="AL617">
        <f t="shared" si="199"/>
        <v>0.96225013170992457</v>
      </c>
      <c r="AM617">
        <f t="shared" si="215"/>
        <v>0.83822901031435604</v>
      </c>
      <c r="AO617">
        <v>615</v>
      </c>
      <c r="AP617">
        <v>0.95499052906924298</v>
      </c>
      <c r="AQ617">
        <v>0.81757684482706705</v>
      </c>
    </row>
    <row r="618" spans="14:43" x14ac:dyDescent="0.35">
      <c r="N618">
        <f t="shared" si="216"/>
        <v>616</v>
      </c>
      <c r="O618" s="6">
        <f t="shared" si="196"/>
        <v>259750.98364036591</v>
      </c>
      <c r="P618">
        <f t="shared" si="200"/>
        <v>12.987549182018297</v>
      </c>
      <c r="Q618">
        <f t="shared" si="201"/>
        <v>0</v>
      </c>
      <c r="R618" s="6">
        <f t="shared" si="213"/>
        <v>43.302340385443927</v>
      </c>
      <c r="S618">
        <f t="shared" si="202"/>
        <v>0.25981404231266358</v>
      </c>
      <c r="T618">
        <f t="shared" si="203"/>
        <v>0</v>
      </c>
      <c r="U618" s="6">
        <f t="shared" si="214"/>
        <v>1.1977350004258404E-41</v>
      </c>
      <c r="V618">
        <f t="shared" si="204"/>
        <v>1.7966025006387605E-42</v>
      </c>
      <c r="W618">
        <f t="shared" si="205"/>
        <v>0</v>
      </c>
      <c r="X618">
        <f t="shared" si="197"/>
        <v>259794.28598075136</v>
      </c>
      <c r="Y618" s="6">
        <f t="shared" si="206"/>
        <v>28861.220404485037</v>
      </c>
      <c r="Z618" s="6">
        <f t="shared" si="207"/>
        <v>4.8113711539382127</v>
      </c>
      <c r="AA618" s="6">
        <f t="shared" si="208"/>
        <v>1.3308166671398239E-42</v>
      </c>
      <c r="AB618">
        <f t="shared" si="209"/>
        <v>0</v>
      </c>
      <c r="AD618" s="6">
        <f t="shared" si="198"/>
        <v>108963.11852281228</v>
      </c>
      <c r="AG618">
        <f t="shared" si="210"/>
        <v>79900.704251094197</v>
      </c>
      <c r="AH618">
        <f t="shared" si="211"/>
        <v>196.38249607911146</v>
      </c>
      <c r="AI618">
        <f t="shared" si="212"/>
        <v>3.1939600011355804E-40</v>
      </c>
      <c r="AL618">
        <f t="shared" si="199"/>
        <v>0.96220105918796794</v>
      </c>
      <c r="AM618">
        <f t="shared" si="215"/>
        <v>0.83817783479086372</v>
      </c>
      <c r="AO618">
        <v>616</v>
      </c>
      <c r="AP618">
        <v>0.95488696686343499</v>
      </c>
      <c r="AQ618">
        <v>0.81743653474177802</v>
      </c>
    </row>
    <row r="619" spans="14:43" x14ac:dyDescent="0.35">
      <c r="N619">
        <f t="shared" si="216"/>
        <v>617</v>
      </c>
      <c r="O619" s="6">
        <f t="shared" si="196"/>
        <v>259737.99609118389</v>
      </c>
      <c r="P619">
        <f t="shared" si="200"/>
        <v>12.986899804559195</v>
      </c>
      <c r="Q619">
        <f t="shared" si="201"/>
        <v>0</v>
      </c>
      <c r="R619" s="6">
        <f t="shared" si="213"/>
        <v>43.042526343131264</v>
      </c>
      <c r="S619">
        <f t="shared" si="202"/>
        <v>0.25825515805878757</v>
      </c>
      <c r="T619">
        <f t="shared" si="203"/>
        <v>0</v>
      </c>
      <c r="U619" s="6">
        <f t="shared" si="214"/>
        <v>1.0180747503619643E-41</v>
      </c>
      <c r="V619">
        <f t="shared" si="204"/>
        <v>1.5271121255429465E-42</v>
      </c>
      <c r="W619">
        <f t="shared" si="205"/>
        <v>0</v>
      </c>
      <c r="X619">
        <f t="shared" si="197"/>
        <v>259781.03861752703</v>
      </c>
      <c r="Y619" s="6">
        <f t="shared" si="206"/>
        <v>28859.777343464812</v>
      </c>
      <c r="Z619" s="6">
        <f t="shared" si="207"/>
        <v>4.7825029270145833</v>
      </c>
      <c r="AA619" s="6">
        <f t="shared" si="208"/>
        <v>1.1311941670688503E-42</v>
      </c>
      <c r="AB619">
        <f t="shared" si="209"/>
        <v>0</v>
      </c>
      <c r="AD619" s="6">
        <f t="shared" si="198"/>
        <v>108956.4732633761</v>
      </c>
      <c r="AG619">
        <f t="shared" si="210"/>
        <v>79896.709215881638</v>
      </c>
      <c r="AH619">
        <f t="shared" si="211"/>
        <v>195.2042011026368</v>
      </c>
      <c r="AI619">
        <f t="shared" si="212"/>
        <v>2.7148660009652432E-40</v>
      </c>
      <c r="AL619">
        <f t="shared" si="199"/>
        <v>0.96215199487972969</v>
      </c>
      <c r="AM619">
        <f t="shared" si="215"/>
        <v>0.83812671741058542</v>
      </c>
      <c r="AO619">
        <v>617</v>
      </c>
      <c r="AP619">
        <v>0.95477338250867705</v>
      </c>
      <c r="AQ619">
        <v>0.81735635755018499</v>
      </c>
    </row>
    <row r="620" spans="14:43" x14ac:dyDescent="0.35">
      <c r="N620">
        <f t="shared" si="216"/>
        <v>618</v>
      </c>
      <c r="O620" s="6">
        <f t="shared" si="196"/>
        <v>259725.00919137933</v>
      </c>
      <c r="P620">
        <f t="shared" si="200"/>
        <v>12.986250459568968</v>
      </c>
      <c r="Q620">
        <f t="shared" si="201"/>
        <v>0</v>
      </c>
      <c r="R620" s="6">
        <f t="shared" si="213"/>
        <v>42.784271185072477</v>
      </c>
      <c r="S620">
        <f t="shared" si="202"/>
        <v>0.25670562711043488</v>
      </c>
      <c r="T620">
        <f t="shared" si="203"/>
        <v>0</v>
      </c>
      <c r="U620" s="6">
        <f t="shared" si="214"/>
        <v>8.6536353780766967E-42</v>
      </c>
      <c r="V620">
        <f t="shared" si="204"/>
        <v>1.2980453067115045E-42</v>
      </c>
      <c r="W620">
        <f t="shared" si="205"/>
        <v>0</v>
      </c>
      <c r="X620">
        <f t="shared" si="197"/>
        <v>259767.79346256441</v>
      </c>
      <c r="Y620" s="6">
        <f t="shared" si="206"/>
        <v>28858.334354597639</v>
      </c>
      <c r="Z620" s="6">
        <f t="shared" si="207"/>
        <v>4.7538079094524957</v>
      </c>
      <c r="AA620" s="6">
        <f t="shared" si="208"/>
        <v>9.6151504200852268E-43</v>
      </c>
      <c r="AB620">
        <f t="shared" si="209"/>
        <v>0</v>
      </c>
      <c r="AD620" s="6">
        <f t="shared" si="198"/>
        <v>108949.83551882395</v>
      </c>
      <c r="AG620">
        <f t="shared" si="210"/>
        <v>79892.714380420846</v>
      </c>
      <c r="AH620">
        <f t="shared" si="211"/>
        <v>194.03297589602099</v>
      </c>
      <c r="AI620">
        <f t="shared" si="212"/>
        <v>2.3076361008204569E-40</v>
      </c>
      <c r="AL620">
        <f t="shared" si="199"/>
        <v>0.96210293875023856</v>
      </c>
      <c r="AM620">
        <f t="shared" si="215"/>
        <v>0.83807565783710736</v>
      </c>
      <c r="AO620">
        <v>618</v>
      </c>
      <c r="AP620">
        <v>0.95466313887023602</v>
      </c>
      <c r="AQ620">
        <v>0.81725613606069303</v>
      </c>
    </row>
    <row r="621" spans="14:43" x14ac:dyDescent="0.35">
      <c r="N621">
        <f t="shared" si="216"/>
        <v>619</v>
      </c>
      <c r="O621" s="6">
        <f t="shared" si="196"/>
        <v>259712.02294091976</v>
      </c>
      <c r="P621">
        <f t="shared" si="200"/>
        <v>12.985601147045989</v>
      </c>
      <c r="Q621">
        <f t="shared" si="201"/>
        <v>0</v>
      </c>
      <c r="R621" s="6">
        <f t="shared" si="213"/>
        <v>42.527565557962042</v>
      </c>
      <c r="S621">
        <f t="shared" si="202"/>
        <v>0.25516539334777227</v>
      </c>
      <c r="T621">
        <f t="shared" si="203"/>
        <v>0</v>
      </c>
      <c r="U621" s="6">
        <f t="shared" si="214"/>
        <v>7.3555900713651924E-42</v>
      </c>
      <c r="V621">
        <f t="shared" si="204"/>
        <v>1.1033385107047788E-42</v>
      </c>
      <c r="W621">
        <f t="shared" si="205"/>
        <v>0</v>
      </c>
      <c r="X621">
        <f t="shared" si="197"/>
        <v>259754.55050647774</v>
      </c>
      <c r="Y621" s="6">
        <f t="shared" si="206"/>
        <v>28856.891437879909</v>
      </c>
      <c r="Z621" s="6">
        <f t="shared" si="207"/>
        <v>4.7252850619957805</v>
      </c>
      <c r="AA621" s="6">
        <f t="shared" si="208"/>
        <v>8.1728778570724432E-43</v>
      </c>
      <c r="AB621">
        <f t="shared" si="209"/>
        <v>0</v>
      </c>
      <c r="AD621" s="6">
        <f t="shared" si="198"/>
        <v>108943.20524568438</v>
      </c>
      <c r="AG621">
        <f t="shared" si="210"/>
        <v>79888.719744701826</v>
      </c>
      <c r="AH621">
        <f t="shared" si="211"/>
        <v>192.86877804064486</v>
      </c>
      <c r="AI621">
        <f t="shared" si="212"/>
        <v>1.9614906856973884E-40</v>
      </c>
      <c r="AL621">
        <f t="shared" si="199"/>
        <v>0.96205389076473236</v>
      </c>
      <c r="AM621">
        <f t="shared" si="215"/>
        <v>0.83802465573603369</v>
      </c>
      <c r="AO621">
        <v>619</v>
      </c>
      <c r="AP621">
        <v>0.95457628024601104</v>
      </c>
      <c r="AQ621">
        <v>0.81709578167750596</v>
      </c>
    </row>
    <row r="622" spans="14:43" x14ac:dyDescent="0.35">
      <c r="N622">
        <f t="shared" si="216"/>
        <v>620</v>
      </c>
      <c r="O622" s="6">
        <f t="shared" si="196"/>
        <v>259699.03733977271</v>
      </c>
      <c r="P622">
        <f t="shared" si="200"/>
        <v>12.984951866988636</v>
      </c>
      <c r="Q622">
        <f t="shared" si="201"/>
        <v>0</v>
      </c>
      <c r="R622" s="6">
        <f t="shared" si="213"/>
        <v>42.272400164614268</v>
      </c>
      <c r="S622">
        <f t="shared" si="202"/>
        <v>0.25363440098768564</v>
      </c>
      <c r="T622">
        <f t="shared" si="203"/>
        <v>0</v>
      </c>
      <c r="U622" s="6">
        <f t="shared" si="214"/>
        <v>6.252251560660414E-42</v>
      </c>
      <c r="V622">
        <f t="shared" si="204"/>
        <v>9.3783773409906207E-43</v>
      </c>
      <c r="W622">
        <f t="shared" si="205"/>
        <v>0</v>
      </c>
      <c r="X622">
        <f t="shared" si="197"/>
        <v>259741.30973993734</v>
      </c>
      <c r="Y622" s="6">
        <f t="shared" si="206"/>
        <v>28855.448593308014</v>
      </c>
      <c r="Z622" s="6">
        <f t="shared" si="207"/>
        <v>4.6969333516238061</v>
      </c>
      <c r="AA622" s="6">
        <f t="shared" si="208"/>
        <v>6.946946178511577E-43</v>
      </c>
      <c r="AB622">
        <f t="shared" si="209"/>
        <v>0</v>
      </c>
      <c r="AD622" s="6">
        <f t="shared" si="198"/>
        <v>108936.58240074663</v>
      </c>
      <c r="AG622">
        <f t="shared" si="210"/>
        <v>79884.725308714595</v>
      </c>
      <c r="AH622">
        <f t="shared" si="211"/>
        <v>191.711565372401</v>
      </c>
      <c r="AI622">
        <f t="shared" si="212"/>
        <v>1.6672670828427801E-40</v>
      </c>
      <c r="AL622">
        <f t="shared" si="199"/>
        <v>0.96200485088865684</v>
      </c>
      <c r="AM622">
        <f t="shared" si="215"/>
        <v>0.83797371077497407</v>
      </c>
      <c r="AO622">
        <v>620</v>
      </c>
      <c r="AP622">
        <v>0.95450612520336597</v>
      </c>
      <c r="AQ622">
        <v>0.81692540514537104</v>
      </c>
    </row>
    <row r="623" spans="14:43" x14ac:dyDescent="0.35">
      <c r="N623">
        <f t="shared" si="216"/>
        <v>621</v>
      </c>
      <c r="O623" s="6">
        <f t="shared" si="196"/>
        <v>259686.05238790571</v>
      </c>
      <c r="P623">
        <f t="shared" si="200"/>
        <v>12.984302619395287</v>
      </c>
      <c r="Q623">
        <f t="shared" si="201"/>
        <v>0</v>
      </c>
      <c r="R623" s="6">
        <f t="shared" si="213"/>
        <v>42.018765763626583</v>
      </c>
      <c r="S623">
        <f t="shared" si="202"/>
        <v>0.2521125945817595</v>
      </c>
      <c r="T623">
        <f t="shared" si="203"/>
        <v>0</v>
      </c>
      <c r="U623" s="6">
        <f t="shared" si="214"/>
        <v>5.3144138265613518E-42</v>
      </c>
      <c r="V623">
        <f t="shared" si="204"/>
        <v>7.971620739842028E-43</v>
      </c>
      <c r="W623">
        <f t="shared" si="205"/>
        <v>0</v>
      </c>
      <c r="X623">
        <f t="shared" si="197"/>
        <v>259728.07115366933</v>
      </c>
      <c r="Y623" s="6">
        <f t="shared" si="206"/>
        <v>28854.005820878348</v>
      </c>
      <c r="Z623" s="6">
        <f t="shared" si="207"/>
        <v>4.6687517515140629</v>
      </c>
      <c r="AA623" s="6">
        <f t="shared" si="208"/>
        <v>5.9049042517348402E-43</v>
      </c>
      <c r="AB623">
        <f t="shared" si="209"/>
        <v>0</v>
      </c>
      <c r="AD623" s="6">
        <f t="shared" si="198"/>
        <v>108929.96694105917</v>
      </c>
      <c r="AG623">
        <f t="shared" si="210"/>
        <v>79880.731072449154</v>
      </c>
      <c r="AH623">
        <f t="shared" si="211"/>
        <v>190.56129598016659</v>
      </c>
      <c r="AI623">
        <f t="shared" si="212"/>
        <v>1.4171770204163631E-40</v>
      </c>
      <c r="AL623">
        <f t="shared" si="199"/>
        <v>0.96195581908766414</v>
      </c>
      <c r="AM623">
        <f t="shared" si="215"/>
        <v>0.83792282262353213</v>
      </c>
      <c r="AO623">
        <v>621</v>
      </c>
      <c r="AP623">
        <v>0.95442260729545703</v>
      </c>
      <c r="AQ623">
        <v>0.81676505076218497</v>
      </c>
    </row>
    <row r="624" spans="14:43" x14ac:dyDescent="0.35">
      <c r="N624">
        <f t="shared" si="216"/>
        <v>622</v>
      </c>
      <c r="O624" s="6">
        <f t="shared" si="196"/>
        <v>259673.06808528633</v>
      </c>
      <c r="P624">
        <f t="shared" si="200"/>
        <v>12.983653404264317</v>
      </c>
      <c r="Q624">
        <f t="shared" si="201"/>
        <v>0</v>
      </c>
      <c r="R624" s="6">
        <f t="shared" si="213"/>
        <v>41.766653169044822</v>
      </c>
      <c r="S624">
        <f t="shared" si="202"/>
        <v>0.25059991901426892</v>
      </c>
      <c r="T624">
        <f t="shared" si="203"/>
        <v>0</v>
      </c>
      <c r="U624" s="6">
        <f t="shared" si="214"/>
        <v>4.5172517525771491E-42</v>
      </c>
      <c r="V624">
        <f t="shared" si="204"/>
        <v>6.7758776288657234E-43</v>
      </c>
      <c r="W624">
        <f t="shared" si="205"/>
        <v>0</v>
      </c>
      <c r="X624">
        <f t="shared" si="197"/>
        <v>259714.83473845536</v>
      </c>
      <c r="Y624" s="6">
        <f t="shared" si="206"/>
        <v>28852.563120587303</v>
      </c>
      <c r="Z624" s="6">
        <f t="shared" si="207"/>
        <v>4.6407392410049786</v>
      </c>
      <c r="AA624" s="6">
        <f t="shared" si="208"/>
        <v>5.0191686139746139E-43</v>
      </c>
      <c r="AB624">
        <f t="shared" si="209"/>
        <v>0</v>
      </c>
      <c r="AD624" s="6">
        <f t="shared" si="198"/>
        <v>108923.35882392814</v>
      </c>
      <c r="AG624">
        <f t="shared" si="210"/>
        <v>79876.737035895538</v>
      </c>
      <c r="AH624">
        <f t="shared" si="211"/>
        <v>189.4179282042856</v>
      </c>
      <c r="AI624">
        <f t="shared" si="212"/>
        <v>1.2046004673539086E-40</v>
      </c>
      <c r="AL624">
        <f t="shared" si="199"/>
        <v>0.96190679532761247</v>
      </c>
      <c r="AM624">
        <f t="shared" si="215"/>
        <v>0.83787199095329334</v>
      </c>
      <c r="AO624">
        <v>622</v>
      </c>
      <c r="AP624">
        <v>0.95432906723859701</v>
      </c>
      <c r="AQ624">
        <v>0.81663476282584502</v>
      </c>
    </row>
    <row r="625" spans="14:43" x14ac:dyDescent="0.35">
      <c r="N625">
        <f t="shared" si="216"/>
        <v>623</v>
      </c>
      <c r="O625" s="6">
        <f t="shared" si="196"/>
        <v>259660.08443188207</v>
      </c>
      <c r="P625">
        <f t="shared" si="200"/>
        <v>12.983004221594104</v>
      </c>
      <c r="Q625">
        <f t="shared" si="201"/>
        <v>0</v>
      </c>
      <c r="R625" s="6">
        <f t="shared" si="213"/>
        <v>41.516053250030552</v>
      </c>
      <c r="S625">
        <f t="shared" si="202"/>
        <v>0.24909631950018332</v>
      </c>
      <c r="T625">
        <f t="shared" si="203"/>
        <v>0</v>
      </c>
      <c r="U625" s="6">
        <f t="shared" si="214"/>
        <v>3.8396639896905765E-42</v>
      </c>
      <c r="V625">
        <f t="shared" si="204"/>
        <v>5.7594959845358646E-43</v>
      </c>
      <c r="W625">
        <f t="shared" si="205"/>
        <v>0</v>
      </c>
      <c r="X625">
        <f t="shared" si="197"/>
        <v>259701.6004851321</v>
      </c>
      <c r="Y625" s="6">
        <f t="shared" si="206"/>
        <v>28851.120492431273</v>
      </c>
      <c r="Z625" s="6">
        <f t="shared" si="207"/>
        <v>4.6128948055589492</v>
      </c>
      <c r="AA625" s="6">
        <f t="shared" si="208"/>
        <v>4.266293321878422E-43</v>
      </c>
      <c r="AB625">
        <f t="shared" si="209"/>
        <v>0</v>
      </c>
      <c r="AD625" s="6">
        <f t="shared" si="198"/>
        <v>108916.75800691564</v>
      </c>
      <c r="AG625">
        <f t="shared" si="210"/>
        <v>79872.743199043747</v>
      </c>
      <c r="AH625">
        <f t="shared" si="211"/>
        <v>188.28142063505987</v>
      </c>
      <c r="AI625">
        <f t="shared" si="212"/>
        <v>1.0239103972508222E-40</v>
      </c>
      <c r="AL625">
        <f t="shared" si="199"/>
        <v>0.96185777957456331</v>
      </c>
      <c r="AM625">
        <f t="shared" si="215"/>
        <v>0.83782121543781263</v>
      </c>
      <c r="AO625">
        <v>623</v>
      </c>
      <c r="AP625">
        <v>0.95421882360015697</v>
      </c>
      <c r="AQ625">
        <v>0.81653454133635295</v>
      </c>
    </row>
    <row r="626" spans="14:43" x14ac:dyDescent="0.35">
      <c r="N626">
        <f t="shared" si="216"/>
        <v>624</v>
      </c>
      <c r="O626" s="6">
        <f t="shared" si="196"/>
        <v>259647.10142766047</v>
      </c>
      <c r="P626">
        <f t="shared" si="200"/>
        <v>12.982355071383024</v>
      </c>
      <c r="Q626">
        <f t="shared" si="201"/>
        <v>0</v>
      </c>
      <c r="R626" s="6">
        <f t="shared" si="213"/>
        <v>41.26695693053037</v>
      </c>
      <c r="S626">
        <f t="shared" si="202"/>
        <v>0.24760174158318221</v>
      </c>
      <c r="T626">
        <f t="shared" si="203"/>
        <v>0</v>
      </c>
      <c r="U626" s="6">
        <f t="shared" si="214"/>
        <v>3.2637143912369903E-42</v>
      </c>
      <c r="V626">
        <f t="shared" si="204"/>
        <v>4.8955715868554856E-43</v>
      </c>
      <c r="W626">
        <f t="shared" si="205"/>
        <v>0</v>
      </c>
      <c r="X626">
        <f t="shared" si="197"/>
        <v>259688.36838459101</v>
      </c>
      <c r="Y626" s="6">
        <f t="shared" si="206"/>
        <v>28849.677936406653</v>
      </c>
      <c r="Z626" s="6">
        <f t="shared" si="207"/>
        <v>4.5852174367255953</v>
      </c>
      <c r="AA626" s="6">
        <f t="shared" si="208"/>
        <v>3.6263493235966583E-43</v>
      </c>
      <c r="AB626">
        <f t="shared" si="209"/>
        <v>0</v>
      </c>
      <c r="AD626" s="6">
        <f t="shared" si="198"/>
        <v>108910.16444783843</v>
      </c>
      <c r="AG626">
        <f t="shared" si="210"/>
        <v>79868.7495618838</v>
      </c>
      <c r="AH626">
        <f t="shared" si="211"/>
        <v>187.15173211124952</v>
      </c>
      <c r="AI626">
        <f t="shared" si="212"/>
        <v>8.7032383766319887E-41</v>
      </c>
      <c r="AL626">
        <f t="shared" si="199"/>
        <v>0.96180877179478153</v>
      </c>
      <c r="AM626">
        <f t="shared" si="215"/>
        <v>0.83777049575260332</v>
      </c>
      <c r="AO626">
        <v>624</v>
      </c>
      <c r="AP626">
        <v>0.95414198712487897</v>
      </c>
      <c r="AQ626">
        <v>0.81644434199581095</v>
      </c>
    </row>
    <row r="627" spans="14:43" x14ac:dyDescent="0.35">
      <c r="N627">
        <f t="shared" si="216"/>
        <v>625</v>
      </c>
      <c r="O627" s="6">
        <f t="shared" si="196"/>
        <v>259634.11907258909</v>
      </c>
      <c r="P627">
        <f t="shared" si="200"/>
        <v>12.981705953629454</v>
      </c>
      <c r="Q627">
        <f t="shared" si="201"/>
        <v>0</v>
      </c>
      <c r="R627" s="6">
        <f t="shared" si="213"/>
        <v>41.019355188947188</v>
      </c>
      <c r="S627">
        <f t="shared" si="202"/>
        <v>0.24611613113368314</v>
      </c>
      <c r="T627">
        <f t="shared" si="203"/>
        <v>0</v>
      </c>
      <c r="U627" s="6">
        <f t="shared" si="214"/>
        <v>2.7741572325514416E-42</v>
      </c>
      <c r="V627">
        <f t="shared" si="204"/>
        <v>4.1612358488271626E-43</v>
      </c>
      <c r="W627">
        <f t="shared" si="205"/>
        <v>0</v>
      </c>
      <c r="X627">
        <f t="shared" si="197"/>
        <v>259675.13842777803</v>
      </c>
      <c r="Y627" s="6">
        <f t="shared" si="206"/>
        <v>28848.235452509834</v>
      </c>
      <c r="Z627" s="6">
        <f t="shared" si="207"/>
        <v>4.5577061321052419</v>
      </c>
      <c r="AA627" s="6">
        <f t="shared" si="208"/>
        <v>3.0823969250571596E-43</v>
      </c>
      <c r="AB627">
        <f t="shared" si="209"/>
        <v>0</v>
      </c>
      <c r="AD627" s="6">
        <f t="shared" si="198"/>
        <v>108903.57810476623</v>
      </c>
      <c r="AG627">
        <f t="shared" si="210"/>
        <v>79864.7561244057</v>
      </c>
      <c r="AH627">
        <f t="shared" si="211"/>
        <v>186.02882171858201</v>
      </c>
      <c r="AI627">
        <f t="shared" si="212"/>
        <v>7.3977526201371908E-41</v>
      </c>
      <c r="AL627">
        <f t="shared" si="199"/>
        <v>0.9617597719547335</v>
      </c>
      <c r="AM627">
        <f t="shared" si="215"/>
        <v>0.83771983157512486</v>
      </c>
      <c r="AO627">
        <v>625</v>
      </c>
      <c r="AP627">
        <v>0.95406180993328604</v>
      </c>
      <c r="AQ627">
        <v>0.81637418695316599</v>
      </c>
    </row>
    <row r="628" spans="14:43" x14ac:dyDescent="0.35">
      <c r="N628">
        <f t="shared" si="216"/>
        <v>626</v>
      </c>
      <c r="O628" s="6">
        <f t="shared" ref="O628:O691" si="217">O627-(P627-Q627)</f>
        <v>259621.13736663546</v>
      </c>
      <c r="P628">
        <f t="shared" si="200"/>
        <v>12.981056868331773</v>
      </c>
      <c r="Q628">
        <f t="shared" si="201"/>
        <v>0</v>
      </c>
      <c r="R628" s="6">
        <f t="shared" si="213"/>
        <v>40.773239057813505</v>
      </c>
      <c r="S628">
        <f t="shared" si="202"/>
        <v>0.24463943434688104</v>
      </c>
      <c r="T628">
        <f t="shared" si="203"/>
        <v>0</v>
      </c>
      <c r="U628" s="6">
        <f t="shared" si="214"/>
        <v>2.3580336476687252E-42</v>
      </c>
      <c r="V628">
        <f t="shared" si="204"/>
        <v>3.5370504715030878E-43</v>
      </c>
      <c r="W628">
        <f t="shared" si="205"/>
        <v>0</v>
      </c>
      <c r="X628">
        <f t="shared" ref="X628:X691" si="218">O628+R628+U628-$J$57</f>
        <v>259661.91060569327</v>
      </c>
      <c r="Y628" s="6">
        <f t="shared" si="206"/>
        <v>28846.793040737208</v>
      </c>
      <c r="Z628" s="6">
        <f t="shared" si="207"/>
        <v>4.5303598953126105</v>
      </c>
      <c r="AA628" s="6">
        <f t="shared" si="208"/>
        <v>2.6200373862985856E-43</v>
      </c>
      <c r="AB628">
        <f t="shared" si="209"/>
        <v>0</v>
      </c>
      <c r="AD628" s="6">
        <f t="shared" ref="AD628:AD691" si="219">Y628+Z628+AA628+AG628+AH628+AI628-AB628+$M$59</f>
        <v>108896.99893602027</v>
      </c>
      <c r="AG628">
        <f t="shared" si="210"/>
        <v>79860.762886599477</v>
      </c>
      <c r="AH628">
        <f t="shared" si="211"/>
        <v>184.91264878827053</v>
      </c>
      <c r="AI628">
        <f t="shared" si="212"/>
        <v>6.2880897271166125E-41</v>
      </c>
      <c r="AL628">
        <f t="shared" ref="AL628:AL691" si="220">X628/$X$2</f>
        <v>0.96171078002108612</v>
      </c>
      <c r="AM628">
        <f t="shared" si="215"/>
        <v>0.83766922258477139</v>
      </c>
      <c r="AO628">
        <v>626</v>
      </c>
      <c r="AP628">
        <v>0.95395156629484501</v>
      </c>
      <c r="AQ628">
        <v>0.81627396546367503</v>
      </c>
    </row>
    <row r="629" spans="14:43" x14ac:dyDescent="0.35">
      <c r="N629">
        <f t="shared" si="216"/>
        <v>627</v>
      </c>
      <c r="O629" s="6">
        <f t="shared" si="217"/>
        <v>259608.15630976713</v>
      </c>
      <c r="P629">
        <f t="shared" si="200"/>
        <v>12.980407815488357</v>
      </c>
      <c r="Q629">
        <f t="shared" si="201"/>
        <v>0</v>
      </c>
      <c r="R629" s="6">
        <f t="shared" si="213"/>
        <v>40.528599623466626</v>
      </c>
      <c r="S629">
        <f t="shared" si="202"/>
        <v>0.24317159774079977</v>
      </c>
      <c r="T629">
        <f t="shared" si="203"/>
        <v>0</v>
      </c>
      <c r="U629" s="6">
        <f t="shared" si="214"/>
        <v>2.0043286005184163E-42</v>
      </c>
      <c r="V629">
        <f t="shared" si="204"/>
        <v>3.0064929007776245E-43</v>
      </c>
      <c r="W629">
        <f t="shared" si="205"/>
        <v>0</v>
      </c>
      <c r="X629">
        <f t="shared" si="218"/>
        <v>259648.68490939061</v>
      </c>
      <c r="Y629" s="6">
        <f t="shared" si="206"/>
        <v>28845.350701085172</v>
      </c>
      <c r="Z629" s="6">
        <f t="shared" si="207"/>
        <v>4.503177735940735</v>
      </c>
      <c r="AA629" s="6">
        <f t="shared" si="208"/>
        <v>2.2270317783537978E-43</v>
      </c>
      <c r="AB629">
        <f t="shared" si="209"/>
        <v>0</v>
      </c>
      <c r="AD629" s="6">
        <f t="shared" si="219"/>
        <v>108890.42690017181</v>
      </c>
      <c r="AG629">
        <f t="shared" si="210"/>
        <v>79856.769848455151</v>
      </c>
      <c r="AH629">
        <f t="shared" si="211"/>
        <v>183.80317289554091</v>
      </c>
      <c r="AI629">
        <f t="shared" si="212"/>
        <v>5.3448762680491206E-41</v>
      </c>
      <c r="AL629">
        <f t="shared" si="220"/>
        <v>0.961661795960706</v>
      </c>
      <c r="AM629">
        <f t="shared" si="215"/>
        <v>0.83761866846286004</v>
      </c>
      <c r="AO629">
        <v>627</v>
      </c>
      <c r="AP629">
        <v>0.95388475196851696</v>
      </c>
      <c r="AQ629">
        <v>0.81617374397418196</v>
      </c>
    </row>
    <row r="630" spans="14:43" x14ac:dyDescent="0.35">
      <c r="N630">
        <f t="shared" si="216"/>
        <v>628</v>
      </c>
      <c r="O630" s="6">
        <f t="shared" si="217"/>
        <v>259595.17590195165</v>
      </c>
      <c r="P630">
        <f t="shared" si="200"/>
        <v>12.979758795097583</v>
      </c>
      <c r="Q630">
        <f t="shared" si="201"/>
        <v>0</v>
      </c>
      <c r="R630" s="6">
        <f t="shared" si="213"/>
        <v>40.285428025725828</v>
      </c>
      <c r="S630">
        <f t="shared" si="202"/>
        <v>0.24171256815435496</v>
      </c>
      <c r="T630">
        <f t="shared" si="203"/>
        <v>0</v>
      </c>
      <c r="U630" s="6">
        <f t="shared" si="214"/>
        <v>1.7036793104406539E-42</v>
      </c>
      <c r="V630">
        <f t="shared" si="204"/>
        <v>2.5555189656609807E-43</v>
      </c>
      <c r="W630">
        <f t="shared" si="205"/>
        <v>0</v>
      </c>
      <c r="X630">
        <f t="shared" si="218"/>
        <v>259635.46132997738</v>
      </c>
      <c r="Y630" s="6">
        <f t="shared" si="206"/>
        <v>28843.908433550117</v>
      </c>
      <c r="Z630" s="6">
        <f t="shared" si="207"/>
        <v>4.4761586695250903</v>
      </c>
      <c r="AA630" s="6">
        <f t="shared" si="208"/>
        <v>1.892977011600728E-43</v>
      </c>
      <c r="AB630">
        <f t="shared" si="209"/>
        <v>0</v>
      </c>
      <c r="AD630" s="6">
        <f t="shared" si="219"/>
        <v>108883.86195604054</v>
      </c>
      <c r="AG630">
        <f t="shared" si="210"/>
        <v>79852.777009962723</v>
      </c>
      <c r="AH630">
        <f t="shared" si="211"/>
        <v>182.70035385816766</v>
      </c>
      <c r="AI630">
        <f t="shared" si="212"/>
        <v>4.5431448278417528E-41</v>
      </c>
      <c r="AL630">
        <f t="shared" si="220"/>
        <v>0.96161281974065693</v>
      </c>
      <c r="AM630">
        <f t="shared" si="215"/>
        <v>0.83756816889261954</v>
      </c>
      <c r="AO630">
        <v>628</v>
      </c>
      <c r="AP630">
        <v>0.95378787119534203</v>
      </c>
      <c r="AQ630">
        <v>0.81606350033574204</v>
      </c>
    </row>
    <row r="631" spans="14:43" x14ac:dyDescent="0.35">
      <c r="N631">
        <f t="shared" si="216"/>
        <v>629</v>
      </c>
      <c r="O631" s="6">
        <f t="shared" si="217"/>
        <v>259582.19614315656</v>
      </c>
      <c r="P631">
        <f t="shared" si="200"/>
        <v>12.979109807157828</v>
      </c>
      <c r="Q631">
        <f t="shared" si="201"/>
        <v>0</v>
      </c>
      <c r="R631" s="6">
        <f t="shared" si="213"/>
        <v>40.043715457571473</v>
      </c>
      <c r="S631">
        <f t="shared" si="202"/>
        <v>0.24026229274542885</v>
      </c>
      <c r="T631">
        <f t="shared" si="203"/>
        <v>0</v>
      </c>
      <c r="U631" s="6">
        <f t="shared" si="214"/>
        <v>1.4481274138745558E-42</v>
      </c>
      <c r="V631">
        <f t="shared" si="204"/>
        <v>2.1721911208118336E-43</v>
      </c>
      <c r="W631">
        <f t="shared" si="205"/>
        <v>0</v>
      </c>
      <c r="X631">
        <f t="shared" si="218"/>
        <v>259622.23985861414</v>
      </c>
      <c r="Y631" s="6">
        <f t="shared" si="206"/>
        <v>28842.46623812844</v>
      </c>
      <c r="Z631" s="6">
        <f t="shared" si="207"/>
        <v>4.4493017175079395</v>
      </c>
      <c r="AA631" s="6">
        <f t="shared" si="208"/>
        <v>1.6090304598606187E-43</v>
      </c>
      <c r="AB631">
        <f t="shared" si="209"/>
        <v>0</v>
      </c>
      <c r="AD631" s="6">
        <f t="shared" si="219"/>
        <v>108877.30406269321</v>
      </c>
      <c r="AG631">
        <f t="shared" si="210"/>
        <v>79848.784371112226</v>
      </c>
      <c r="AH631">
        <f t="shared" si="211"/>
        <v>181.60415173501866</v>
      </c>
      <c r="AI631">
        <f t="shared" si="212"/>
        <v>3.86167310366549E-41</v>
      </c>
      <c r="AL631">
        <f t="shared" si="220"/>
        <v>0.96156385132820055</v>
      </c>
      <c r="AM631">
        <f t="shared" si="215"/>
        <v>0.83751772355917853</v>
      </c>
      <c r="AO631">
        <v>629</v>
      </c>
      <c r="AP631">
        <v>0.95369433113848201</v>
      </c>
      <c r="AQ631">
        <v>0.81595325669730101</v>
      </c>
    </row>
    <row r="632" spans="14:43" x14ac:dyDescent="0.35">
      <c r="N632">
        <f t="shared" si="216"/>
        <v>630</v>
      </c>
      <c r="O632" s="6">
        <f t="shared" si="217"/>
        <v>259569.21703334941</v>
      </c>
      <c r="P632">
        <f t="shared" si="200"/>
        <v>12.978460851667471</v>
      </c>
      <c r="Q632">
        <f t="shared" si="201"/>
        <v>0</v>
      </c>
      <c r="R632" s="6">
        <f t="shared" si="213"/>
        <v>39.803453164826045</v>
      </c>
      <c r="S632">
        <f t="shared" si="202"/>
        <v>0.23882071898895627</v>
      </c>
      <c r="T632">
        <f t="shared" si="203"/>
        <v>0</v>
      </c>
      <c r="U632" s="6">
        <f t="shared" si="214"/>
        <v>1.2309083017933724E-42</v>
      </c>
      <c r="V632">
        <f t="shared" si="204"/>
        <v>1.8463624526900586E-43</v>
      </c>
      <c r="W632">
        <f t="shared" si="205"/>
        <v>0</v>
      </c>
      <c r="X632">
        <f t="shared" si="218"/>
        <v>259609.02048651423</v>
      </c>
      <c r="Y632" s="6">
        <f t="shared" si="206"/>
        <v>28841.024114816533</v>
      </c>
      <c r="Z632" s="6">
        <f t="shared" si="207"/>
        <v>4.4226059072028923</v>
      </c>
      <c r="AA632" s="6">
        <f t="shared" si="208"/>
        <v>1.367675890881526E-43</v>
      </c>
      <c r="AB632">
        <f t="shared" si="209"/>
        <v>0</v>
      </c>
      <c r="AD632" s="6">
        <f t="shared" si="219"/>
        <v>108870.75317944202</v>
      </c>
      <c r="AG632">
        <f t="shared" si="210"/>
        <v>79844.791931893677</v>
      </c>
      <c r="AH632">
        <f t="shared" si="211"/>
        <v>180.51452682460854</v>
      </c>
      <c r="AI632">
        <f t="shared" si="212"/>
        <v>3.2824221381156667E-41</v>
      </c>
      <c r="AL632">
        <f t="shared" si="220"/>
        <v>0.96151489069079343</v>
      </c>
      <c r="AM632">
        <f t="shared" si="215"/>
        <v>0.83746733214955404</v>
      </c>
      <c r="AO632">
        <v>630</v>
      </c>
      <c r="AP632">
        <v>0.95359410964899105</v>
      </c>
      <c r="AQ632">
        <v>0.81583299090991102</v>
      </c>
    </row>
    <row r="633" spans="14:43" x14ac:dyDescent="0.35">
      <c r="N633">
        <f t="shared" si="216"/>
        <v>631</v>
      </c>
      <c r="O633" s="6">
        <f t="shared" si="217"/>
        <v>259556.23857249774</v>
      </c>
      <c r="P633">
        <f t="shared" si="200"/>
        <v>12.977811928624888</v>
      </c>
      <c r="Q633">
        <f t="shared" si="201"/>
        <v>0</v>
      </c>
      <c r="R633" s="6">
        <f t="shared" si="213"/>
        <v>39.564632445837091</v>
      </c>
      <c r="S633">
        <f t="shared" si="202"/>
        <v>0.23738779467502255</v>
      </c>
      <c r="T633">
        <f t="shared" si="203"/>
        <v>0</v>
      </c>
      <c r="U633" s="6">
        <f t="shared" si="214"/>
        <v>1.0462720565243665E-42</v>
      </c>
      <c r="V633">
        <f t="shared" si="204"/>
        <v>1.5694080847865496E-43</v>
      </c>
      <c r="W633">
        <f t="shared" si="205"/>
        <v>0</v>
      </c>
      <c r="X633">
        <f t="shared" si="218"/>
        <v>259595.80320494357</v>
      </c>
      <c r="Y633" s="6">
        <f t="shared" si="206"/>
        <v>28839.582063610793</v>
      </c>
      <c r="Z633" s="6">
        <f t="shared" si="207"/>
        <v>4.3960702717596751</v>
      </c>
      <c r="AA633" s="6">
        <f t="shared" si="208"/>
        <v>1.1625245072492971E-43</v>
      </c>
      <c r="AB633">
        <f t="shared" si="209"/>
        <v>0</v>
      </c>
      <c r="AD633" s="6">
        <f t="shared" si="219"/>
        <v>108864.2092658433</v>
      </c>
      <c r="AG633">
        <f t="shared" si="210"/>
        <v>79840.799692297078</v>
      </c>
      <c r="AH633">
        <f t="shared" si="211"/>
        <v>179.43143966366088</v>
      </c>
      <c r="AI633">
        <f t="shared" si="212"/>
        <v>2.7900588173983168E-41</v>
      </c>
      <c r="AL633">
        <f t="shared" si="220"/>
        <v>0.96146593779608736</v>
      </c>
      <c r="AM633">
        <f t="shared" si="215"/>
        <v>0.83741699435264072</v>
      </c>
      <c r="AO633">
        <v>631</v>
      </c>
      <c r="AP633">
        <v>0.95351393245739702</v>
      </c>
      <c r="AQ633">
        <v>0.81574279156936802</v>
      </c>
    </row>
    <row r="634" spans="14:43" x14ac:dyDescent="0.35">
      <c r="N634">
        <f t="shared" si="216"/>
        <v>632</v>
      </c>
      <c r="O634" s="6">
        <f t="shared" si="217"/>
        <v>259543.2607605691</v>
      </c>
      <c r="P634">
        <f t="shared" si="200"/>
        <v>12.977163038028456</v>
      </c>
      <c r="Q634">
        <f t="shared" si="201"/>
        <v>0</v>
      </c>
      <c r="R634" s="6">
        <f t="shared" si="213"/>
        <v>39.327244651162069</v>
      </c>
      <c r="S634">
        <f t="shared" si="202"/>
        <v>0.23596346790697242</v>
      </c>
      <c r="T634">
        <f t="shared" si="203"/>
        <v>0</v>
      </c>
      <c r="U634" s="6">
        <f t="shared" si="214"/>
        <v>8.8933124804571145E-43</v>
      </c>
      <c r="V634">
        <f t="shared" si="204"/>
        <v>1.3339968720685671E-43</v>
      </c>
      <c r="W634">
        <f t="shared" si="205"/>
        <v>0</v>
      </c>
      <c r="X634">
        <f t="shared" si="218"/>
        <v>259582.58800522026</v>
      </c>
      <c r="Y634" s="6">
        <f t="shared" si="206"/>
        <v>28838.140084507613</v>
      </c>
      <c r="Z634" s="6">
        <f t="shared" si="207"/>
        <v>4.3696938501291172</v>
      </c>
      <c r="AA634" s="6">
        <f t="shared" si="208"/>
        <v>9.8814583116190254E-44</v>
      </c>
      <c r="AB634">
        <f t="shared" si="209"/>
        <v>0</v>
      </c>
      <c r="AD634" s="6">
        <f t="shared" si="219"/>
        <v>108857.67228169588</v>
      </c>
      <c r="AG634">
        <f t="shared" si="210"/>
        <v>79836.807652312462</v>
      </c>
      <c r="AH634">
        <f t="shared" si="211"/>
        <v>178.35485102567893</v>
      </c>
      <c r="AI634">
        <f t="shared" si="212"/>
        <v>2.3715499947885695E-41</v>
      </c>
      <c r="AL634">
        <f t="shared" si="220"/>
        <v>0.96141699261192692</v>
      </c>
      <c r="AM634">
        <f t="shared" si="215"/>
        <v>0.83736670985919903</v>
      </c>
      <c r="AO634">
        <v>632</v>
      </c>
      <c r="AP634">
        <v>0.95340368881895698</v>
      </c>
      <c r="AQ634">
        <v>0.81562252578197802</v>
      </c>
    </row>
    <row r="635" spans="14:43" x14ac:dyDescent="0.35">
      <c r="N635">
        <f t="shared" si="216"/>
        <v>633</v>
      </c>
      <c r="O635" s="6">
        <f t="shared" si="217"/>
        <v>259530.28359753106</v>
      </c>
      <c r="P635">
        <f t="shared" si="200"/>
        <v>12.976514179876554</v>
      </c>
      <c r="Q635">
        <f t="shared" si="201"/>
        <v>0</v>
      </c>
      <c r="R635" s="6">
        <f t="shared" si="213"/>
        <v>39.091281183255099</v>
      </c>
      <c r="S635">
        <f t="shared" si="202"/>
        <v>0.23454768709953058</v>
      </c>
      <c r="T635">
        <f t="shared" si="203"/>
        <v>0</v>
      </c>
      <c r="U635" s="6">
        <f t="shared" si="214"/>
        <v>7.5593156083885469E-43</v>
      </c>
      <c r="V635">
        <f t="shared" si="204"/>
        <v>1.1338973412582819E-43</v>
      </c>
      <c r="W635">
        <f t="shared" si="205"/>
        <v>0</v>
      </c>
      <c r="X635">
        <f t="shared" si="218"/>
        <v>259569.37487871433</v>
      </c>
      <c r="Y635" s="6">
        <f t="shared" si="206"/>
        <v>28836.698177503389</v>
      </c>
      <c r="Z635" s="6">
        <f t="shared" si="207"/>
        <v>4.3434756870283424</v>
      </c>
      <c r="AA635" s="6">
        <f t="shared" si="208"/>
        <v>8.3992395648761718E-44</v>
      </c>
      <c r="AB635">
        <f t="shared" si="209"/>
        <v>0</v>
      </c>
      <c r="AD635" s="6">
        <f t="shared" si="219"/>
        <v>108851.14218703979</v>
      </c>
      <c r="AG635">
        <f t="shared" si="210"/>
        <v>79832.815811929846</v>
      </c>
      <c r="AH635">
        <f t="shared" si="211"/>
        <v>177.28472191952486</v>
      </c>
      <c r="AI635">
        <f t="shared" si="212"/>
        <v>2.015817495570284E-41</v>
      </c>
      <c r="AL635">
        <f t="shared" si="220"/>
        <v>0.96136805510634937</v>
      </c>
      <c r="AM635">
        <f t="shared" si="215"/>
        <v>0.83731647836184453</v>
      </c>
      <c r="AO635">
        <v>633</v>
      </c>
      <c r="AP635">
        <v>0.95331683019473001</v>
      </c>
      <c r="AQ635">
        <v>0.81546217139879096</v>
      </c>
    </row>
    <row r="636" spans="14:43" x14ac:dyDescent="0.35">
      <c r="N636">
        <f t="shared" si="216"/>
        <v>634</v>
      </c>
      <c r="O636" s="6">
        <f t="shared" si="217"/>
        <v>259517.30708335119</v>
      </c>
      <c r="P636">
        <f t="shared" si="200"/>
        <v>12.97586535416756</v>
      </c>
      <c r="Q636">
        <f t="shared" si="201"/>
        <v>0</v>
      </c>
      <c r="R636" s="6">
        <f t="shared" si="213"/>
        <v>38.85673349615557</v>
      </c>
      <c r="S636">
        <f t="shared" si="202"/>
        <v>0.23314040097693342</v>
      </c>
      <c r="T636">
        <f t="shared" si="203"/>
        <v>0</v>
      </c>
      <c r="U636" s="6">
        <f t="shared" si="214"/>
        <v>6.4254182671302649E-43</v>
      </c>
      <c r="V636">
        <f t="shared" si="204"/>
        <v>9.6381274006953978E-44</v>
      </c>
      <c r="W636">
        <f t="shared" si="205"/>
        <v>0</v>
      </c>
      <c r="X636">
        <f t="shared" si="218"/>
        <v>259556.16381684734</v>
      </c>
      <c r="Y636" s="6">
        <f t="shared" si="206"/>
        <v>28835.256342594515</v>
      </c>
      <c r="Z636" s="6">
        <f t="shared" si="207"/>
        <v>4.3174148329061728</v>
      </c>
      <c r="AA636" s="6">
        <f t="shared" si="208"/>
        <v>7.1393536301447465E-44</v>
      </c>
      <c r="AB636">
        <f t="shared" si="209"/>
        <v>0</v>
      </c>
      <c r="AD636" s="6">
        <f t="shared" si="219"/>
        <v>108844.61894215467</v>
      </c>
      <c r="AG636">
        <f t="shared" si="210"/>
        <v>79828.824171139247</v>
      </c>
      <c r="AH636">
        <f t="shared" si="211"/>
        <v>176.22101358800771</v>
      </c>
      <c r="AI636">
        <f t="shared" si="212"/>
        <v>1.7134448712347414E-41</v>
      </c>
      <c r="AL636">
        <f t="shared" si="220"/>
        <v>0.96131912524758278</v>
      </c>
      <c r="AM636">
        <f t="shared" si="215"/>
        <v>0.83726629955503595</v>
      </c>
      <c r="AO636">
        <v>634</v>
      </c>
      <c r="AP636">
        <v>0.95323331228682096</v>
      </c>
      <c r="AQ636">
        <v>0.81532186131350204</v>
      </c>
    </row>
    <row r="637" spans="14:43" x14ac:dyDescent="0.35">
      <c r="N637">
        <f t="shared" si="216"/>
        <v>635</v>
      </c>
      <c r="O637" s="6">
        <f t="shared" si="217"/>
        <v>259504.33121799701</v>
      </c>
      <c r="P637">
        <f t="shared" si="200"/>
        <v>12.975216560899851</v>
      </c>
      <c r="Q637">
        <f t="shared" si="201"/>
        <v>0</v>
      </c>
      <c r="R637" s="6">
        <f t="shared" si="213"/>
        <v>38.623593095178634</v>
      </c>
      <c r="S637">
        <f t="shared" si="202"/>
        <v>0.23174155857107182</v>
      </c>
      <c r="T637">
        <f t="shared" si="203"/>
        <v>0</v>
      </c>
      <c r="U637" s="6">
        <f t="shared" si="214"/>
        <v>5.4616055270607251E-43</v>
      </c>
      <c r="V637">
        <f t="shared" si="204"/>
        <v>8.1924082905910871E-44</v>
      </c>
      <c r="W637">
        <f t="shared" si="205"/>
        <v>0</v>
      </c>
      <c r="X637">
        <f t="shared" si="218"/>
        <v>259542.95481109218</v>
      </c>
      <c r="Y637" s="6">
        <f t="shared" si="206"/>
        <v>28833.814579777387</v>
      </c>
      <c r="Z637" s="6">
        <f t="shared" si="207"/>
        <v>4.2915103439087359</v>
      </c>
      <c r="AA637" s="6">
        <f t="shared" si="208"/>
        <v>6.0684505856230345E-44</v>
      </c>
      <c r="AB637">
        <f t="shared" si="209"/>
        <v>0</v>
      </c>
      <c r="AD637" s="6">
        <f t="shared" si="219"/>
        <v>108838.10250755846</v>
      </c>
      <c r="AG637">
        <f t="shared" si="210"/>
        <v>79824.832729930684</v>
      </c>
      <c r="AH637">
        <f t="shared" si="211"/>
        <v>175.16368750647968</v>
      </c>
      <c r="AI637">
        <f t="shared" si="212"/>
        <v>1.4564281405495302E-41</v>
      </c>
      <c r="AL637">
        <f t="shared" si="220"/>
        <v>0.96127020300404509</v>
      </c>
      <c r="AM637">
        <f t="shared" si="215"/>
        <v>0.83721617313506513</v>
      </c>
      <c r="AO637">
        <v>635</v>
      </c>
      <c r="AP637">
        <v>0.953133090797329</v>
      </c>
      <c r="AQ637">
        <v>0.81516150693031597</v>
      </c>
    </row>
    <row r="638" spans="14:43" x14ac:dyDescent="0.35">
      <c r="N638">
        <f t="shared" si="216"/>
        <v>636</v>
      </c>
      <c r="O638" s="6">
        <f t="shared" si="217"/>
        <v>259491.3560014361</v>
      </c>
      <c r="P638">
        <f t="shared" si="200"/>
        <v>12.974567800071805</v>
      </c>
      <c r="Q638">
        <f t="shared" si="201"/>
        <v>0</v>
      </c>
      <c r="R638" s="6">
        <f t="shared" si="213"/>
        <v>38.391851536607561</v>
      </c>
      <c r="S638">
        <f t="shared" si="202"/>
        <v>0.23035110921964538</v>
      </c>
      <c r="T638">
        <f t="shared" si="203"/>
        <v>0</v>
      </c>
      <c r="U638" s="6">
        <f t="shared" si="214"/>
        <v>4.6423646980016163E-43</v>
      </c>
      <c r="V638">
        <f t="shared" si="204"/>
        <v>6.9635470470024241E-44</v>
      </c>
      <c r="W638">
        <f t="shared" si="205"/>
        <v>0</v>
      </c>
      <c r="X638">
        <f t="shared" si="218"/>
        <v>259529.74785297271</v>
      </c>
      <c r="Y638" s="6">
        <f t="shared" si="206"/>
        <v>28832.372889048398</v>
      </c>
      <c r="Z638" s="6">
        <f t="shared" si="207"/>
        <v>4.2657612818452835</v>
      </c>
      <c r="AA638" s="6">
        <f t="shared" si="208"/>
        <v>5.1581829977795793E-44</v>
      </c>
      <c r="AB638">
        <f t="shared" si="209"/>
        <v>0</v>
      </c>
      <c r="AD638" s="6">
        <f t="shared" si="219"/>
        <v>108831.59284400588</v>
      </c>
      <c r="AG638">
        <f t="shared" si="210"/>
        <v>79820.841488294187</v>
      </c>
      <c r="AH638">
        <f t="shared" si="211"/>
        <v>174.1127053814408</v>
      </c>
      <c r="AI638">
        <f t="shared" si="212"/>
        <v>1.2379639194671007E-41</v>
      </c>
      <c r="AL638">
        <f t="shared" si="220"/>
        <v>0.96122128834434339</v>
      </c>
      <c r="AM638">
        <f t="shared" si="215"/>
        <v>0.83716609880004522</v>
      </c>
      <c r="AO638">
        <v>636</v>
      </c>
      <c r="AP638">
        <v>0.95305959503836801</v>
      </c>
      <c r="AQ638">
        <v>0.81509135188767101</v>
      </c>
    </row>
    <row r="639" spans="14:43" x14ac:dyDescent="0.35">
      <c r="N639">
        <f t="shared" si="216"/>
        <v>637</v>
      </c>
      <c r="O639" s="6">
        <f t="shared" si="217"/>
        <v>259478.38143363604</v>
      </c>
      <c r="P639">
        <f t="shared" si="200"/>
        <v>12.973919071681802</v>
      </c>
      <c r="Q639">
        <f t="shared" si="201"/>
        <v>0</v>
      </c>
      <c r="R639" s="6">
        <f t="shared" si="213"/>
        <v>38.161500427387914</v>
      </c>
      <c r="S639">
        <f t="shared" si="202"/>
        <v>0.22896900256432748</v>
      </c>
      <c r="T639">
        <f t="shared" si="203"/>
        <v>0</v>
      </c>
      <c r="U639" s="6">
        <f t="shared" si="214"/>
        <v>3.9460099933013741E-43</v>
      </c>
      <c r="V639">
        <f t="shared" si="204"/>
        <v>5.9190149899520606E-44</v>
      </c>
      <c r="W639">
        <f t="shared" si="205"/>
        <v>0</v>
      </c>
      <c r="X639">
        <f t="shared" si="218"/>
        <v>259516.54293406341</v>
      </c>
      <c r="Y639" s="6">
        <f t="shared" si="206"/>
        <v>28830.931270403944</v>
      </c>
      <c r="Z639" s="6">
        <f t="shared" si="207"/>
        <v>4.2401667141542116</v>
      </c>
      <c r="AA639" s="6">
        <f t="shared" si="208"/>
        <v>4.3844555481126424E-44</v>
      </c>
      <c r="AB639">
        <f t="shared" si="209"/>
        <v>0</v>
      </c>
      <c r="AD639" s="6">
        <f t="shared" si="219"/>
        <v>108825.08991248703</v>
      </c>
      <c r="AG639">
        <f t="shared" si="210"/>
        <v>79816.850446219774</v>
      </c>
      <c r="AH639">
        <f t="shared" si="211"/>
        <v>173.06802914915215</v>
      </c>
      <c r="AI639">
        <f t="shared" si="212"/>
        <v>1.0522693315470356E-41</v>
      </c>
      <c r="AL639">
        <f t="shared" si="220"/>
        <v>0.96117238123727189</v>
      </c>
      <c r="AM639">
        <f t="shared" si="215"/>
        <v>0.83711607624990025</v>
      </c>
      <c r="AO639">
        <v>637</v>
      </c>
      <c r="AP639">
        <v>0.95293932925097902</v>
      </c>
      <c r="AQ639">
        <v>0.81495104180238198</v>
      </c>
    </row>
    <row r="640" spans="14:43" x14ac:dyDescent="0.35">
      <c r="N640">
        <f t="shared" si="216"/>
        <v>638</v>
      </c>
      <c r="O640" s="6">
        <f t="shared" si="217"/>
        <v>259465.40751456434</v>
      </c>
      <c r="P640">
        <f t="shared" si="200"/>
        <v>12.973270375728218</v>
      </c>
      <c r="Q640">
        <f t="shared" si="201"/>
        <v>0</v>
      </c>
      <c r="R640" s="6">
        <f t="shared" si="213"/>
        <v>37.932531424823587</v>
      </c>
      <c r="S640">
        <f t="shared" si="202"/>
        <v>0.22759518854894153</v>
      </c>
      <c r="T640">
        <f t="shared" si="203"/>
        <v>0</v>
      </c>
      <c r="U640" s="6">
        <f t="shared" si="214"/>
        <v>3.3541084943061682E-43</v>
      </c>
      <c r="V640">
        <f t="shared" si="204"/>
        <v>5.031162741459252E-44</v>
      </c>
      <c r="W640">
        <f t="shared" si="205"/>
        <v>0</v>
      </c>
      <c r="X640">
        <f t="shared" si="218"/>
        <v>259503.34004598917</v>
      </c>
      <c r="Y640" s="6">
        <f t="shared" si="206"/>
        <v>28829.489723840423</v>
      </c>
      <c r="Z640" s="6">
        <f t="shared" si="207"/>
        <v>4.214725713869286</v>
      </c>
      <c r="AA640" s="6">
        <f t="shared" si="208"/>
        <v>3.7267872158957461E-44</v>
      </c>
      <c r="AB640">
        <f t="shared" si="209"/>
        <v>0</v>
      </c>
      <c r="AD640" s="6">
        <f t="shared" si="219"/>
        <v>108818.59367422601</v>
      </c>
      <c r="AG640">
        <f t="shared" si="210"/>
        <v>79812.859603697463</v>
      </c>
      <c r="AH640">
        <f t="shared" si="211"/>
        <v>172.02962097425723</v>
      </c>
      <c r="AI640">
        <f t="shared" si="212"/>
        <v>8.944289318149803E-42</v>
      </c>
      <c r="AL640">
        <f t="shared" si="220"/>
        <v>0.96112348165181172</v>
      </c>
      <c r="AM640">
        <f t="shared" si="215"/>
        <v>0.83706610518635394</v>
      </c>
      <c r="AO640">
        <v>638</v>
      </c>
      <c r="AP640">
        <v>0.95284912991043502</v>
      </c>
      <c r="AQ640">
        <v>0.81481073171709495</v>
      </c>
    </row>
    <row r="641" spans="14:43" x14ac:dyDescent="0.35">
      <c r="N641">
        <f t="shared" si="216"/>
        <v>639</v>
      </c>
      <c r="O641" s="6">
        <f t="shared" si="217"/>
        <v>259452.43424418863</v>
      </c>
      <c r="P641">
        <f t="shared" si="200"/>
        <v>12.972621712209431</v>
      </c>
      <c r="Q641">
        <f t="shared" si="201"/>
        <v>0</v>
      </c>
      <c r="R641" s="6">
        <f t="shared" si="213"/>
        <v>37.704936236274648</v>
      </c>
      <c r="S641">
        <f t="shared" si="202"/>
        <v>0.22622961741764788</v>
      </c>
      <c r="T641">
        <f t="shared" si="203"/>
        <v>0</v>
      </c>
      <c r="U641" s="6">
        <f t="shared" si="214"/>
        <v>2.8509922201602431E-43</v>
      </c>
      <c r="V641">
        <f t="shared" si="204"/>
        <v>4.2764883302403646E-44</v>
      </c>
      <c r="W641">
        <f t="shared" si="205"/>
        <v>0</v>
      </c>
      <c r="X641">
        <f t="shared" si="218"/>
        <v>259490.13918042491</v>
      </c>
      <c r="Y641" s="6">
        <f t="shared" si="206"/>
        <v>28828.048249354229</v>
      </c>
      <c r="Z641" s="6">
        <f t="shared" si="207"/>
        <v>4.1894373595860701</v>
      </c>
      <c r="AA641" s="6">
        <f t="shared" si="208"/>
        <v>3.1677691335113842E-44</v>
      </c>
      <c r="AB641">
        <f t="shared" si="209"/>
        <v>0</v>
      </c>
      <c r="AD641" s="6">
        <f t="shared" si="219"/>
        <v>108812.10409067951</v>
      </c>
      <c r="AG641">
        <f t="shared" si="210"/>
        <v>79808.868960717286</v>
      </c>
      <c r="AH641">
        <f t="shared" si="211"/>
        <v>170.99744324841168</v>
      </c>
      <c r="AI641">
        <f t="shared" si="212"/>
        <v>7.6026459204273329E-42</v>
      </c>
      <c r="AL641">
        <f t="shared" si="220"/>
        <v>0.96107458955712932</v>
      </c>
      <c r="AM641">
        <f t="shared" si="215"/>
        <v>0.83701618531291933</v>
      </c>
      <c r="AO641">
        <v>639</v>
      </c>
      <c r="AP641">
        <v>0.95276895271884299</v>
      </c>
      <c r="AQ641">
        <v>0.81473055452550103</v>
      </c>
    </row>
    <row r="642" spans="14:43" x14ac:dyDescent="0.35">
      <c r="N642">
        <f t="shared" si="216"/>
        <v>640</v>
      </c>
      <c r="O642" s="6">
        <f t="shared" si="217"/>
        <v>259439.4616224764</v>
      </c>
      <c r="P642">
        <f t="shared" ref="P642:P705" si="221">IF(N642&lt;$H$12,O642*($F$3+$H$3),O642*$F$3)</f>
        <v>12.971973081123821</v>
      </c>
      <c r="Q642">
        <f t="shared" ref="Q642:Q705" si="222">IF(N642&lt;$H$12,P642*$I$3,0)</f>
        <v>0</v>
      </c>
      <c r="R642" s="6">
        <f t="shared" si="213"/>
        <v>37.478706618856997</v>
      </c>
      <c r="S642">
        <f t="shared" ref="S642:S705" si="223">IF(N642&lt;$H$12,R642*($F$4+$H$4),R642*$F$4)</f>
        <v>0.22487223971314199</v>
      </c>
      <c r="T642">
        <f t="shared" ref="T642:T705" si="224">IF(N642&lt;$H$12,S642*$I$4,0)</f>
        <v>0</v>
      </c>
      <c r="U642" s="6">
        <f t="shared" si="214"/>
        <v>2.4233433871362067E-43</v>
      </c>
      <c r="V642">
        <f t="shared" ref="V642:V705" si="225">IF(N642&lt;$H$12,U642*($F$5+$H$5),U642*$F$5)</f>
        <v>3.6350150807043097E-44</v>
      </c>
      <c r="W642">
        <f t="shared" ref="W642:W705" si="226">IF(N642&lt;$H$12,V642*$I$5,0)</f>
        <v>0</v>
      </c>
      <c r="X642">
        <f t="shared" si="218"/>
        <v>259476.94032909526</v>
      </c>
      <c r="Y642" s="6">
        <f t="shared" si="206"/>
        <v>28826.606846941762</v>
      </c>
      <c r="Z642" s="6">
        <f t="shared" si="207"/>
        <v>4.1643007354285535</v>
      </c>
      <c r="AA642" s="6">
        <f t="shared" si="208"/>
        <v>2.6926037634846767E-44</v>
      </c>
      <c r="AB642">
        <f t="shared" si="209"/>
        <v>0</v>
      </c>
      <c r="AD642" s="6">
        <f t="shared" si="219"/>
        <v>108805.62112353535</v>
      </c>
      <c r="AG642">
        <f t="shared" si="210"/>
        <v>79804.878517269244</v>
      </c>
      <c r="AH642">
        <f t="shared" si="211"/>
        <v>169.97145858892122</v>
      </c>
      <c r="AI642">
        <f t="shared" si="212"/>
        <v>6.4622490323632323E-42</v>
      </c>
      <c r="AL642">
        <f t="shared" si="220"/>
        <v>0.961025704922575</v>
      </c>
      <c r="AM642">
        <f t="shared" si="215"/>
        <v>0.83696631633488738</v>
      </c>
      <c r="AO642">
        <v>640</v>
      </c>
      <c r="AP642">
        <v>0.95268209409461602</v>
      </c>
      <c r="AQ642">
        <v>0.81464035518495803</v>
      </c>
    </row>
    <row r="643" spans="14:43" x14ac:dyDescent="0.35">
      <c r="N643">
        <f t="shared" si="216"/>
        <v>641</v>
      </c>
      <c r="O643" s="6">
        <f t="shared" si="217"/>
        <v>259426.48964939528</v>
      </c>
      <c r="P643">
        <f t="shared" si="221"/>
        <v>12.971324482469765</v>
      </c>
      <c r="Q643">
        <f t="shared" si="222"/>
        <v>0</v>
      </c>
      <c r="R643" s="6">
        <f t="shared" si="213"/>
        <v>37.253834379143854</v>
      </c>
      <c r="S643">
        <f t="shared" si="223"/>
        <v>0.22352300627486313</v>
      </c>
      <c r="T643">
        <f t="shared" si="224"/>
        <v>0</v>
      </c>
      <c r="U643" s="6">
        <f t="shared" si="214"/>
        <v>2.0598418790657758E-43</v>
      </c>
      <c r="V643">
        <f t="shared" si="225"/>
        <v>3.0897628185986635E-44</v>
      </c>
      <c r="W643">
        <f t="shared" si="226"/>
        <v>0</v>
      </c>
      <c r="X643">
        <f t="shared" si="218"/>
        <v>259463.74348377442</v>
      </c>
      <c r="Y643" s="6">
        <f t="shared" ref="Y643:Y706" si="227">Y642-Y642*$F$3-Q643</f>
        <v>28825.165516599416</v>
      </c>
      <c r="Z643" s="6">
        <f t="shared" ref="Z643:Z706" si="228">Z642-Z642*$F$4</f>
        <v>4.1393149310159822</v>
      </c>
      <c r="AA643" s="6">
        <f t="shared" ref="AA643:AA706" si="229">AA642-AA642*$F$5</f>
        <v>2.2887131989619751E-44</v>
      </c>
      <c r="AB643">
        <f t="shared" ref="AB643:AB706" si="230">Q643+T643+W643</f>
        <v>0</v>
      </c>
      <c r="AD643" s="6">
        <f t="shared" si="219"/>
        <v>108799.14473471121</v>
      </c>
      <c r="AG643">
        <f t="shared" ref="AG643:AG706" si="231">IF(N642&lt;$H$12,AG642-AG642*($F$7+$H$7),AG642-AG642*$F$7)</f>
        <v>79800.888273343386</v>
      </c>
      <c r="AH643">
        <f t="shared" ref="AH643:AH706" si="232">IF(N642&lt;$H$12,AH642-AH642*($F$8+$H$8),AH642-AH642*$F$8)</f>
        <v>168.95162983738769</v>
      </c>
      <c r="AI643">
        <f t="shared" ref="AI643:AI706" si="233">IF(N642&lt;$H$12,AI642-AI642*($F$9+$H$9),AI642-AI642*$F$9)</f>
        <v>5.4929116775087477E-42</v>
      </c>
      <c r="AL643">
        <f t="shared" si="220"/>
        <v>0.960976827717683</v>
      </c>
      <c r="AM643">
        <f t="shared" si="215"/>
        <v>0.836916497959317</v>
      </c>
      <c r="AO643">
        <v>641</v>
      </c>
      <c r="AP643">
        <v>0.95259189475407402</v>
      </c>
      <c r="AQ643">
        <v>0.81454013369546696</v>
      </c>
    </row>
    <row r="644" spans="14:43" x14ac:dyDescent="0.35">
      <c r="N644">
        <f t="shared" si="216"/>
        <v>642</v>
      </c>
      <c r="O644" s="6">
        <f t="shared" si="217"/>
        <v>259413.51832491282</v>
      </c>
      <c r="P644">
        <f t="shared" si="221"/>
        <v>12.970675916245641</v>
      </c>
      <c r="Q644">
        <f t="shared" si="222"/>
        <v>0</v>
      </c>
      <c r="R644" s="6">
        <f t="shared" ref="R644:R707" si="234">R643-(S643-T643)</f>
        <v>37.030311372868994</v>
      </c>
      <c r="S644">
        <f t="shared" si="223"/>
        <v>0.22218186823721398</v>
      </c>
      <c r="T644">
        <f t="shared" si="224"/>
        <v>0</v>
      </c>
      <c r="U644" s="6">
        <f t="shared" ref="U644:U707" si="235">U643-(V643-W643)</f>
        <v>1.7508655972059094E-43</v>
      </c>
      <c r="V644">
        <f t="shared" si="225"/>
        <v>2.6262983958088638E-44</v>
      </c>
      <c r="W644">
        <f t="shared" si="226"/>
        <v>0</v>
      </c>
      <c r="X644">
        <f t="shared" si="218"/>
        <v>259450.54863628568</v>
      </c>
      <c r="Y644" s="6">
        <f t="shared" si="227"/>
        <v>28823.724258323586</v>
      </c>
      <c r="Z644" s="6">
        <f t="shared" si="228"/>
        <v>4.1144790414298864</v>
      </c>
      <c r="AA644" s="6">
        <f t="shared" si="229"/>
        <v>1.9454062191176789E-44</v>
      </c>
      <c r="AB644">
        <f t="shared" si="230"/>
        <v>0</v>
      </c>
      <c r="AD644" s="6">
        <f t="shared" si="219"/>
        <v>108792.6748863531</v>
      </c>
      <c r="AG644">
        <f t="shared" si="231"/>
        <v>79796.898228929713</v>
      </c>
      <c r="AH644">
        <f t="shared" si="232"/>
        <v>167.93792005836335</v>
      </c>
      <c r="AI644">
        <f t="shared" si="233"/>
        <v>4.6689749258824356E-42</v>
      </c>
      <c r="AL644">
        <f t="shared" si="220"/>
        <v>0.96092795791216912</v>
      </c>
      <c r="AM644">
        <f t="shared" ref="AM644:AM707" si="236">IF(AD644/$AD$2&lt;AM643,AD644/$AD$2,AM643)</f>
        <v>0.83686672989502386</v>
      </c>
      <c r="AO644">
        <v>642</v>
      </c>
      <c r="AP644">
        <v>0.952528421144061</v>
      </c>
      <c r="AQ644">
        <v>0.81441986790807597</v>
      </c>
    </row>
    <row r="645" spans="14:43" x14ac:dyDescent="0.35">
      <c r="N645">
        <f t="shared" si="216"/>
        <v>643</v>
      </c>
      <c r="O645" s="6">
        <f t="shared" si="217"/>
        <v>259400.54764899658</v>
      </c>
      <c r="P645">
        <f t="shared" si="221"/>
        <v>12.97002738244983</v>
      </c>
      <c r="Q645">
        <f t="shared" si="222"/>
        <v>0</v>
      </c>
      <c r="R645" s="6">
        <f t="shared" si="234"/>
        <v>36.808129504631779</v>
      </c>
      <c r="S645">
        <f t="shared" si="223"/>
        <v>0.22084877702779068</v>
      </c>
      <c r="T645">
        <f t="shared" si="224"/>
        <v>0</v>
      </c>
      <c r="U645" s="6">
        <f t="shared" si="235"/>
        <v>1.488235757625023E-43</v>
      </c>
      <c r="V645">
        <f t="shared" si="225"/>
        <v>2.2323536364375346E-44</v>
      </c>
      <c r="W645">
        <f t="shared" si="226"/>
        <v>0</v>
      </c>
      <c r="X645">
        <f t="shared" si="218"/>
        <v>259437.35577850122</v>
      </c>
      <c r="Y645" s="6">
        <f t="shared" si="227"/>
        <v>28822.283072110669</v>
      </c>
      <c r="Z645" s="6">
        <f t="shared" si="228"/>
        <v>4.0897921671813071</v>
      </c>
      <c r="AA645" s="6">
        <f t="shared" si="229"/>
        <v>1.653595286250027E-44</v>
      </c>
      <c r="AB645">
        <f t="shared" si="230"/>
        <v>0</v>
      </c>
      <c r="AD645" s="6">
        <f t="shared" si="219"/>
        <v>108786.21154083413</v>
      </c>
      <c r="AG645">
        <f t="shared" si="231"/>
        <v>79792.908384018272</v>
      </c>
      <c r="AH645">
        <f t="shared" si="232"/>
        <v>166.93029253801316</v>
      </c>
      <c r="AI645">
        <f t="shared" si="233"/>
        <v>3.96862868700007E-42</v>
      </c>
      <c r="AL645">
        <f t="shared" si="220"/>
        <v>0.96087909547593042</v>
      </c>
      <c r="AM645">
        <f t="shared" si="236"/>
        <v>0.83681701185257029</v>
      </c>
      <c r="AO645">
        <v>643</v>
      </c>
      <c r="AP645">
        <v>0.95243488108720398</v>
      </c>
      <c r="AQ645">
        <v>0.81427955782278705</v>
      </c>
    </row>
    <row r="646" spans="14:43" x14ac:dyDescent="0.35">
      <c r="N646">
        <f t="shared" si="216"/>
        <v>644</v>
      </c>
      <c r="O646" s="6">
        <f t="shared" si="217"/>
        <v>259387.57762161412</v>
      </c>
      <c r="P646">
        <f t="shared" si="221"/>
        <v>12.969378881080706</v>
      </c>
      <c r="Q646">
        <f t="shared" si="222"/>
        <v>0</v>
      </c>
      <c r="R646" s="6">
        <f t="shared" si="234"/>
        <v>36.587280727603989</v>
      </c>
      <c r="S646">
        <f t="shared" si="223"/>
        <v>0.21952368436562394</v>
      </c>
      <c r="T646">
        <f t="shared" si="224"/>
        <v>0</v>
      </c>
      <c r="U646" s="6">
        <f t="shared" si="235"/>
        <v>1.2650003939812696E-43</v>
      </c>
      <c r="V646">
        <f t="shared" si="225"/>
        <v>1.8975005909719045E-44</v>
      </c>
      <c r="W646">
        <f t="shared" si="226"/>
        <v>0</v>
      </c>
      <c r="X646">
        <f t="shared" si="218"/>
        <v>259424.16490234173</v>
      </c>
      <c r="Y646" s="6">
        <f t="shared" si="227"/>
        <v>28820.841957957065</v>
      </c>
      <c r="Z646" s="6">
        <f t="shared" si="228"/>
        <v>4.0652534141782191</v>
      </c>
      <c r="AA646" s="6">
        <f t="shared" si="229"/>
        <v>1.4055559933125229E-44</v>
      </c>
      <c r="AB646">
        <f t="shared" si="230"/>
        <v>0</v>
      </c>
      <c r="AD646" s="6">
        <f t="shared" si="219"/>
        <v>108779.7546607531</v>
      </c>
      <c r="AG646">
        <f t="shared" si="231"/>
        <v>79788.918738599066</v>
      </c>
      <c r="AH646">
        <f t="shared" si="232"/>
        <v>165.92871078278509</v>
      </c>
      <c r="AI646">
        <f t="shared" si="233"/>
        <v>3.3733343839500598E-42</v>
      </c>
      <c r="AL646">
        <f t="shared" si="220"/>
        <v>0.96083024037904341</v>
      </c>
      <c r="AM646">
        <f t="shared" si="236"/>
        <v>0.83676734354425464</v>
      </c>
      <c r="AO646">
        <v>644</v>
      </c>
      <c r="AP646">
        <v>0.95233800031402704</v>
      </c>
      <c r="AQ646">
        <v>0.81413924773750002</v>
      </c>
    </row>
    <row r="647" spans="14:43" x14ac:dyDescent="0.35">
      <c r="N647">
        <f t="shared" si="216"/>
        <v>645</v>
      </c>
      <c r="O647" s="6">
        <f t="shared" si="217"/>
        <v>259374.60824273305</v>
      </c>
      <c r="P647">
        <f t="shared" si="221"/>
        <v>12.968730412136653</v>
      </c>
      <c r="Q647">
        <f t="shared" si="222"/>
        <v>0</v>
      </c>
      <c r="R647" s="6">
        <f t="shared" si="234"/>
        <v>36.367757043238363</v>
      </c>
      <c r="S647">
        <f t="shared" si="223"/>
        <v>0.21820654225943018</v>
      </c>
      <c r="T647">
        <f t="shared" si="224"/>
        <v>0</v>
      </c>
      <c r="U647" s="6">
        <f t="shared" si="235"/>
        <v>1.0752503348840791E-43</v>
      </c>
      <c r="V647">
        <f t="shared" si="225"/>
        <v>1.6128755023261186E-44</v>
      </c>
      <c r="W647">
        <f t="shared" si="226"/>
        <v>0</v>
      </c>
      <c r="X647">
        <f t="shared" si="218"/>
        <v>259410.9759997763</v>
      </c>
      <c r="Y647" s="6">
        <f t="shared" si="227"/>
        <v>28819.400915859169</v>
      </c>
      <c r="Z647" s="6">
        <f t="shared" si="228"/>
        <v>4.0408618936931502</v>
      </c>
      <c r="AA647" s="6">
        <f t="shared" si="229"/>
        <v>1.1947225943156445E-44</v>
      </c>
      <c r="AB647">
        <f t="shared" si="230"/>
        <v>0</v>
      </c>
      <c r="AD647" s="6">
        <f t="shared" si="219"/>
        <v>108773.30420893308</v>
      </c>
      <c r="AG647">
        <f t="shared" si="231"/>
        <v>79784.929292662142</v>
      </c>
      <c r="AH647">
        <f t="shared" si="232"/>
        <v>164.93313851808838</v>
      </c>
      <c r="AI647">
        <f t="shared" si="233"/>
        <v>2.8673342263575508E-42</v>
      </c>
      <c r="AL647">
        <f t="shared" si="220"/>
        <v>0.96078139259176409</v>
      </c>
      <c r="AM647">
        <f t="shared" si="236"/>
        <v>0.83671772468410066</v>
      </c>
      <c r="AO647">
        <v>645</v>
      </c>
      <c r="AP647">
        <v>0.95223777882453498</v>
      </c>
      <c r="AQ647">
        <v>0.81400895980115995</v>
      </c>
    </row>
    <row r="648" spans="14:43" x14ac:dyDescent="0.35">
      <c r="N648">
        <f t="shared" si="216"/>
        <v>646</v>
      </c>
      <c r="O648" s="6">
        <f t="shared" si="217"/>
        <v>259361.63951232092</v>
      </c>
      <c r="P648">
        <f t="shared" si="221"/>
        <v>12.968081975616046</v>
      </c>
      <c r="Q648">
        <f t="shared" si="222"/>
        <v>0</v>
      </c>
      <c r="R648" s="6">
        <f t="shared" si="234"/>
        <v>36.149550500978933</v>
      </c>
      <c r="S648">
        <f t="shared" si="223"/>
        <v>0.21689730300587359</v>
      </c>
      <c r="T648">
        <f t="shared" si="224"/>
        <v>0</v>
      </c>
      <c r="U648" s="6">
        <f t="shared" si="235"/>
        <v>9.1396278465146713E-44</v>
      </c>
      <c r="V648">
        <f t="shared" si="225"/>
        <v>1.3709441769772007E-44</v>
      </c>
      <c r="W648">
        <f t="shared" si="226"/>
        <v>0</v>
      </c>
      <c r="X648">
        <f t="shared" si="218"/>
        <v>259397.78906282189</v>
      </c>
      <c r="Y648" s="6">
        <f t="shared" si="227"/>
        <v>28817.959945813374</v>
      </c>
      <c r="Z648" s="6">
        <f t="shared" si="228"/>
        <v>4.0166167223309914</v>
      </c>
      <c r="AA648" s="6">
        <f t="shared" si="229"/>
        <v>1.0155142051682979E-44</v>
      </c>
      <c r="AB648">
        <f t="shared" si="230"/>
        <v>0</v>
      </c>
      <c r="AD648" s="6">
        <f t="shared" si="219"/>
        <v>108766.86014842019</v>
      </c>
      <c r="AG648">
        <f t="shared" si="231"/>
        <v>79780.940046197502</v>
      </c>
      <c r="AH648">
        <f t="shared" si="232"/>
        <v>163.94353968697985</v>
      </c>
      <c r="AI648">
        <f t="shared" si="233"/>
        <v>2.4372340924039181E-42</v>
      </c>
      <c r="AL648">
        <f t="shared" si="220"/>
        <v>0.96073255208452546</v>
      </c>
      <c r="AM648">
        <f t="shared" si="236"/>
        <v>0.83666815498784763</v>
      </c>
      <c r="AO648">
        <v>646</v>
      </c>
      <c r="AP648">
        <v>0.95217096449820904</v>
      </c>
      <c r="AQ648">
        <v>0.81389871616271903</v>
      </c>
    </row>
    <row r="649" spans="14:43" x14ac:dyDescent="0.35">
      <c r="N649">
        <f t="shared" si="216"/>
        <v>647</v>
      </c>
      <c r="O649" s="6">
        <f t="shared" si="217"/>
        <v>259348.6714303453</v>
      </c>
      <c r="P649">
        <f t="shared" si="221"/>
        <v>12.967433571517265</v>
      </c>
      <c r="Q649">
        <f t="shared" si="222"/>
        <v>0</v>
      </c>
      <c r="R649" s="6">
        <f t="shared" si="234"/>
        <v>35.93265319797306</v>
      </c>
      <c r="S649">
        <f t="shared" si="223"/>
        <v>0.21559591918783835</v>
      </c>
      <c r="T649">
        <f t="shared" si="224"/>
        <v>0</v>
      </c>
      <c r="U649" s="6">
        <f t="shared" si="235"/>
        <v>7.7686836695374708E-44</v>
      </c>
      <c r="V649">
        <f t="shared" si="225"/>
        <v>1.1653025504306206E-44</v>
      </c>
      <c r="W649">
        <f t="shared" si="226"/>
        <v>0</v>
      </c>
      <c r="X649">
        <f t="shared" si="218"/>
        <v>259384.60408354327</v>
      </c>
      <c r="Y649" s="6">
        <f t="shared" si="227"/>
        <v>28816.519047816084</v>
      </c>
      <c r="Z649" s="6">
        <f t="shared" si="228"/>
        <v>3.9925170219970054</v>
      </c>
      <c r="AA649" s="6">
        <f t="shared" si="229"/>
        <v>8.6318707439305317E-45</v>
      </c>
      <c r="AB649">
        <f t="shared" si="230"/>
        <v>0</v>
      </c>
      <c r="AD649" s="6">
        <f t="shared" si="219"/>
        <v>108760.42244248214</v>
      </c>
      <c r="AG649">
        <f t="shared" si="231"/>
        <v>79776.950999195193</v>
      </c>
      <c r="AH649">
        <f t="shared" si="232"/>
        <v>162.95987844885798</v>
      </c>
      <c r="AI649">
        <f t="shared" si="233"/>
        <v>2.0716489785433304E-42</v>
      </c>
      <c r="AL649">
        <f t="shared" si="220"/>
        <v>0.96068371882793802</v>
      </c>
      <c r="AM649">
        <f t="shared" si="236"/>
        <v>0.83661863417293958</v>
      </c>
      <c r="AO649">
        <v>647</v>
      </c>
      <c r="AP649">
        <v>0.95203065441292001</v>
      </c>
      <c r="AQ649">
        <v>0.81375840607743</v>
      </c>
    </row>
    <row r="650" spans="14:43" x14ac:dyDescent="0.35">
      <c r="N650">
        <f t="shared" si="216"/>
        <v>648</v>
      </c>
      <c r="O650" s="6">
        <f t="shared" si="217"/>
        <v>259335.70399677378</v>
      </c>
      <c r="P650">
        <f t="shared" si="221"/>
        <v>12.966785199838689</v>
      </c>
      <c r="Q650">
        <f t="shared" si="222"/>
        <v>0</v>
      </c>
      <c r="R650" s="6">
        <f t="shared" si="234"/>
        <v>35.717057278785219</v>
      </c>
      <c r="S650">
        <f t="shared" si="223"/>
        <v>0.21430234367271131</v>
      </c>
      <c r="T650">
        <f t="shared" si="224"/>
        <v>0</v>
      </c>
      <c r="U650" s="6">
        <f t="shared" si="235"/>
        <v>6.60338111910685E-44</v>
      </c>
      <c r="V650">
        <f t="shared" si="225"/>
        <v>9.9050716786602749E-45</v>
      </c>
      <c r="W650">
        <f t="shared" si="226"/>
        <v>0</v>
      </c>
      <c r="X650">
        <f t="shared" si="218"/>
        <v>259371.42105405257</v>
      </c>
      <c r="Y650" s="6">
        <f t="shared" si="227"/>
        <v>28815.078221863692</v>
      </c>
      <c r="Z650" s="6">
        <f t="shared" si="228"/>
        <v>3.9685619198650235</v>
      </c>
      <c r="AA650" s="6">
        <f t="shared" si="229"/>
        <v>7.3370901323409523E-45</v>
      </c>
      <c r="AB650">
        <f t="shared" si="230"/>
        <v>0</v>
      </c>
      <c r="AD650" s="6">
        <f t="shared" si="219"/>
        <v>108753.99105460696</v>
      </c>
      <c r="AG650">
        <f t="shared" si="231"/>
        <v>79772.962151645232</v>
      </c>
      <c r="AH650">
        <f t="shared" si="232"/>
        <v>161.98211917816482</v>
      </c>
      <c r="AI650">
        <f t="shared" si="233"/>
        <v>1.7609016317618308E-42</v>
      </c>
      <c r="AL650">
        <f t="shared" si="220"/>
        <v>0.96063489279278724</v>
      </c>
      <c r="AM650">
        <f t="shared" si="236"/>
        <v>0.83656916195851505</v>
      </c>
      <c r="AO650">
        <v>648</v>
      </c>
      <c r="AP650">
        <v>0.95193377363974396</v>
      </c>
      <c r="AQ650">
        <v>0.813728339630583</v>
      </c>
    </row>
    <row r="651" spans="14:43" x14ac:dyDescent="0.35">
      <c r="N651">
        <f t="shared" si="216"/>
        <v>649</v>
      </c>
      <c r="O651" s="6">
        <f t="shared" si="217"/>
        <v>259322.73721157393</v>
      </c>
      <c r="P651">
        <f t="shared" si="221"/>
        <v>12.966136860578697</v>
      </c>
      <c r="Q651">
        <f t="shared" si="222"/>
        <v>0</v>
      </c>
      <c r="R651" s="6">
        <f t="shared" si="234"/>
        <v>35.502754935112506</v>
      </c>
      <c r="S651">
        <f t="shared" si="223"/>
        <v>0.21301652961067505</v>
      </c>
      <c r="T651">
        <f t="shared" si="224"/>
        <v>0</v>
      </c>
      <c r="U651" s="6">
        <f t="shared" si="235"/>
        <v>5.6128739512408225E-44</v>
      </c>
      <c r="V651">
        <f t="shared" si="225"/>
        <v>8.419310926861234E-45</v>
      </c>
      <c r="W651">
        <f t="shared" si="226"/>
        <v>0</v>
      </c>
      <c r="X651">
        <f t="shared" si="218"/>
        <v>259358.23996650905</v>
      </c>
      <c r="Y651" s="6">
        <f t="shared" si="227"/>
        <v>28813.637467952598</v>
      </c>
      <c r="Z651" s="6">
        <f t="shared" si="228"/>
        <v>3.9447505483458332</v>
      </c>
      <c r="AA651" s="6">
        <f t="shared" si="229"/>
        <v>6.2365266124898094E-45</v>
      </c>
      <c r="AB651">
        <f t="shared" si="230"/>
        <v>0</v>
      </c>
      <c r="AD651" s="6">
        <f t="shared" si="219"/>
        <v>108747.56594850169</v>
      </c>
      <c r="AG651">
        <f t="shared" si="231"/>
        <v>79768.973503537651</v>
      </c>
      <c r="AH651">
        <f t="shared" si="232"/>
        <v>161.01022646309585</v>
      </c>
      <c r="AI651">
        <f t="shared" si="233"/>
        <v>1.4967663869975562E-42</v>
      </c>
      <c r="AL651">
        <f t="shared" si="220"/>
        <v>0.96058607395003348</v>
      </c>
      <c r="AM651">
        <f t="shared" si="236"/>
        <v>0.8365197380653977</v>
      </c>
      <c r="AO651">
        <v>649</v>
      </c>
      <c r="AP651">
        <v>0.95183689286656803</v>
      </c>
      <c r="AQ651">
        <v>0.81361809599214296</v>
      </c>
    </row>
    <row r="652" spans="14:43" x14ac:dyDescent="0.35">
      <c r="N652">
        <f t="shared" si="216"/>
        <v>650</v>
      </c>
      <c r="O652" s="6">
        <f t="shared" si="217"/>
        <v>259309.77107471335</v>
      </c>
      <c r="P652">
        <f t="shared" si="221"/>
        <v>12.965488553735668</v>
      </c>
      <c r="Q652">
        <f t="shared" si="222"/>
        <v>0</v>
      </c>
      <c r="R652" s="6">
        <f t="shared" si="234"/>
        <v>35.289738405501829</v>
      </c>
      <c r="S652">
        <f t="shared" si="223"/>
        <v>0.21173843043301099</v>
      </c>
      <c r="T652">
        <f t="shared" si="224"/>
        <v>0</v>
      </c>
      <c r="U652" s="6">
        <f t="shared" si="235"/>
        <v>4.7709428585546992E-44</v>
      </c>
      <c r="V652">
        <f t="shared" si="225"/>
        <v>7.156414287832048E-45</v>
      </c>
      <c r="W652">
        <f t="shared" si="226"/>
        <v>0</v>
      </c>
      <c r="X652">
        <f t="shared" si="218"/>
        <v>259345.06081311885</v>
      </c>
      <c r="Y652" s="6">
        <f t="shared" si="227"/>
        <v>28812.196786079199</v>
      </c>
      <c r="Z652" s="6">
        <f t="shared" si="228"/>
        <v>3.921082045055758</v>
      </c>
      <c r="AA652" s="6">
        <f t="shared" si="229"/>
        <v>5.301047620616338E-45</v>
      </c>
      <c r="AB652">
        <f t="shared" si="230"/>
        <v>0</v>
      </c>
      <c r="AD652" s="6">
        <f t="shared" si="219"/>
        <v>108741.14708809105</v>
      </c>
      <c r="AG652">
        <f t="shared" si="231"/>
        <v>79764.985054862467</v>
      </c>
      <c r="AH652">
        <f t="shared" si="232"/>
        <v>160.04416510431727</v>
      </c>
      <c r="AI652">
        <f t="shared" si="233"/>
        <v>1.2722514289479227E-42</v>
      </c>
      <c r="AL652">
        <f t="shared" si="220"/>
        <v>0.9605372622708106</v>
      </c>
      <c r="AM652">
        <f t="shared" si="236"/>
        <v>0.83647036221608495</v>
      </c>
      <c r="AO652">
        <v>650</v>
      </c>
      <c r="AP652">
        <v>0.95173333066076005</v>
      </c>
      <c r="AQ652">
        <v>0.81350785235370104</v>
      </c>
    </row>
    <row r="653" spans="14:43" x14ac:dyDescent="0.35">
      <c r="N653">
        <f t="shared" si="216"/>
        <v>651</v>
      </c>
      <c r="O653" s="6">
        <f t="shared" si="217"/>
        <v>259296.80558615961</v>
      </c>
      <c r="P653">
        <f t="shared" si="221"/>
        <v>12.964840279307982</v>
      </c>
      <c r="Q653">
        <f t="shared" si="222"/>
        <v>0</v>
      </c>
      <c r="R653" s="6">
        <f t="shared" si="234"/>
        <v>35.077999975068821</v>
      </c>
      <c r="S653">
        <f t="shared" si="223"/>
        <v>0.21046799985041292</v>
      </c>
      <c r="T653">
        <f t="shared" si="224"/>
        <v>0</v>
      </c>
      <c r="U653" s="6">
        <f t="shared" si="235"/>
        <v>4.0553014297714943E-44</v>
      </c>
      <c r="V653">
        <f t="shared" si="225"/>
        <v>6.0829521446572414E-45</v>
      </c>
      <c r="W653">
        <f t="shared" si="226"/>
        <v>0</v>
      </c>
      <c r="X653">
        <f t="shared" si="218"/>
        <v>259331.88358613467</v>
      </c>
      <c r="Y653" s="6">
        <f t="shared" si="227"/>
        <v>28810.756176239895</v>
      </c>
      <c r="Z653" s="6">
        <f t="shared" si="228"/>
        <v>3.8975555527854233</v>
      </c>
      <c r="AA653" s="6">
        <f t="shared" si="229"/>
        <v>4.5058904775238872E-45</v>
      </c>
      <c r="AB653">
        <f t="shared" si="230"/>
        <v>0</v>
      </c>
      <c r="AD653" s="6">
        <f t="shared" si="219"/>
        <v>108734.7344375161</v>
      </c>
      <c r="AG653">
        <f t="shared" si="231"/>
        <v>79760.996805609728</v>
      </c>
      <c r="AH653">
        <f t="shared" si="232"/>
        <v>159.08390011369136</v>
      </c>
      <c r="AI653">
        <f t="shared" si="233"/>
        <v>1.0814137146057344E-42</v>
      </c>
      <c r="AL653">
        <f t="shared" si="220"/>
        <v>0.96048845772642477</v>
      </c>
      <c r="AM653">
        <f t="shared" si="236"/>
        <v>0.83642103413473923</v>
      </c>
      <c r="AO653">
        <v>651</v>
      </c>
      <c r="AP653">
        <v>0.95165983490179895</v>
      </c>
      <c r="AQ653">
        <v>0.81339760871526001</v>
      </c>
    </row>
    <row r="654" spans="14:43" x14ac:dyDescent="0.35">
      <c r="N654">
        <f t="shared" si="216"/>
        <v>652</v>
      </c>
      <c r="O654" s="6">
        <f t="shared" si="217"/>
        <v>259283.8407458803</v>
      </c>
      <c r="P654">
        <f t="shared" si="221"/>
        <v>12.964192037294016</v>
      </c>
      <c r="Q654">
        <f t="shared" si="222"/>
        <v>0</v>
      </c>
      <c r="R654" s="6">
        <f t="shared" si="234"/>
        <v>34.867531975218405</v>
      </c>
      <c r="S654">
        <f t="shared" si="223"/>
        <v>0.20920519185131042</v>
      </c>
      <c r="T654">
        <f t="shared" si="224"/>
        <v>0</v>
      </c>
      <c r="U654" s="6">
        <f t="shared" si="235"/>
        <v>3.4470062153057703E-44</v>
      </c>
      <c r="V654">
        <f t="shared" si="225"/>
        <v>5.170509322958655E-45</v>
      </c>
      <c r="W654">
        <f t="shared" si="226"/>
        <v>0</v>
      </c>
      <c r="X654">
        <f t="shared" si="218"/>
        <v>259318.70827785551</v>
      </c>
      <c r="Y654" s="6">
        <f t="shared" si="227"/>
        <v>28809.315638431082</v>
      </c>
      <c r="Z654" s="6">
        <f t="shared" si="228"/>
        <v>3.8741702194687107</v>
      </c>
      <c r="AA654" s="6">
        <f t="shared" si="229"/>
        <v>3.8300069058953044E-45</v>
      </c>
      <c r="AB654">
        <f t="shared" si="230"/>
        <v>0</v>
      </c>
      <c r="AD654" s="6">
        <f t="shared" si="219"/>
        <v>108728.32796113301</v>
      </c>
      <c r="AG654">
        <f t="shared" si="231"/>
        <v>79757.00875576945</v>
      </c>
      <c r="AH654">
        <f t="shared" si="232"/>
        <v>158.12939671300921</v>
      </c>
      <c r="AI654">
        <f t="shared" si="233"/>
        <v>9.1920165741487419E-43</v>
      </c>
      <c r="AL654">
        <f t="shared" si="220"/>
        <v>0.9604396602883537</v>
      </c>
      <c r="AM654">
        <f t="shared" si="236"/>
        <v>0.83637175354717697</v>
      </c>
      <c r="AO654">
        <v>652</v>
      </c>
      <c r="AP654">
        <v>0.951576316993889</v>
      </c>
      <c r="AQ654">
        <v>0.81332745367261605</v>
      </c>
    </row>
    <row r="655" spans="14:43" x14ac:dyDescent="0.35">
      <c r="N655">
        <f t="shared" si="216"/>
        <v>653</v>
      </c>
      <c r="O655" s="6">
        <f t="shared" si="217"/>
        <v>259270.876553843</v>
      </c>
      <c r="P655">
        <f t="shared" si="221"/>
        <v>12.963543827692151</v>
      </c>
      <c r="Q655">
        <f t="shared" si="222"/>
        <v>0</v>
      </c>
      <c r="R655" s="6">
        <f t="shared" si="234"/>
        <v>34.658326783367094</v>
      </c>
      <c r="S655">
        <f t="shared" si="223"/>
        <v>0.20794996070020258</v>
      </c>
      <c r="T655">
        <f t="shared" si="224"/>
        <v>0</v>
      </c>
      <c r="U655" s="6">
        <f t="shared" si="235"/>
        <v>2.9299552830099048E-44</v>
      </c>
      <c r="V655">
        <f t="shared" si="225"/>
        <v>4.3949329245148571E-45</v>
      </c>
      <c r="W655">
        <f t="shared" si="226"/>
        <v>0</v>
      </c>
      <c r="X655">
        <f t="shared" si="218"/>
        <v>259305.53488062636</v>
      </c>
      <c r="Y655" s="6">
        <f t="shared" si="227"/>
        <v>28807.875172649161</v>
      </c>
      <c r="Z655" s="6">
        <f t="shared" si="228"/>
        <v>3.8509251981518986</v>
      </c>
      <c r="AA655" s="6">
        <f t="shared" si="229"/>
        <v>3.2555058700110087E-45</v>
      </c>
      <c r="AB655">
        <f t="shared" si="230"/>
        <v>0</v>
      </c>
      <c r="AD655" s="6">
        <f t="shared" si="219"/>
        <v>108721.92762351171</v>
      </c>
      <c r="AG655">
        <f t="shared" si="231"/>
        <v>79753.020905331665</v>
      </c>
      <c r="AH655">
        <f t="shared" si="232"/>
        <v>157.18062033273117</v>
      </c>
      <c r="AI655">
        <f t="shared" si="233"/>
        <v>7.8132140880264306E-43</v>
      </c>
      <c r="AL655">
        <f t="shared" si="220"/>
        <v>0.96039086992824585</v>
      </c>
      <c r="AM655">
        <f t="shared" si="236"/>
        <v>0.83632252018085929</v>
      </c>
      <c r="AO655">
        <v>653</v>
      </c>
      <c r="AP655">
        <v>0.95147275478808202</v>
      </c>
      <c r="AQ655">
        <v>0.81325729862997098</v>
      </c>
    </row>
    <row r="656" spans="14:43" x14ac:dyDescent="0.35">
      <c r="N656">
        <f t="shared" si="216"/>
        <v>654</v>
      </c>
      <c r="O656" s="6">
        <f t="shared" si="217"/>
        <v>259257.9130100153</v>
      </c>
      <c r="P656">
        <f t="shared" si="221"/>
        <v>12.962895650500766</v>
      </c>
      <c r="Q656">
        <f t="shared" si="222"/>
        <v>0</v>
      </c>
      <c r="R656" s="6">
        <f t="shared" si="234"/>
        <v>34.45037682266689</v>
      </c>
      <c r="S656">
        <f t="shared" si="223"/>
        <v>0.20670226093600133</v>
      </c>
      <c r="T656">
        <f t="shared" si="224"/>
        <v>0</v>
      </c>
      <c r="U656" s="6">
        <f t="shared" si="235"/>
        <v>2.4904619905584189E-44</v>
      </c>
      <c r="V656">
        <f t="shared" si="225"/>
        <v>3.7356929858376281E-45</v>
      </c>
      <c r="W656">
        <f t="shared" si="226"/>
        <v>0</v>
      </c>
      <c r="X656">
        <f t="shared" si="218"/>
        <v>259292.36338683797</v>
      </c>
      <c r="Y656" s="6">
        <f t="shared" si="227"/>
        <v>28806.434778890529</v>
      </c>
      <c r="Z656" s="6">
        <f t="shared" si="228"/>
        <v>3.827819646962987</v>
      </c>
      <c r="AA656" s="6">
        <f t="shared" si="229"/>
        <v>2.7671799895093574E-45</v>
      </c>
      <c r="AB656">
        <f t="shared" si="230"/>
        <v>0</v>
      </c>
      <c r="AD656" s="6">
        <f t="shared" si="219"/>
        <v>108715.53338943463</v>
      </c>
      <c r="AG656">
        <f t="shared" si="231"/>
        <v>79749.033254286405</v>
      </c>
      <c r="AH656">
        <f t="shared" si="232"/>
        <v>156.23753661073479</v>
      </c>
      <c r="AI656">
        <f t="shared" si="233"/>
        <v>6.6412319748224661E-43</v>
      </c>
      <c r="AL656">
        <f t="shared" si="220"/>
        <v>0.96034208661791842</v>
      </c>
      <c r="AM656">
        <f t="shared" si="236"/>
        <v>0.83627333376488178</v>
      </c>
      <c r="AO656">
        <v>654</v>
      </c>
      <c r="AP656">
        <v>0.95139925902912204</v>
      </c>
      <c r="AQ656">
        <v>0.81316709928942899</v>
      </c>
    </row>
    <row r="657" spans="14:43" x14ac:dyDescent="0.35">
      <c r="N657">
        <f t="shared" si="216"/>
        <v>655</v>
      </c>
      <c r="O657" s="6">
        <f t="shared" si="217"/>
        <v>259244.95011436479</v>
      </c>
      <c r="P657">
        <f t="shared" si="221"/>
        <v>12.96224750571824</v>
      </c>
      <c r="Q657">
        <f t="shared" si="222"/>
        <v>0</v>
      </c>
      <c r="R657" s="6">
        <f t="shared" si="234"/>
        <v>34.243674561730892</v>
      </c>
      <c r="S657">
        <f t="shared" si="223"/>
        <v>0.20546204737038534</v>
      </c>
      <c r="T657">
        <f t="shared" si="224"/>
        <v>0</v>
      </c>
      <c r="U657" s="6">
        <f t="shared" si="235"/>
        <v>2.1168926919746562E-44</v>
      </c>
      <c r="V657">
        <f t="shared" si="225"/>
        <v>3.1753390379619845E-45</v>
      </c>
      <c r="W657">
        <f t="shared" si="226"/>
        <v>0</v>
      </c>
      <c r="X657">
        <f t="shared" si="218"/>
        <v>259279.19378892652</v>
      </c>
      <c r="Y657" s="6">
        <f t="shared" si="227"/>
        <v>28804.994457151584</v>
      </c>
      <c r="Z657" s="6">
        <f t="shared" si="228"/>
        <v>3.8048527290812091</v>
      </c>
      <c r="AA657" s="6">
        <f t="shared" si="229"/>
        <v>2.3521029910829538E-45</v>
      </c>
      <c r="AB657">
        <f t="shared" si="230"/>
        <v>0</v>
      </c>
      <c r="AD657" s="6">
        <f t="shared" si="219"/>
        <v>108709.14522389542</v>
      </c>
      <c r="AG657">
        <f t="shared" si="231"/>
        <v>79745.045802623688</v>
      </c>
      <c r="AH657">
        <f t="shared" si="232"/>
        <v>155.30011139107037</v>
      </c>
      <c r="AI657">
        <f t="shared" si="233"/>
        <v>5.6450471785990958E-43</v>
      </c>
      <c r="AL657">
        <f t="shared" si="220"/>
        <v>0.9602933103293575</v>
      </c>
      <c r="AM657">
        <f t="shared" si="236"/>
        <v>0.83622419402996484</v>
      </c>
      <c r="AO657">
        <v>655</v>
      </c>
      <c r="AP657">
        <v>0.95130571897226202</v>
      </c>
      <c r="AQ657">
        <v>0.81301676705519199</v>
      </c>
    </row>
    <row r="658" spans="14:43" x14ac:dyDescent="0.35">
      <c r="N658">
        <f t="shared" si="216"/>
        <v>656</v>
      </c>
      <c r="O658" s="6">
        <f t="shared" si="217"/>
        <v>259231.98786685907</v>
      </c>
      <c r="P658">
        <f t="shared" si="221"/>
        <v>12.961599393342954</v>
      </c>
      <c r="Q658">
        <f t="shared" si="222"/>
        <v>0</v>
      </c>
      <c r="R658" s="6">
        <f t="shared" si="234"/>
        <v>34.038212514360509</v>
      </c>
      <c r="S658">
        <f t="shared" si="223"/>
        <v>0.20422927508616306</v>
      </c>
      <c r="T658">
        <f t="shared" si="224"/>
        <v>0</v>
      </c>
      <c r="U658" s="6">
        <f t="shared" si="235"/>
        <v>1.7993587881784577E-44</v>
      </c>
      <c r="V658">
        <f t="shared" si="225"/>
        <v>2.6990381822676863E-45</v>
      </c>
      <c r="W658">
        <f t="shared" si="226"/>
        <v>0</v>
      </c>
      <c r="X658">
        <f t="shared" si="218"/>
        <v>259266.02607937343</v>
      </c>
      <c r="Y658" s="6">
        <f t="shared" si="227"/>
        <v>28803.554207428726</v>
      </c>
      <c r="Z658" s="6">
        <f t="shared" si="228"/>
        <v>3.7820236127067219</v>
      </c>
      <c r="AA658" s="6">
        <f t="shared" si="229"/>
        <v>1.9992875424205107E-45</v>
      </c>
      <c r="AB658">
        <f t="shared" si="230"/>
        <v>0</v>
      </c>
      <c r="AD658" s="6">
        <f t="shared" si="219"/>
        <v>108702.76309209772</v>
      </c>
      <c r="AG658">
        <f t="shared" si="231"/>
        <v>79741.058550333561</v>
      </c>
      <c r="AH658">
        <f t="shared" si="232"/>
        <v>154.36831072272395</v>
      </c>
      <c r="AI658">
        <f t="shared" si="233"/>
        <v>4.7982901018092315E-43</v>
      </c>
      <c r="AL658">
        <f t="shared" si="220"/>
        <v>0.96024454103471646</v>
      </c>
      <c r="AM658">
        <f t="shared" si="236"/>
        <v>0.83617510070844403</v>
      </c>
      <c r="AO658">
        <v>656</v>
      </c>
      <c r="AP658">
        <v>0.95117877175223997</v>
      </c>
      <c r="AQ658">
        <v>0.81290652341675096</v>
      </c>
    </row>
    <row r="659" spans="14:43" x14ac:dyDescent="0.35">
      <c r="N659">
        <f t="shared" si="216"/>
        <v>657</v>
      </c>
      <c r="O659" s="6">
        <f t="shared" si="217"/>
        <v>259219.02626746573</v>
      </c>
      <c r="P659">
        <f t="shared" si="221"/>
        <v>12.960951313373288</v>
      </c>
      <c r="Q659">
        <f t="shared" si="222"/>
        <v>0</v>
      </c>
      <c r="R659" s="6">
        <f t="shared" si="234"/>
        <v>33.833983239274346</v>
      </c>
      <c r="S659">
        <f t="shared" si="223"/>
        <v>0.20300389943564609</v>
      </c>
      <c r="T659">
        <f t="shared" si="224"/>
        <v>0</v>
      </c>
      <c r="U659" s="6">
        <f t="shared" si="235"/>
        <v>1.5294549699516891E-44</v>
      </c>
      <c r="V659">
        <f t="shared" si="225"/>
        <v>2.2941824549275336E-45</v>
      </c>
      <c r="W659">
        <f t="shared" si="226"/>
        <v>0</v>
      </c>
      <c r="X659">
        <f t="shared" si="218"/>
        <v>259252.86025070501</v>
      </c>
      <c r="Y659" s="6">
        <f t="shared" si="227"/>
        <v>28802.114029718356</v>
      </c>
      <c r="Z659" s="6">
        <f t="shared" si="228"/>
        <v>3.7593314710304817</v>
      </c>
      <c r="AA659" s="6">
        <f t="shared" si="229"/>
        <v>1.6993944110574343E-45</v>
      </c>
      <c r="AB659">
        <f t="shared" si="230"/>
        <v>0</v>
      </c>
      <c r="AD659" s="6">
        <f t="shared" si="219"/>
        <v>108696.38695945381</v>
      </c>
      <c r="AG659">
        <f t="shared" si="231"/>
        <v>79737.071497406039</v>
      </c>
      <c r="AH659">
        <f t="shared" si="232"/>
        <v>153.44210085838759</v>
      </c>
      <c r="AI659">
        <f t="shared" si="233"/>
        <v>4.0785465865378466E-43</v>
      </c>
      <c r="AL659">
        <f t="shared" si="220"/>
        <v>0.9601957787063149</v>
      </c>
      <c r="AM659">
        <f t="shared" si="236"/>
        <v>0.83612605353426006</v>
      </c>
      <c r="AO659">
        <v>657</v>
      </c>
      <c r="AP659">
        <v>0.95107855026274801</v>
      </c>
      <c r="AQ659">
        <v>0.81282634622515704</v>
      </c>
    </row>
    <row r="660" spans="14:43" x14ac:dyDescent="0.35">
      <c r="N660">
        <f t="shared" si="216"/>
        <v>658</v>
      </c>
      <c r="O660" s="6">
        <f t="shared" si="217"/>
        <v>259206.06531615235</v>
      </c>
      <c r="P660">
        <f t="shared" si="221"/>
        <v>12.960303265807617</v>
      </c>
      <c r="Q660">
        <f t="shared" si="222"/>
        <v>0</v>
      </c>
      <c r="R660" s="6">
        <f t="shared" si="234"/>
        <v>33.630979339838703</v>
      </c>
      <c r="S660">
        <f t="shared" si="223"/>
        <v>0.20178587603903222</v>
      </c>
      <c r="T660">
        <f t="shared" si="224"/>
        <v>0</v>
      </c>
      <c r="U660" s="6">
        <f t="shared" si="235"/>
        <v>1.3000367244589357E-44</v>
      </c>
      <c r="V660">
        <f t="shared" si="225"/>
        <v>1.9500550866884036E-45</v>
      </c>
      <c r="W660">
        <f t="shared" si="226"/>
        <v>0</v>
      </c>
      <c r="X660">
        <f t="shared" si="218"/>
        <v>259239.69629549218</v>
      </c>
      <c r="Y660" s="6">
        <f t="shared" si="227"/>
        <v>28800.673924016868</v>
      </c>
      <c r="Z660" s="6">
        <f t="shared" si="228"/>
        <v>3.7367754822042989</v>
      </c>
      <c r="AA660" s="6">
        <f t="shared" si="229"/>
        <v>1.444485249398819E-45</v>
      </c>
      <c r="AB660">
        <f t="shared" si="230"/>
        <v>0</v>
      </c>
      <c r="AD660" s="6">
        <f t="shared" si="219"/>
        <v>108690.01679158348</v>
      </c>
      <c r="AG660">
        <f t="shared" si="231"/>
        <v>79733.084643831171</v>
      </c>
      <c r="AH660">
        <f t="shared" si="232"/>
        <v>152.52144825323725</v>
      </c>
      <c r="AI660">
        <f t="shared" si="233"/>
        <v>3.4667645985571698E-43</v>
      </c>
      <c r="AL660">
        <f t="shared" si="220"/>
        <v>0.9601470233166377</v>
      </c>
      <c r="AM660">
        <f t="shared" si="236"/>
        <v>0.83607705224294981</v>
      </c>
      <c r="AO660">
        <v>658</v>
      </c>
      <c r="AP660">
        <v>0.95099169163852104</v>
      </c>
      <c r="AQ660">
        <v>0.81270608043776804</v>
      </c>
    </row>
    <row r="661" spans="14:43" x14ac:dyDescent="0.35">
      <c r="N661">
        <f t="shared" si="216"/>
        <v>659</v>
      </c>
      <c r="O661" s="6">
        <f t="shared" si="217"/>
        <v>259193.10501288655</v>
      </c>
      <c r="P661">
        <f t="shared" si="221"/>
        <v>12.959655250644328</v>
      </c>
      <c r="Q661">
        <f t="shared" si="222"/>
        <v>0</v>
      </c>
      <c r="R661" s="6">
        <f t="shared" si="234"/>
        <v>33.42919346379967</v>
      </c>
      <c r="S661">
        <f t="shared" si="223"/>
        <v>0.20057516078279802</v>
      </c>
      <c r="T661">
        <f t="shared" si="224"/>
        <v>0</v>
      </c>
      <c r="U661" s="6">
        <f t="shared" si="235"/>
        <v>1.1050312157900953E-44</v>
      </c>
      <c r="V661">
        <f t="shared" si="225"/>
        <v>1.657546823685143E-45</v>
      </c>
      <c r="W661">
        <f t="shared" si="226"/>
        <v>0</v>
      </c>
      <c r="X661">
        <f t="shared" si="218"/>
        <v>259226.53420635033</v>
      </c>
      <c r="Y661" s="6">
        <f t="shared" si="227"/>
        <v>28799.233890320666</v>
      </c>
      <c r="Z661" s="6">
        <f t="shared" si="228"/>
        <v>3.7143548293110733</v>
      </c>
      <c r="AA661" s="6">
        <f t="shared" si="229"/>
        <v>1.2278124619889961E-45</v>
      </c>
      <c r="AB661">
        <f t="shared" si="230"/>
        <v>0</v>
      </c>
      <c r="AD661" s="6">
        <f t="shared" si="219"/>
        <v>108683.65255431266</v>
      </c>
      <c r="AG661">
        <f t="shared" si="231"/>
        <v>79729.097989598973</v>
      </c>
      <c r="AH661">
        <f t="shared" si="232"/>
        <v>151.60631956371782</v>
      </c>
      <c r="AI661">
        <f t="shared" si="233"/>
        <v>2.9467499087735944E-43</v>
      </c>
      <c r="AL661">
        <f t="shared" si="220"/>
        <v>0.96009827483833454</v>
      </c>
      <c r="AM661">
        <f t="shared" si="236"/>
        <v>0.8360280965716359</v>
      </c>
      <c r="AO661">
        <v>659</v>
      </c>
      <c r="AP661">
        <v>0.95090817373061098</v>
      </c>
      <c r="AQ661">
        <v>0.81258581465037705</v>
      </c>
    </row>
    <row r="662" spans="14:43" x14ac:dyDescent="0.35">
      <c r="N662">
        <f t="shared" si="216"/>
        <v>660</v>
      </c>
      <c r="O662" s="6">
        <f t="shared" si="217"/>
        <v>259180.14535763589</v>
      </c>
      <c r="P662">
        <f t="shared" si="221"/>
        <v>12.959007267881795</v>
      </c>
      <c r="Q662">
        <f t="shared" si="222"/>
        <v>0</v>
      </c>
      <c r="R662" s="6">
        <f t="shared" si="234"/>
        <v>33.228618303016873</v>
      </c>
      <c r="S662">
        <f t="shared" si="223"/>
        <v>0.19937170981810123</v>
      </c>
      <c r="T662">
        <f t="shared" si="224"/>
        <v>0</v>
      </c>
      <c r="U662" s="6">
        <f t="shared" si="235"/>
        <v>9.3927653342158107E-45</v>
      </c>
      <c r="V662">
        <f t="shared" si="225"/>
        <v>1.4089148001323717E-45</v>
      </c>
      <c r="W662">
        <f t="shared" si="226"/>
        <v>0</v>
      </c>
      <c r="X662">
        <f t="shared" si="218"/>
        <v>259213.37397593891</v>
      </c>
      <c r="Y662" s="6">
        <f t="shared" si="227"/>
        <v>28797.79392862615</v>
      </c>
      <c r="Z662" s="6">
        <f t="shared" si="228"/>
        <v>3.6920687003352071</v>
      </c>
      <c r="AA662" s="6">
        <f t="shared" si="229"/>
        <v>1.0436405926906467E-45</v>
      </c>
      <c r="AB662">
        <f t="shared" si="230"/>
        <v>0</v>
      </c>
      <c r="AD662" s="6">
        <f t="shared" si="219"/>
        <v>108677.29421367231</v>
      </c>
      <c r="AG662">
        <f t="shared" si="231"/>
        <v>79725.111534699492</v>
      </c>
      <c r="AH662">
        <f t="shared" si="232"/>
        <v>150.69668164633552</v>
      </c>
      <c r="AI662">
        <f t="shared" si="233"/>
        <v>2.5047374224575554E-43</v>
      </c>
      <c r="AL662">
        <f t="shared" si="220"/>
        <v>0.96004953324421816</v>
      </c>
      <c r="AM662">
        <f t="shared" si="236"/>
        <v>0.83597918625901779</v>
      </c>
      <c r="AO662">
        <v>660</v>
      </c>
      <c r="AP662">
        <v>0.95081797439006999</v>
      </c>
      <c r="AQ662">
        <v>0.81253570390563101</v>
      </c>
    </row>
    <row r="663" spans="14:43" x14ac:dyDescent="0.35">
      <c r="N663">
        <f t="shared" si="216"/>
        <v>661</v>
      </c>
      <c r="O663" s="6">
        <f t="shared" si="217"/>
        <v>259167.18635036802</v>
      </c>
      <c r="P663">
        <f t="shared" si="221"/>
        <v>12.958359317518402</v>
      </c>
      <c r="Q663">
        <f t="shared" si="222"/>
        <v>0</v>
      </c>
      <c r="R663" s="6">
        <f t="shared" si="234"/>
        <v>33.029246593198771</v>
      </c>
      <c r="S663">
        <f t="shared" si="223"/>
        <v>0.19817547955919262</v>
      </c>
      <c r="T663">
        <f t="shared" si="224"/>
        <v>0</v>
      </c>
      <c r="U663" s="6">
        <f t="shared" si="235"/>
        <v>7.9838505340834387E-45</v>
      </c>
      <c r="V663">
        <f t="shared" si="225"/>
        <v>1.1975775801125157E-45</v>
      </c>
      <c r="W663">
        <f t="shared" si="226"/>
        <v>0</v>
      </c>
      <c r="X663">
        <f t="shared" si="218"/>
        <v>259200.21559696121</v>
      </c>
      <c r="Y663" s="6">
        <f t="shared" si="227"/>
        <v>28796.35403892972</v>
      </c>
      <c r="Z663" s="6">
        <f t="shared" si="228"/>
        <v>3.6699162881331957</v>
      </c>
      <c r="AA663" s="6">
        <f t="shared" si="229"/>
        <v>8.8709450378704965E-46</v>
      </c>
      <c r="AB663">
        <f t="shared" si="230"/>
        <v>0</v>
      </c>
      <c r="AD663" s="6">
        <f t="shared" si="219"/>
        <v>108670.94173589707</v>
      </c>
      <c r="AG663">
        <f t="shared" si="231"/>
        <v>79721.12527912276</v>
      </c>
      <c r="AH663">
        <f t="shared" si="232"/>
        <v>149.79250155645749</v>
      </c>
      <c r="AI663">
        <f t="shared" si="233"/>
        <v>2.129026809088922E-43</v>
      </c>
      <c r="AL663">
        <f t="shared" si="220"/>
        <v>0.96000079850726372</v>
      </c>
      <c r="AM663">
        <f t="shared" si="236"/>
        <v>0.83593032104536202</v>
      </c>
      <c r="AO663">
        <v>661</v>
      </c>
      <c r="AP663">
        <v>0.95070773075162796</v>
      </c>
      <c r="AQ663">
        <v>0.81247557101193602</v>
      </c>
    </row>
    <row r="664" spans="14:43" x14ac:dyDescent="0.35">
      <c r="N664">
        <f t="shared" si="216"/>
        <v>662</v>
      </c>
      <c r="O664" s="6">
        <f t="shared" si="217"/>
        <v>259154.22799105052</v>
      </c>
      <c r="P664">
        <f t="shared" si="221"/>
        <v>12.957711399552526</v>
      </c>
      <c r="Q664">
        <f t="shared" si="222"/>
        <v>0</v>
      </c>
      <c r="R664" s="6">
        <f t="shared" si="234"/>
        <v>32.831071113639581</v>
      </c>
      <c r="S664">
        <f t="shared" si="223"/>
        <v>0.1969864266818375</v>
      </c>
      <c r="T664">
        <f t="shared" si="224"/>
        <v>0</v>
      </c>
      <c r="U664" s="6">
        <f t="shared" si="235"/>
        <v>6.7862729539709232E-45</v>
      </c>
      <c r="V664">
        <f t="shared" si="225"/>
        <v>1.0179409430956384E-45</v>
      </c>
      <c r="W664">
        <f t="shared" si="226"/>
        <v>0</v>
      </c>
      <c r="X664">
        <f t="shared" si="218"/>
        <v>259187.05906216416</v>
      </c>
      <c r="Y664" s="6">
        <f t="shared" si="227"/>
        <v>28794.914221227773</v>
      </c>
      <c r="Z664" s="6">
        <f t="shared" si="228"/>
        <v>3.6478967904043964</v>
      </c>
      <c r="AA664" s="6">
        <f t="shared" si="229"/>
        <v>7.5403032821899214E-46</v>
      </c>
      <c r="AB664">
        <f t="shared" si="230"/>
        <v>0</v>
      </c>
      <c r="AD664" s="6">
        <f t="shared" si="219"/>
        <v>108664.59508742411</v>
      </c>
      <c r="AG664">
        <f t="shared" si="231"/>
        <v>79717.139222858808</v>
      </c>
      <c r="AH664">
        <f t="shared" si="232"/>
        <v>148.89374654711875</v>
      </c>
      <c r="AI664">
        <f t="shared" si="233"/>
        <v>1.8096727877255839E-43</v>
      </c>
      <c r="AL664">
        <f t="shared" si="220"/>
        <v>0.95995207060060805</v>
      </c>
      <c r="AM664">
        <f t="shared" si="236"/>
        <v>0.83588150067249312</v>
      </c>
      <c r="AO664">
        <v>662</v>
      </c>
      <c r="AP664">
        <v>0.95065427929056601</v>
      </c>
      <c r="AQ664">
        <v>0.81236532737349498</v>
      </c>
    </row>
    <row r="665" spans="14:43" x14ac:dyDescent="0.35">
      <c r="N665">
        <f t="shared" si="216"/>
        <v>663</v>
      </c>
      <c r="O665" s="6">
        <f t="shared" si="217"/>
        <v>259141.27027965095</v>
      </c>
      <c r="P665">
        <f t="shared" si="221"/>
        <v>12.957063513982549</v>
      </c>
      <c r="Q665">
        <f t="shared" si="222"/>
        <v>0</v>
      </c>
      <c r="R665" s="6">
        <f t="shared" si="234"/>
        <v>32.634084686957742</v>
      </c>
      <c r="S665">
        <f t="shared" si="223"/>
        <v>0.19580450812174646</v>
      </c>
      <c r="T665">
        <f t="shared" si="224"/>
        <v>0</v>
      </c>
      <c r="U665" s="6">
        <f t="shared" si="235"/>
        <v>5.7683320108752843E-45</v>
      </c>
      <c r="V665">
        <f t="shared" si="225"/>
        <v>8.6524980163129268E-46</v>
      </c>
      <c r="W665">
        <f t="shared" si="226"/>
        <v>0</v>
      </c>
      <c r="X665">
        <f t="shared" si="218"/>
        <v>259173.90436433791</v>
      </c>
      <c r="Y665" s="6">
        <f t="shared" si="227"/>
        <v>28793.474475516712</v>
      </c>
      <c r="Z665" s="6">
        <f t="shared" si="228"/>
        <v>3.6260094096619699</v>
      </c>
      <c r="AA665" s="6">
        <f t="shared" si="229"/>
        <v>6.4092577898614332E-46</v>
      </c>
      <c r="AB665">
        <f t="shared" si="230"/>
        <v>0</v>
      </c>
      <c r="AD665" s="6">
        <f t="shared" si="219"/>
        <v>108658.25423489188</v>
      </c>
      <c r="AG665">
        <f t="shared" si="231"/>
        <v>79713.15336589767</v>
      </c>
      <c r="AH665">
        <f t="shared" si="232"/>
        <v>148.00038406783605</v>
      </c>
      <c r="AI665">
        <f t="shared" si="233"/>
        <v>1.5382218695667463E-43</v>
      </c>
      <c r="AL665">
        <f t="shared" si="220"/>
        <v>0.95990334949754785</v>
      </c>
      <c r="AM665">
        <f t="shared" si="236"/>
        <v>0.83583272488378368</v>
      </c>
      <c r="AO665">
        <v>663</v>
      </c>
      <c r="AP665">
        <v>0.95055071708475802</v>
      </c>
      <c r="AQ665">
        <v>0.81231521662874995</v>
      </c>
    </row>
    <row r="666" spans="14:43" x14ac:dyDescent="0.35">
      <c r="N666">
        <f t="shared" si="216"/>
        <v>664</v>
      </c>
      <c r="O666" s="6">
        <f t="shared" si="217"/>
        <v>259128.31321613697</v>
      </c>
      <c r="P666">
        <f t="shared" si="221"/>
        <v>12.956415660806849</v>
      </c>
      <c r="Q666">
        <f t="shared" si="222"/>
        <v>0</v>
      </c>
      <c r="R666" s="6">
        <f t="shared" si="234"/>
        <v>32.438280178835996</v>
      </c>
      <c r="S666">
        <f t="shared" si="223"/>
        <v>0.19462968107301598</v>
      </c>
      <c r="T666">
        <f t="shared" si="224"/>
        <v>0</v>
      </c>
      <c r="U666" s="6">
        <f t="shared" si="235"/>
        <v>4.9030822092439915E-45</v>
      </c>
      <c r="V666">
        <f t="shared" si="225"/>
        <v>7.3546233138659866E-46</v>
      </c>
      <c r="W666">
        <f t="shared" si="226"/>
        <v>0</v>
      </c>
      <c r="X666">
        <f t="shared" si="218"/>
        <v>259160.75149631582</v>
      </c>
      <c r="Y666" s="6">
        <f t="shared" si="227"/>
        <v>28792.034801792935</v>
      </c>
      <c r="Z666" s="6">
        <f t="shared" si="228"/>
        <v>3.604253353203998</v>
      </c>
      <c r="AA666" s="6">
        <f t="shared" si="229"/>
        <v>5.4478691213822179E-46</v>
      </c>
      <c r="AB666">
        <f t="shared" si="230"/>
        <v>0</v>
      </c>
      <c r="AD666" s="6">
        <f t="shared" si="219"/>
        <v>108651.91914513895</v>
      </c>
      <c r="AG666">
        <f t="shared" si="231"/>
        <v>79709.167708229375</v>
      </c>
      <c r="AH666">
        <f t="shared" si="232"/>
        <v>147.11238176342903</v>
      </c>
      <c r="AI666">
        <f t="shared" si="233"/>
        <v>1.3074885891317343E-43</v>
      </c>
      <c r="AL666">
        <f t="shared" si="220"/>
        <v>0.95985463517154002</v>
      </c>
      <c r="AM666">
        <f t="shared" si="236"/>
        <v>0.83578399342414578</v>
      </c>
      <c r="AO666">
        <v>664</v>
      </c>
      <c r="AP666">
        <v>0.95043713273000097</v>
      </c>
      <c r="AQ666">
        <v>0.81220497299030903</v>
      </c>
    </row>
    <row r="667" spans="14:43" x14ac:dyDescent="0.35">
      <c r="N667">
        <f t="shared" si="216"/>
        <v>665</v>
      </c>
      <c r="O667" s="6">
        <f t="shared" si="217"/>
        <v>259115.35680047618</v>
      </c>
      <c r="P667">
        <f t="shared" si="221"/>
        <v>12.95576784002381</v>
      </c>
      <c r="Q667">
        <f t="shared" si="222"/>
        <v>0</v>
      </c>
      <c r="R667" s="6">
        <f t="shared" si="234"/>
        <v>32.243650497762978</v>
      </c>
      <c r="S667">
        <f t="shared" si="223"/>
        <v>0.19346190298657787</v>
      </c>
      <c r="T667">
        <f t="shared" si="224"/>
        <v>0</v>
      </c>
      <c r="U667" s="6">
        <f t="shared" si="235"/>
        <v>4.167619877857393E-45</v>
      </c>
      <c r="V667">
        <f t="shared" si="225"/>
        <v>6.2514298167860893E-46</v>
      </c>
      <c r="W667">
        <f t="shared" si="226"/>
        <v>0</v>
      </c>
      <c r="X667">
        <f t="shared" si="218"/>
        <v>259147.60045097393</v>
      </c>
      <c r="Y667" s="6">
        <f t="shared" si="227"/>
        <v>28790.595200052845</v>
      </c>
      <c r="Z667" s="6">
        <f t="shared" si="228"/>
        <v>3.5826278330847741</v>
      </c>
      <c r="AA667" s="6">
        <f t="shared" si="229"/>
        <v>4.6306887531748854E-46</v>
      </c>
      <c r="AB667">
        <f t="shared" si="230"/>
        <v>0</v>
      </c>
      <c r="AD667" s="6">
        <f t="shared" si="219"/>
        <v>108645.58978520273</v>
      </c>
      <c r="AG667">
        <f t="shared" si="231"/>
        <v>79705.182249843958</v>
      </c>
      <c r="AH667">
        <f t="shared" si="232"/>
        <v>146.22970747284845</v>
      </c>
      <c r="AI667">
        <f t="shared" si="233"/>
        <v>1.1113653007619742E-43</v>
      </c>
      <c r="AL667">
        <f t="shared" si="220"/>
        <v>0.95980592759619976</v>
      </c>
      <c r="AM667">
        <f t="shared" si="236"/>
        <v>0.835735306040021</v>
      </c>
      <c r="AO667">
        <v>665</v>
      </c>
      <c r="AP667">
        <v>0.95034025195682503</v>
      </c>
      <c r="AQ667">
        <v>0.81210475150081596</v>
      </c>
    </row>
    <row r="668" spans="14:43" x14ac:dyDescent="0.35">
      <c r="N668">
        <f t="shared" si="216"/>
        <v>666</v>
      </c>
      <c r="O668" s="6">
        <f t="shared" si="217"/>
        <v>259102.40103263615</v>
      </c>
      <c r="P668">
        <f t="shared" si="221"/>
        <v>12.955120051631807</v>
      </c>
      <c r="Q668">
        <f t="shared" si="222"/>
        <v>0</v>
      </c>
      <c r="R668" s="6">
        <f t="shared" si="234"/>
        <v>32.050188594776401</v>
      </c>
      <c r="S668">
        <f t="shared" si="223"/>
        <v>0.19230113156865841</v>
      </c>
      <c r="T668">
        <f t="shared" si="224"/>
        <v>0</v>
      </c>
      <c r="U668" s="6">
        <f t="shared" si="235"/>
        <v>3.5424768961787838E-45</v>
      </c>
      <c r="V668">
        <f t="shared" si="225"/>
        <v>5.3137153442681753E-46</v>
      </c>
      <c r="W668">
        <f t="shared" si="226"/>
        <v>0</v>
      </c>
      <c r="X668">
        <f t="shared" si="218"/>
        <v>259134.45122123093</v>
      </c>
      <c r="Y668" s="6">
        <f t="shared" si="227"/>
        <v>28789.155670292843</v>
      </c>
      <c r="Z668" s="6">
        <f t="shared" si="228"/>
        <v>3.5611320660862655</v>
      </c>
      <c r="AA668" s="6">
        <f t="shared" si="229"/>
        <v>3.9360854401986528E-46</v>
      </c>
      <c r="AB668">
        <f t="shared" si="230"/>
        <v>0</v>
      </c>
      <c r="AD668" s="6">
        <f t="shared" si="219"/>
        <v>108639.26612231841</v>
      </c>
      <c r="AG668">
        <f t="shared" si="231"/>
        <v>79701.196990731463</v>
      </c>
      <c r="AH668">
        <f t="shared" si="232"/>
        <v>145.35232922801134</v>
      </c>
      <c r="AI668">
        <f t="shared" si="233"/>
        <v>9.4466050564767817E-44</v>
      </c>
      <c r="AL668">
        <f t="shared" si="220"/>
        <v>0.95975722674529973</v>
      </c>
      <c r="AM668">
        <f t="shared" si="236"/>
        <v>0.8356866624793724</v>
      </c>
      <c r="AO668">
        <v>666</v>
      </c>
      <c r="AP668">
        <v>0.95025339333259795</v>
      </c>
      <c r="AQ668">
        <v>0.812004530011325</v>
      </c>
    </row>
    <row r="669" spans="14:43" x14ac:dyDescent="0.35">
      <c r="N669">
        <f t="shared" si="216"/>
        <v>667</v>
      </c>
      <c r="O669" s="6">
        <f t="shared" si="217"/>
        <v>259089.44591258452</v>
      </c>
      <c r="P669">
        <f t="shared" si="221"/>
        <v>12.954472295629227</v>
      </c>
      <c r="Q669">
        <f t="shared" si="222"/>
        <v>0</v>
      </c>
      <c r="R669" s="6">
        <f t="shared" si="234"/>
        <v>31.857887463207742</v>
      </c>
      <c r="S669">
        <f t="shared" si="223"/>
        <v>0.19114732477924645</v>
      </c>
      <c r="T669">
        <f t="shared" si="224"/>
        <v>0</v>
      </c>
      <c r="U669" s="6">
        <f t="shared" si="235"/>
        <v>3.0111053617519662E-45</v>
      </c>
      <c r="V669">
        <f t="shared" si="225"/>
        <v>4.5166580426279495E-46</v>
      </c>
      <c r="W669">
        <f t="shared" si="226"/>
        <v>0</v>
      </c>
      <c r="X669">
        <f t="shared" si="218"/>
        <v>259121.30380004772</v>
      </c>
      <c r="Y669" s="6">
        <f t="shared" si="227"/>
        <v>28787.716212509327</v>
      </c>
      <c r="Z669" s="6">
        <f t="shared" si="228"/>
        <v>3.5397652736897478</v>
      </c>
      <c r="AA669" s="6">
        <f t="shared" si="229"/>
        <v>3.3456726241688551E-46</v>
      </c>
      <c r="AB669">
        <f t="shared" si="230"/>
        <v>0</v>
      </c>
      <c r="AD669" s="6">
        <f t="shared" si="219"/>
        <v>108632.94812391758</v>
      </c>
      <c r="AG669">
        <f t="shared" si="231"/>
        <v>79697.211930881924</v>
      </c>
      <c r="AH669">
        <f t="shared" si="232"/>
        <v>144.48021525264326</v>
      </c>
      <c r="AI669">
        <f t="shared" si="233"/>
        <v>8.0296142980052645E-44</v>
      </c>
      <c r="AL669">
        <f t="shared" si="220"/>
        <v>0.95970853259276934</v>
      </c>
      <c r="AM669">
        <f t="shared" si="236"/>
        <v>0.83563806249167372</v>
      </c>
      <c r="AO669">
        <v>667</v>
      </c>
      <c r="AP669">
        <v>0.950169875424689</v>
      </c>
      <c r="AQ669">
        <v>0.81189428637288397</v>
      </c>
    </row>
    <row r="670" spans="14:43" x14ac:dyDescent="0.35">
      <c r="N670">
        <f t="shared" si="216"/>
        <v>668</v>
      </c>
      <c r="O670" s="6">
        <f t="shared" si="217"/>
        <v>259076.4914402889</v>
      </c>
      <c r="P670">
        <f t="shared" si="221"/>
        <v>12.953824572014446</v>
      </c>
      <c r="Q670">
        <f t="shared" si="222"/>
        <v>0</v>
      </c>
      <c r="R670" s="6">
        <f t="shared" si="234"/>
        <v>31.666740138428494</v>
      </c>
      <c r="S670">
        <f t="shared" si="223"/>
        <v>0.19000044083057097</v>
      </c>
      <c r="T670">
        <f t="shared" si="224"/>
        <v>0</v>
      </c>
      <c r="U670" s="6">
        <f t="shared" si="235"/>
        <v>2.5594395574891713E-45</v>
      </c>
      <c r="V670">
        <f t="shared" si="225"/>
        <v>3.8391593362337567E-46</v>
      </c>
      <c r="W670">
        <f t="shared" si="226"/>
        <v>0</v>
      </c>
      <c r="X670">
        <f t="shared" si="218"/>
        <v>259108.15818042733</v>
      </c>
      <c r="Y670" s="6">
        <f t="shared" si="227"/>
        <v>28786.2768266987</v>
      </c>
      <c r="Z670" s="6">
        <f t="shared" si="228"/>
        <v>3.5185266820476091</v>
      </c>
      <c r="AA670" s="6">
        <f t="shared" si="229"/>
        <v>2.843821730543527E-46</v>
      </c>
      <c r="AB670">
        <f t="shared" si="230"/>
        <v>0</v>
      </c>
      <c r="AD670" s="6">
        <f t="shared" si="219"/>
        <v>108626.63575762726</v>
      </c>
      <c r="AG670">
        <f t="shared" si="231"/>
        <v>79693.227070285386</v>
      </c>
      <c r="AH670">
        <f t="shared" si="232"/>
        <v>143.61333396112741</v>
      </c>
      <c r="AI670">
        <f t="shared" si="233"/>
        <v>6.825172153304475E-44</v>
      </c>
      <c r="AL670">
        <f t="shared" si="220"/>
        <v>0.95965984511269387</v>
      </c>
      <c r="AM670">
        <f t="shared" si="236"/>
        <v>0.83558950582790192</v>
      </c>
      <c r="AO670">
        <v>668</v>
      </c>
      <c r="AP670">
        <v>0.95006631321888102</v>
      </c>
      <c r="AQ670">
        <v>0.81181410918129004</v>
      </c>
    </row>
    <row r="671" spans="14:43" x14ac:dyDescent="0.35">
      <c r="N671">
        <f t="shared" si="216"/>
        <v>669</v>
      </c>
      <c r="O671" s="6">
        <f t="shared" si="217"/>
        <v>259063.53761571689</v>
      </c>
      <c r="P671">
        <f t="shared" si="221"/>
        <v>12.953176880785845</v>
      </c>
      <c r="Q671">
        <f t="shared" si="222"/>
        <v>0</v>
      </c>
      <c r="R671" s="6">
        <f t="shared" si="234"/>
        <v>31.476739697597925</v>
      </c>
      <c r="S671">
        <f t="shared" si="223"/>
        <v>0.18886043818558756</v>
      </c>
      <c r="T671">
        <f t="shared" si="224"/>
        <v>0</v>
      </c>
      <c r="U671" s="6">
        <f t="shared" si="235"/>
        <v>2.1755236238657957E-45</v>
      </c>
      <c r="V671">
        <f t="shared" si="225"/>
        <v>3.2632854357986935E-46</v>
      </c>
      <c r="W671">
        <f t="shared" si="226"/>
        <v>0</v>
      </c>
      <c r="X671">
        <f t="shared" si="218"/>
        <v>259095.01435541449</v>
      </c>
      <c r="Y671" s="6">
        <f t="shared" si="227"/>
        <v>28784.837512857364</v>
      </c>
      <c r="Z671" s="6">
        <f t="shared" si="228"/>
        <v>3.4974155219553236</v>
      </c>
      <c r="AA671" s="6">
        <f t="shared" si="229"/>
        <v>2.4172484709619979E-46</v>
      </c>
      <c r="AB671">
        <f t="shared" si="230"/>
        <v>0</v>
      </c>
      <c r="AD671" s="6">
        <f t="shared" si="219"/>
        <v>108620.32899126854</v>
      </c>
      <c r="AG671">
        <f t="shared" si="231"/>
        <v>79689.242408931867</v>
      </c>
      <c r="AH671">
        <f t="shared" si="232"/>
        <v>142.75165395736065</v>
      </c>
      <c r="AI671">
        <f t="shared" si="233"/>
        <v>5.8013963303088036E-44</v>
      </c>
      <c r="AL671">
        <f t="shared" si="220"/>
        <v>0.95961116427931292</v>
      </c>
      <c r="AM671">
        <f t="shared" si="236"/>
        <v>0.83554099224052725</v>
      </c>
      <c r="AO671">
        <v>669</v>
      </c>
      <c r="AP671">
        <v>0.94994938814780705</v>
      </c>
      <c r="AQ671">
        <v>0.81170386554285001</v>
      </c>
    </row>
    <row r="672" spans="14:43" x14ac:dyDescent="0.35">
      <c r="N672">
        <f t="shared" si="216"/>
        <v>670</v>
      </c>
      <c r="O672" s="6">
        <f t="shared" si="217"/>
        <v>259050.58443883611</v>
      </c>
      <c r="P672">
        <f t="shared" si="221"/>
        <v>12.952529221941806</v>
      </c>
      <c r="Q672">
        <f t="shared" si="222"/>
        <v>0</v>
      </c>
      <c r="R672" s="6">
        <f t="shared" si="234"/>
        <v>31.287879259412335</v>
      </c>
      <c r="S672">
        <f t="shared" si="223"/>
        <v>0.187727275556474</v>
      </c>
      <c r="T672">
        <f t="shared" si="224"/>
        <v>0</v>
      </c>
      <c r="U672" s="6">
        <f t="shared" si="235"/>
        <v>1.8491950802859264E-45</v>
      </c>
      <c r="V672">
        <f t="shared" si="225"/>
        <v>2.7737926204288895E-46</v>
      </c>
      <c r="W672">
        <f t="shared" si="226"/>
        <v>0</v>
      </c>
      <c r="X672">
        <f t="shared" si="218"/>
        <v>259081.87231809553</v>
      </c>
      <c r="Y672" s="6">
        <f t="shared" si="227"/>
        <v>28783.398270981721</v>
      </c>
      <c r="Z672" s="6">
        <f t="shared" si="228"/>
        <v>3.4764310288235918</v>
      </c>
      <c r="AA672" s="6">
        <f t="shared" si="229"/>
        <v>2.0546612003176981E-46</v>
      </c>
      <c r="AB672">
        <f t="shared" si="230"/>
        <v>0</v>
      </c>
      <c r="AD672" s="6">
        <f t="shared" si="219"/>
        <v>108614.02779285556</v>
      </c>
      <c r="AG672">
        <f t="shared" si="231"/>
        <v>79685.257946811413</v>
      </c>
      <c r="AH672">
        <f t="shared" si="232"/>
        <v>141.89514403361648</v>
      </c>
      <c r="AI672">
        <f t="shared" si="233"/>
        <v>4.9311868807624826E-44</v>
      </c>
      <c r="AL672">
        <f t="shared" si="220"/>
        <v>0.95956249006702043</v>
      </c>
      <c r="AM672">
        <f t="shared" si="236"/>
        <v>0.83549252148350428</v>
      </c>
      <c r="AO672">
        <v>670</v>
      </c>
      <c r="AP672">
        <v>0.94985918880726405</v>
      </c>
      <c r="AQ672">
        <v>0.81163371050020605</v>
      </c>
    </row>
    <row r="673" spans="14:43" x14ac:dyDescent="0.35">
      <c r="N673">
        <f t="shared" si="216"/>
        <v>671</v>
      </c>
      <c r="O673" s="6">
        <f t="shared" si="217"/>
        <v>259037.63190961417</v>
      </c>
      <c r="P673">
        <f t="shared" si="221"/>
        <v>12.951881595480708</v>
      </c>
      <c r="Q673">
        <f t="shared" si="222"/>
        <v>0</v>
      </c>
      <c r="R673" s="6">
        <f t="shared" si="234"/>
        <v>31.100151983855863</v>
      </c>
      <c r="S673">
        <f t="shared" si="223"/>
        <v>0.18660091190313519</v>
      </c>
      <c r="T673">
        <f t="shared" si="224"/>
        <v>0</v>
      </c>
      <c r="U673" s="6">
        <f t="shared" si="235"/>
        <v>1.5718158182430374E-45</v>
      </c>
      <c r="V673">
        <f t="shared" si="225"/>
        <v>2.3577237273645559E-46</v>
      </c>
      <c r="W673">
        <f t="shared" si="226"/>
        <v>0</v>
      </c>
      <c r="X673">
        <f t="shared" si="218"/>
        <v>259068.73206159801</v>
      </c>
      <c r="Y673" s="6">
        <f t="shared" si="227"/>
        <v>28781.959101068172</v>
      </c>
      <c r="Z673" s="6">
        <f t="shared" si="228"/>
        <v>3.4555724426506504</v>
      </c>
      <c r="AA673" s="6">
        <f t="shared" si="229"/>
        <v>1.7464620202700435E-46</v>
      </c>
      <c r="AB673">
        <f t="shared" si="230"/>
        <v>0</v>
      </c>
      <c r="AD673" s="6">
        <f t="shared" si="219"/>
        <v>108607.7321305943</v>
      </c>
      <c r="AG673">
        <f t="shared" si="231"/>
        <v>79681.273683914071</v>
      </c>
      <c r="AH673">
        <f t="shared" si="232"/>
        <v>141.04377316941478</v>
      </c>
      <c r="AI673">
        <f t="shared" si="233"/>
        <v>4.1915088486481103E-44</v>
      </c>
      <c r="AL673">
        <f t="shared" si="220"/>
        <v>0.95951382245036299</v>
      </c>
      <c r="AM673">
        <f t="shared" si="236"/>
        <v>0.83544409331226388</v>
      </c>
      <c r="AO673">
        <v>671</v>
      </c>
      <c r="AP673">
        <v>0.94970551585671004</v>
      </c>
      <c r="AQ673">
        <v>0.81153348901071298</v>
      </c>
    </row>
    <row r="674" spans="14:43" x14ac:dyDescent="0.35">
      <c r="N674">
        <f t="shared" si="216"/>
        <v>672</v>
      </c>
      <c r="O674" s="6">
        <f t="shared" si="217"/>
        <v>259024.68002801869</v>
      </c>
      <c r="P674">
        <f t="shared" si="221"/>
        <v>12.951234001400936</v>
      </c>
      <c r="Q674">
        <f t="shared" si="222"/>
        <v>0</v>
      </c>
      <c r="R674" s="6">
        <f t="shared" si="234"/>
        <v>30.913551071952728</v>
      </c>
      <c r="S674">
        <f t="shared" si="223"/>
        <v>0.18548130643171637</v>
      </c>
      <c r="T674">
        <f t="shared" si="224"/>
        <v>0</v>
      </c>
      <c r="U674" s="6">
        <f t="shared" si="235"/>
        <v>1.3360434455065819E-45</v>
      </c>
      <c r="V674">
        <f t="shared" si="225"/>
        <v>2.0040651682598729E-46</v>
      </c>
      <c r="W674">
        <f t="shared" si="226"/>
        <v>0</v>
      </c>
      <c r="X674">
        <f t="shared" si="218"/>
        <v>259055.59357909064</v>
      </c>
      <c r="Y674" s="6">
        <f t="shared" si="227"/>
        <v>28780.520003113121</v>
      </c>
      <c r="Z674" s="6">
        <f t="shared" si="228"/>
        <v>3.4348390079947464</v>
      </c>
      <c r="AA674" s="6">
        <f t="shared" si="229"/>
        <v>1.4844927172295371E-46</v>
      </c>
      <c r="AB674">
        <f t="shared" si="230"/>
        <v>0</v>
      </c>
      <c r="AD674" s="6">
        <f t="shared" si="219"/>
        <v>108601.4419728814</v>
      </c>
      <c r="AG674">
        <f t="shared" si="231"/>
        <v>79677.289620229873</v>
      </c>
      <c r="AH674">
        <f t="shared" si="232"/>
        <v>140.19751053039829</v>
      </c>
      <c r="AI674">
        <f t="shared" si="233"/>
        <v>3.5627825213508936E-44</v>
      </c>
      <c r="AL674">
        <f t="shared" si="220"/>
        <v>0.95946516140403937</v>
      </c>
      <c r="AM674">
        <f t="shared" si="236"/>
        <v>0.83539570748370306</v>
      </c>
      <c r="AO674">
        <v>672</v>
      </c>
      <c r="AP674">
        <v>0.94963202009774905</v>
      </c>
      <c r="AQ674">
        <v>0.81148337826596795</v>
      </c>
    </row>
    <row r="675" spans="14:43" x14ac:dyDescent="0.35">
      <c r="N675">
        <f t="shared" si="216"/>
        <v>673</v>
      </c>
      <c r="O675" s="6">
        <f t="shared" si="217"/>
        <v>259011.72879401728</v>
      </c>
      <c r="P675">
        <f t="shared" si="221"/>
        <v>12.950586439700865</v>
      </c>
      <c r="Q675">
        <f t="shared" si="222"/>
        <v>0</v>
      </c>
      <c r="R675" s="6">
        <f t="shared" si="234"/>
        <v>30.728069765521013</v>
      </c>
      <c r="S675">
        <f t="shared" si="223"/>
        <v>0.18436841859312608</v>
      </c>
      <c r="T675">
        <f t="shared" si="224"/>
        <v>0</v>
      </c>
      <c r="U675" s="6">
        <f t="shared" si="235"/>
        <v>1.1356369286805945E-45</v>
      </c>
      <c r="V675">
        <f t="shared" si="225"/>
        <v>1.7034553930208916E-46</v>
      </c>
      <c r="W675">
        <f t="shared" si="226"/>
        <v>0</v>
      </c>
      <c r="X675">
        <f t="shared" si="218"/>
        <v>259042.45686378281</v>
      </c>
      <c r="Y675" s="6">
        <f t="shared" si="227"/>
        <v>28779.080977112964</v>
      </c>
      <c r="Z675" s="6">
        <f t="shared" si="228"/>
        <v>3.4142299739467781</v>
      </c>
      <c r="AA675" s="6">
        <f t="shared" si="229"/>
        <v>1.2618188096451066E-46</v>
      </c>
      <c r="AB675">
        <f t="shared" si="230"/>
        <v>0</v>
      </c>
      <c r="AD675" s="6">
        <f t="shared" si="219"/>
        <v>108595.157288303</v>
      </c>
      <c r="AG675">
        <f t="shared" si="231"/>
        <v>79673.305755748865</v>
      </c>
      <c r="AH675">
        <f t="shared" si="232"/>
        <v>139.3563254672159</v>
      </c>
      <c r="AI675">
        <f t="shared" si="233"/>
        <v>3.0283651431482597E-44</v>
      </c>
      <c r="AL675">
        <f t="shared" si="220"/>
        <v>0.95941650690289926</v>
      </c>
      <c r="AM675">
        <f t="shared" si="236"/>
        <v>0.83534736375617691</v>
      </c>
      <c r="AO675">
        <v>673</v>
      </c>
      <c r="AP675">
        <v>0.94952177645930802</v>
      </c>
      <c r="AQ675">
        <v>0.81139317892542495</v>
      </c>
    </row>
    <row r="676" spans="14:43" x14ac:dyDescent="0.35">
      <c r="N676">
        <f t="shared" si="216"/>
        <v>674</v>
      </c>
      <c r="O676" s="6">
        <f t="shared" si="217"/>
        <v>258998.77820757759</v>
      </c>
      <c r="P676">
        <f t="shared" si="221"/>
        <v>12.949938910378879</v>
      </c>
      <c r="Q676">
        <f t="shared" si="222"/>
        <v>0</v>
      </c>
      <c r="R676" s="6">
        <f t="shared" si="234"/>
        <v>30.543701346927886</v>
      </c>
      <c r="S676">
        <f t="shared" si="223"/>
        <v>0.18326220808156732</v>
      </c>
      <c r="T676">
        <f t="shared" si="224"/>
        <v>0</v>
      </c>
      <c r="U676" s="6">
        <f t="shared" si="235"/>
        <v>9.6529138937850545E-46</v>
      </c>
      <c r="V676">
        <f t="shared" si="225"/>
        <v>1.4479370840677581E-46</v>
      </c>
      <c r="W676">
        <f t="shared" si="226"/>
        <v>0</v>
      </c>
      <c r="X676">
        <f t="shared" si="218"/>
        <v>259029.32190892452</v>
      </c>
      <c r="Y676" s="6">
        <f t="shared" si="227"/>
        <v>28777.642023064109</v>
      </c>
      <c r="Z676" s="6">
        <f t="shared" si="228"/>
        <v>3.3937445941030973</v>
      </c>
      <c r="AA676" s="6">
        <f t="shared" si="229"/>
        <v>1.0725459881983406E-46</v>
      </c>
      <c r="AB676">
        <f t="shared" si="230"/>
        <v>0</v>
      </c>
      <c r="AD676" s="6">
        <f t="shared" si="219"/>
        <v>108588.87804563371</v>
      </c>
      <c r="AG676">
        <f t="shared" si="231"/>
        <v>79669.322090461079</v>
      </c>
      <c r="AH676">
        <f t="shared" si="232"/>
        <v>138.52018751441261</v>
      </c>
      <c r="AI676">
        <f t="shared" si="233"/>
        <v>2.5741103716760207E-44</v>
      </c>
      <c r="AL676">
        <f t="shared" si="220"/>
        <v>0.95936785892194265</v>
      </c>
      <c r="AM676">
        <f t="shared" si="236"/>
        <v>0.8352990618894901</v>
      </c>
      <c r="AO676">
        <v>674</v>
      </c>
      <c r="AP676">
        <v>0.94940151067191803</v>
      </c>
      <c r="AQ676">
        <v>0.81129295743593399</v>
      </c>
    </row>
    <row r="677" spans="14:43" x14ac:dyDescent="0.35">
      <c r="N677">
        <f t="shared" ref="N677:N740" si="237">N676+1</f>
        <v>675</v>
      </c>
      <c r="O677" s="6">
        <f t="shared" si="217"/>
        <v>258985.82826866722</v>
      </c>
      <c r="P677">
        <f t="shared" si="221"/>
        <v>12.949291413433361</v>
      </c>
      <c r="Q677">
        <f t="shared" si="222"/>
        <v>0</v>
      </c>
      <c r="R677" s="6">
        <f t="shared" si="234"/>
        <v>30.360439138846317</v>
      </c>
      <c r="S677">
        <f t="shared" si="223"/>
        <v>0.1821626348330779</v>
      </c>
      <c r="T677">
        <f t="shared" si="224"/>
        <v>0</v>
      </c>
      <c r="U677" s="6">
        <f t="shared" si="235"/>
        <v>8.2049768097172969E-46</v>
      </c>
      <c r="V677">
        <f t="shared" si="225"/>
        <v>1.2307465214575944E-46</v>
      </c>
      <c r="W677">
        <f t="shared" si="226"/>
        <v>0</v>
      </c>
      <c r="X677">
        <f t="shared" si="218"/>
        <v>259016.18870780605</v>
      </c>
      <c r="Y677" s="6">
        <f t="shared" si="227"/>
        <v>28776.203140962956</v>
      </c>
      <c r="Z677" s="6">
        <f t="shared" si="228"/>
        <v>3.3733821265384787</v>
      </c>
      <c r="AA677" s="6">
        <f t="shared" si="229"/>
        <v>9.1166408996858958E-47</v>
      </c>
      <c r="AB677">
        <f t="shared" si="230"/>
        <v>0</v>
      </c>
      <c r="AD677" s="6">
        <f t="shared" si="219"/>
        <v>108582.60421383538</v>
      </c>
      <c r="AG677">
        <f t="shared" si="231"/>
        <v>79665.338624356562</v>
      </c>
      <c r="AH677">
        <f t="shared" si="232"/>
        <v>137.68906638932614</v>
      </c>
      <c r="AI677">
        <f t="shared" si="233"/>
        <v>2.1879938159246175E-44</v>
      </c>
      <c r="AL677">
        <f t="shared" si="220"/>
        <v>0.95931921743631876</v>
      </c>
      <c r="AM677">
        <f t="shared" si="236"/>
        <v>0.83525080164488752</v>
      </c>
      <c r="AO677">
        <v>675</v>
      </c>
      <c r="AP677">
        <v>0.94930797061506</v>
      </c>
      <c r="AQ677">
        <v>0.81121278024433996</v>
      </c>
    </row>
    <row r="678" spans="14:43" x14ac:dyDescent="0.35">
      <c r="N678">
        <f t="shared" si="237"/>
        <v>676</v>
      </c>
      <c r="O678" s="6">
        <f t="shared" si="217"/>
        <v>258972.87897725377</v>
      </c>
      <c r="P678">
        <f t="shared" si="221"/>
        <v>12.948643948862689</v>
      </c>
      <c r="Q678">
        <f t="shared" si="222"/>
        <v>0</v>
      </c>
      <c r="R678" s="6">
        <f t="shared" si="234"/>
        <v>30.17827650401324</v>
      </c>
      <c r="S678">
        <f t="shared" si="223"/>
        <v>0.18106965902407945</v>
      </c>
      <c r="T678">
        <f t="shared" si="224"/>
        <v>0</v>
      </c>
      <c r="U678" s="6">
        <f t="shared" si="235"/>
        <v>6.9742302882597023E-46</v>
      </c>
      <c r="V678">
        <f t="shared" si="225"/>
        <v>1.0461345432389554E-46</v>
      </c>
      <c r="W678">
        <f t="shared" si="226"/>
        <v>0</v>
      </c>
      <c r="X678">
        <f t="shared" si="218"/>
        <v>259003.05725375778</v>
      </c>
      <c r="Y678" s="6">
        <f t="shared" si="227"/>
        <v>28774.764330805909</v>
      </c>
      <c r="Z678" s="6">
        <f t="shared" si="228"/>
        <v>3.3531418337792478</v>
      </c>
      <c r="AA678" s="6">
        <f t="shared" si="229"/>
        <v>7.7491447647330118E-47</v>
      </c>
      <c r="AB678">
        <f t="shared" si="230"/>
        <v>0</v>
      </c>
      <c r="AD678" s="6">
        <f t="shared" si="219"/>
        <v>108576.33576205603</v>
      </c>
      <c r="AG678">
        <f t="shared" si="231"/>
        <v>79661.355357425346</v>
      </c>
      <c r="AH678">
        <f t="shared" si="232"/>
        <v>136.86293199099018</v>
      </c>
      <c r="AI678">
        <f t="shared" si="233"/>
        <v>1.8597947435359249E-44</v>
      </c>
      <c r="AL678">
        <f t="shared" si="220"/>
        <v>0.95927058242132512</v>
      </c>
      <c r="AM678">
        <f t="shared" si="236"/>
        <v>0.83520258278504633</v>
      </c>
      <c r="AO678">
        <v>676</v>
      </c>
      <c r="AP678">
        <v>0.94923781557241405</v>
      </c>
      <c r="AQ678">
        <v>0.811142625201696</v>
      </c>
    </row>
    <row r="679" spans="14:43" x14ac:dyDescent="0.35">
      <c r="N679">
        <f t="shared" si="237"/>
        <v>677</v>
      </c>
      <c r="O679" s="6">
        <f t="shared" si="217"/>
        <v>258959.93033330492</v>
      </c>
      <c r="P679">
        <f t="shared" si="221"/>
        <v>12.947996516665247</v>
      </c>
      <c r="Q679">
        <f t="shared" si="222"/>
        <v>0</v>
      </c>
      <c r="R679" s="6">
        <f t="shared" si="234"/>
        <v>29.997206844989162</v>
      </c>
      <c r="S679">
        <f t="shared" si="223"/>
        <v>0.17998324106993496</v>
      </c>
      <c r="T679">
        <f t="shared" si="224"/>
        <v>0</v>
      </c>
      <c r="U679" s="6">
        <f t="shared" si="235"/>
        <v>5.9280957450207471E-46</v>
      </c>
      <c r="V679">
        <f t="shared" si="225"/>
        <v>8.8921436175311207E-47</v>
      </c>
      <c r="W679">
        <f t="shared" si="226"/>
        <v>0</v>
      </c>
      <c r="X679">
        <f t="shared" si="218"/>
        <v>258989.92754014992</v>
      </c>
      <c r="Y679" s="6">
        <f t="shared" si="227"/>
        <v>28773.325592589368</v>
      </c>
      <c r="Z679" s="6">
        <f t="shared" si="228"/>
        <v>3.3330229827765723</v>
      </c>
      <c r="AA679" s="6">
        <f t="shared" si="229"/>
        <v>6.5867730500230606E-47</v>
      </c>
      <c r="AB679">
        <f t="shared" si="230"/>
        <v>0</v>
      </c>
      <c r="AD679" s="6">
        <f t="shared" si="219"/>
        <v>108570.07265962867</v>
      </c>
      <c r="AG679">
        <f t="shared" si="231"/>
        <v>79657.372289657476</v>
      </c>
      <c r="AH679">
        <f t="shared" si="232"/>
        <v>136.04175439904424</v>
      </c>
      <c r="AI679">
        <f t="shared" si="233"/>
        <v>1.5808255320055363E-44</v>
      </c>
      <c r="AL679">
        <f t="shared" si="220"/>
        <v>0.95922195385240705</v>
      </c>
      <c r="AM679">
        <f t="shared" si="236"/>
        <v>0.83515440507406669</v>
      </c>
      <c r="AO679">
        <v>677</v>
      </c>
      <c r="AP679">
        <v>0.94913759408292397</v>
      </c>
      <c r="AQ679">
        <v>0.81094218222271197</v>
      </c>
    </row>
    <row r="680" spans="14:43" x14ac:dyDescent="0.35">
      <c r="N680">
        <f t="shared" si="237"/>
        <v>678</v>
      </c>
      <c r="O680" s="6">
        <f t="shared" si="217"/>
        <v>258946.98233678826</v>
      </c>
      <c r="P680">
        <f t="shared" si="221"/>
        <v>12.947349116839414</v>
      </c>
      <c r="Q680">
        <f t="shared" si="222"/>
        <v>0</v>
      </c>
      <c r="R680" s="6">
        <f t="shared" si="234"/>
        <v>29.817223603919228</v>
      </c>
      <c r="S680">
        <f t="shared" si="223"/>
        <v>0.17890334162351537</v>
      </c>
      <c r="T680">
        <f t="shared" si="224"/>
        <v>0</v>
      </c>
      <c r="U680" s="6">
        <f t="shared" si="235"/>
        <v>5.0388813832676348E-46</v>
      </c>
      <c r="V680">
        <f t="shared" si="225"/>
        <v>7.5583220749014517E-47</v>
      </c>
      <c r="W680">
        <f t="shared" si="226"/>
        <v>0</v>
      </c>
      <c r="X680">
        <f t="shared" si="218"/>
        <v>258976.79956039219</v>
      </c>
      <c r="Y680" s="6">
        <f t="shared" si="227"/>
        <v>28771.88692630974</v>
      </c>
      <c r="Z680" s="6">
        <f t="shared" si="228"/>
        <v>3.3130248448799127</v>
      </c>
      <c r="AA680" s="6">
        <f t="shared" si="229"/>
        <v>5.5987570925196021E-47</v>
      </c>
      <c r="AB680">
        <f t="shared" si="230"/>
        <v>0</v>
      </c>
      <c r="AD680" s="6">
        <f t="shared" si="219"/>
        <v>108563.81487607025</v>
      </c>
      <c r="AG680">
        <f t="shared" si="231"/>
        <v>79653.389421042986</v>
      </c>
      <c r="AH680">
        <f t="shared" si="232"/>
        <v>135.22550387264997</v>
      </c>
      <c r="AI680">
        <f t="shared" si="233"/>
        <v>1.343701702204706E-44</v>
      </c>
      <c r="AL680">
        <f t="shared" si="220"/>
        <v>0.95917333170515628</v>
      </c>
      <c r="AM680">
        <f t="shared" si="236"/>
        <v>0.83510626827746348</v>
      </c>
      <c r="AO680">
        <v>678</v>
      </c>
      <c r="AP680">
        <v>0.94903403187711599</v>
      </c>
      <c r="AQ680">
        <v>0.81086200503111805</v>
      </c>
    </row>
    <row r="681" spans="14:43" x14ac:dyDescent="0.35">
      <c r="N681">
        <f t="shared" si="237"/>
        <v>679</v>
      </c>
      <c r="O681" s="6">
        <f t="shared" si="217"/>
        <v>258934.03498767142</v>
      </c>
      <c r="P681">
        <f t="shared" si="221"/>
        <v>12.946701749383571</v>
      </c>
      <c r="Q681">
        <f t="shared" si="222"/>
        <v>0</v>
      </c>
      <c r="R681" s="6">
        <f t="shared" si="234"/>
        <v>29.638320262295711</v>
      </c>
      <c r="S681">
        <f t="shared" si="223"/>
        <v>0.17782992157377428</v>
      </c>
      <c r="T681">
        <f t="shared" si="224"/>
        <v>0</v>
      </c>
      <c r="U681" s="6">
        <f t="shared" si="235"/>
        <v>4.28304917577749E-46</v>
      </c>
      <c r="V681">
        <f t="shared" si="225"/>
        <v>6.4245737636662344E-47</v>
      </c>
      <c r="W681">
        <f t="shared" si="226"/>
        <v>0</v>
      </c>
      <c r="X681">
        <f t="shared" si="218"/>
        <v>258963.6733079337</v>
      </c>
      <c r="Y681" s="6">
        <f t="shared" si="227"/>
        <v>28770.448331963424</v>
      </c>
      <c r="Z681" s="6">
        <f t="shared" si="228"/>
        <v>3.2931466958106332</v>
      </c>
      <c r="AA681" s="6">
        <f t="shared" si="229"/>
        <v>4.7589435286416614E-47</v>
      </c>
      <c r="AB681">
        <f t="shared" si="230"/>
        <v>0</v>
      </c>
      <c r="AD681" s="6">
        <f t="shared" si="219"/>
        <v>108557.56238108058</v>
      </c>
      <c r="AG681">
        <f t="shared" si="231"/>
        <v>79649.406751571936</v>
      </c>
      <c r="AH681">
        <f t="shared" si="232"/>
        <v>134.41415084941406</v>
      </c>
      <c r="AI681">
        <f t="shared" si="233"/>
        <v>1.1421464468740001E-44</v>
      </c>
      <c r="AL681">
        <f t="shared" si="220"/>
        <v>0.95912471595531001</v>
      </c>
      <c r="AM681">
        <f t="shared" si="236"/>
        <v>0.83505817216215839</v>
      </c>
      <c r="AO681">
        <v>679</v>
      </c>
      <c r="AP681">
        <v>0.94893046967130701</v>
      </c>
      <c r="AQ681">
        <v>0.81069162849898202</v>
      </c>
    </row>
    <row r="682" spans="14:43" x14ac:dyDescent="0.35">
      <c r="N682">
        <f t="shared" si="237"/>
        <v>680</v>
      </c>
      <c r="O682" s="6">
        <f t="shared" si="217"/>
        <v>258921.08828592204</v>
      </c>
      <c r="P682">
        <f t="shared" si="221"/>
        <v>12.946054414296103</v>
      </c>
      <c r="Q682">
        <f t="shared" si="222"/>
        <v>0</v>
      </c>
      <c r="R682" s="6">
        <f t="shared" si="234"/>
        <v>29.460490340721936</v>
      </c>
      <c r="S682">
        <f t="shared" si="223"/>
        <v>0.17676294204433163</v>
      </c>
      <c r="T682">
        <f t="shared" si="224"/>
        <v>0</v>
      </c>
      <c r="U682" s="6">
        <f t="shared" si="235"/>
        <v>3.6405917994108666E-46</v>
      </c>
      <c r="V682">
        <f t="shared" si="225"/>
        <v>5.4608876991162994E-47</v>
      </c>
      <c r="W682">
        <f t="shared" si="226"/>
        <v>0</v>
      </c>
      <c r="X682">
        <f t="shared" si="218"/>
        <v>258950.54877626276</v>
      </c>
      <c r="Y682" s="6">
        <f t="shared" si="227"/>
        <v>28769.009809546824</v>
      </c>
      <c r="Z682" s="6">
        <f t="shared" si="228"/>
        <v>3.2733878156357696</v>
      </c>
      <c r="AA682" s="6">
        <f t="shared" si="229"/>
        <v>4.0451019993454124E-47</v>
      </c>
      <c r="AB682">
        <f t="shared" si="230"/>
        <v>0</v>
      </c>
      <c r="AD682" s="6">
        <f t="shared" si="219"/>
        <v>108551.31514454113</v>
      </c>
      <c r="AG682">
        <f t="shared" si="231"/>
        <v>79645.424281234358</v>
      </c>
      <c r="AH682">
        <f t="shared" si="232"/>
        <v>133.60766594431757</v>
      </c>
      <c r="AI682">
        <f t="shared" si="233"/>
        <v>9.7082447984290009E-45</v>
      </c>
      <c r="AL682">
        <f t="shared" si="220"/>
        <v>0.95907610657875098</v>
      </c>
      <c r="AM682">
        <f t="shared" si="236"/>
        <v>0.83501011649647028</v>
      </c>
      <c r="AO682">
        <v>680</v>
      </c>
      <c r="AP682">
        <v>0.94882690746550002</v>
      </c>
      <c r="AQ682">
        <v>0.81060142915843902</v>
      </c>
    </row>
    <row r="683" spans="14:43" x14ac:dyDescent="0.35">
      <c r="N683">
        <f t="shared" si="237"/>
        <v>681</v>
      </c>
      <c r="O683" s="6">
        <f t="shared" si="217"/>
        <v>258908.14223150775</v>
      </c>
      <c r="P683">
        <f t="shared" si="221"/>
        <v>12.945407111575388</v>
      </c>
      <c r="Q683">
        <f t="shared" si="222"/>
        <v>0</v>
      </c>
      <c r="R683" s="6">
        <f t="shared" si="234"/>
        <v>29.283727398677605</v>
      </c>
      <c r="S683">
        <f t="shared" si="223"/>
        <v>0.17570236439206563</v>
      </c>
      <c r="T683">
        <f t="shared" si="224"/>
        <v>0</v>
      </c>
      <c r="U683" s="6">
        <f t="shared" si="235"/>
        <v>3.0945030294992366E-46</v>
      </c>
      <c r="V683">
        <f t="shared" si="225"/>
        <v>4.6417545442488551E-47</v>
      </c>
      <c r="W683">
        <f t="shared" si="226"/>
        <v>0</v>
      </c>
      <c r="X683">
        <f t="shared" si="218"/>
        <v>258937.42595890642</v>
      </c>
      <c r="Y683" s="6">
        <f t="shared" si="227"/>
        <v>28767.571359056346</v>
      </c>
      <c r="Z683" s="6">
        <f t="shared" si="228"/>
        <v>3.2537474887419551</v>
      </c>
      <c r="AA683" s="6">
        <f t="shared" si="229"/>
        <v>3.4383366994436004E-47</v>
      </c>
      <c r="AB683">
        <f t="shared" si="230"/>
        <v>0</v>
      </c>
      <c r="AD683" s="6">
        <f t="shared" si="219"/>
        <v>108545.07313651404</v>
      </c>
      <c r="AG683">
        <f t="shared" si="231"/>
        <v>79641.442010020299</v>
      </c>
      <c r="AH683">
        <f t="shared" si="232"/>
        <v>132.80601994865168</v>
      </c>
      <c r="AI683">
        <f t="shared" si="233"/>
        <v>8.2520080786646508E-45</v>
      </c>
      <c r="AL683">
        <f t="shared" si="220"/>
        <v>0.95902750355150523</v>
      </c>
      <c r="AM683">
        <f t="shared" si="236"/>
        <v>0.83496210105010804</v>
      </c>
      <c r="AO683">
        <v>681</v>
      </c>
      <c r="AP683">
        <v>0.94869327881284304</v>
      </c>
      <c r="AQ683">
        <v>0.81053127411579595</v>
      </c>
    </row>
    <row r="684" spans="14:43" x14ac:dyDescent="0.35">
      <c r="N684">
        <f t="shared" si="237"/>
        <v>682</v>
      </c>
      <c r="O684" s="6">
        <f t="shared" si="217"/>
        <v>258895.19682439617</v>
      </c>
      <c r="P684">
        <f t="shared" si="221"/>
        <v>12.94475984121981</v>
      </c>
      <c r="Q684">
        <f t="shared" si="222"/>
        <v>0</v>
      </c>
      <c r="R684" s="6">
        <f t="shared" si="234"/>
        <v>29.108025034285539</v>
      </c>
      <c r="S684">
        <f t="shared" si="223"/>
        <v>0.17464815020571323</v>
      </c>
      <c r="T684">
        <f t="shared" si="224"/>
        <v>0</v>
      </c>
      <c r="U684" s="6">
        <f t="shared" si="235"/>
        <v>2.630327575074351E-46</v>
      </c>
      <c r="V684">
        <f t="shared" si="225"/>
        <v>3.9454913626115263E-47</v>
      </c>
      <c r="W684">
        <f t="shared" si="226"/>
        <v>0</v>
      </c>
      <c r="X684">
        <f t="shared" si="218"/>
        <v>258924.30484943045</v>
      </c>
      <c r="Y684" s="6">
        <f t="shared" si="227"/>
        <v>28766.132980488394</v>
      </c>
      <c r="Z684" s="6">
        <f t="shared" si="228"/>
        <v>3.2342250038095033</v>
      </c>
      <c r="AA684" s="6">
        <f t="shared" si="229"/>
        <v>2.9225861945270602E-47</v>
      </c>
      <c r="AB684">
        <f t="shared" si="230"/>
        <v>0</v>
      </c>
      <c r="AD684" s="6">
        <f t="shared" si="219"/>
        <v>108538.83632724098</v>
      </c>
      <c r="AG684">
        <f t="shared" si="231"/>
        <v>79637.459937919804</v>
      </c>
      <c r="AH684">
        <f t="shared" si="232"/>
        <v>132.00918382895978</v>
      </c>
      <c r="AI684">
        <f t="shared" si="233"/>
        <v>7.0142068668649534E-45</v>
      </c>
      <c r="AL684">
        <f t="shared" si="220"/>
        <v>0.95897890684974241</v>
      </c>
      <c r="AM684">
        <f t="shared" si="236"/>
        <v>0.83491412559416134</v>
      </c>
      <c r="AO684">
        <v>682</v>
      </c>
      <c r="AP684">
        <v>0.94858303517440201</v>
      </c>
      <c r="AQ684">
        <v>0.81036089758365903</v>
      </c>
    </row>
    <row r="685" spans="14:43" x14ac:dyDescent="0.35">
      <c r="N685">
        <f t="shared" si="237"/>
        <v>683</v>
      </c>
      <c r="O685" s="6">
        <f t="shared" si="217"/>
        <v>258882.25206455495</v>
      </c>
      <c r="P685">
        <f t="shared" si="221"/>
        <v>12.944112603227747</v>
      </c>
      <c r="Q685">
        <f t="shared" si="222"/>
        <v>0</v>
      </c>
      <c r="R685" s="6">
        <f t="shared" si="234"/>
        <v>28.933376884079827</v>
      </c>
      <c r="S685">
        <f t="shared" si="223"/>
        <v>0.17360026130447898</v>
      </c>
      <c r="T685">
        <f t="shared" si="224"/>
        <v>0</v>
      </c>
      <c r="U685" s="6">
        <f t="shared" si="235"/>
        <v>2.2357784388131983E-46</v>
      </c>
      <c r="V685">
        <f t="shared" si="225"/>
        <v>3.3536676582197975E-47</v>
      </c>
      <c r="W685">
        <f t="shared" si="226"/>
        <v>0</v>
      </c>
      <c r="X685">
        <f t="shared" si="218"/>
        <v>258911.18544143904</v>
      </c>
      <c r="Y685" s="6">
        <f t="shared" si="227"/>
        <v>28764.694673839371</v>
      </c>
      <c r="Z685" s="6">
        <f t="shared" si="228"/>
        <v>3.2148196537866465</v>
      </c>
      <c r="AA685" s="6">
        <f t="shared" si="229"/>
        <v>2.484198265348001E-47</v>
      </c>
      <c r="AB685">
        <f t="shared" si="230"/>
        <v>0</v>
      </c>
      <c r="AD685" s="6">
        <f t="shared" si="219"/>
        <v>108532.60468714204</v>
      </c>
      <c r="AG685">
        <f t="shared" si="231"/>
        <v>79633.478064922907</v>
      </c>
      <c r="AH685">
        <f t="shared" si="232"/>
        <v>131.21712872598602</v>
      </c>
      <c r="AI685">
        <f t="shared" si="233"/>
        <v>5.9620758368352105E-45</v>
      </c>
      <c r="AL685">
        <f t="shared" si="220"/>
        <v>0.95893031644977422</v>
      </c>
      <c r="AM685">
        <f t="shared" si="236"/>
        <v>0.83486618990109263</v>
      </c>
      <c r="AO685">
        <v>683</v>
      </c>
      <c r="AP685">
        <v>0.94845274723806205</v>
      </c>
      <c r="AQ685">
        <v>0.810310786838913</v>
      </c>
    </row>
    <row r="686" spans="14:43" x14ac:dyDescent="0.35">
      <c r="N686">
        <f t="shared" si="237"/>
        <v>684</v>
      </c>
      <c r="O686" s="6">
        <f t="shared" si="217"/>
        <v>258869.30795195172</v>
      </c>
      <c r="P686">
        <f t="shared" si="221"/>
        <v>12.943465397597587</v>
      </c>
      <c r="Q686">
        <f t="shared" si="222"/>
        <v>0</v>
      </c>
      <c r="R686" s="6">
        <f t="shared" si="234"/>
        <v>28.759776622775348</v>
      </c>
      <c r="S686">
        <f t="shared" si="223"/>
        <v>0.1725586597366521</v>
      </c>
      <c r="T686">
        <f t="shared" si="224"/>
        <v>0</v>
      </c>
      <c r="U686" s="6">
        <f t="shared" si="235"/>
        <v>1.9004116729912185E-46</v>
      </c>
      <c r="V686">
        <f t="shared" si="225"/>
        <v>2.8506175094868274E-47</v>
      </c>
      <c r="W686">
        <f t="shared" si="226"/>
        <v>0</v>
      </c>
      <c r="X686">
        <f t="shared" si="218"/>
        <v>258898.0677285745</v>
      </c>
      <c r="Y686" s="6">
        <f t="shared" si="227"/>
        <v>28763.25643910568</v>
      </c>
      <c r="Z686" s="6">
        <f t="shared" si="228"/>
        <v>3.1955307358639264</v>
      </c>
      <c r="AA686" s="6">
        <f t="shared" si="229"/>
        <v>2.1115685255458009E-47</v>
      </c>
      <c r="AB686">
        <f t="shared" si="230"/>
        <v>0</v>
      </c>
      <c r="AD686" s="6">
        <f t="shared" si="219"/>
        <v>108526.37818681484</v>
      </c>
      <c r="AG686">
        <f t="shared" si="231"/>
        <v>79629.496391019667</v>
      </c>
      <c r="AH686">
        <f t="shared" si="232"/>
        <v>130.42982595363009</v>
      </c>
      <c r="AI686">
        <f t="shared" si="233"/>
        <v>5.0677644613099292E-45</v>
      </c>
      <c r="AL686">
        <f t="shared" si="220"/>
        <v>0.95888173232805374</v>
      </c>
      <c r="AM686">
        <f t="shared" si="236"/>
        <v>0.83481829374472949</v>
      </c>
      <c r="AO686">
        <v>684</v>
      </c>
      <c r="AP686">
        <v>0.94838927362805103</v>
      </c>
      <c r="AQ686">
        <v>0.81024063179627004</v>
      </c>
    </row>
    <row r="687" spans="14:43" x14ac:dyDescent="0.35">
      <c r="N687">
        <f t="shared" si="237"/>
        <v>685</v>
      </c>
      <c r="O687" s="6">
        <f t="shared" si="217"/>
        <v>258856.36448655411</v>
      </c>
      <c r="P687">
        <f t="shared" si="221"/>
        <v>12.942818224327706</v>
      </c>
      <c r="Q687">
        <f t="shared" si="222"/>
        <v>0</v>
      </c>
      <c r="R687" s="6">
        <f t="shared" si="234"/>
        <v>28.587217963038697</v>
      </c>
      <c r="S687">
        <f t="shared" si="223"/>
        <v>0.17152330777823219</v>
      </c>
      <c r="T687">
        <f t="shared" si="224"/>
        <v>0</v>
      </c>
      <c r="U687" s="6">
        <f t="shared" si="235"/>
        <v>1.6153499220425357E-46</v>
      </c>
      <c r="V687">
        <f t="shared" si="225"/>
        <v>2.4230248830638036E-47</v>
      </c>
      <c r="W687">
        <f t="shared" si="226"/>
        <v>0</v>
      </c>
      <c r="X687">
        <f t="shared" si="218"/>
        <v>258884.95170451715</v>
      </c>
      <c r="Y687" s="6">
        <f t="shared" si="227"/>
        <v>28761.818276283724</v>
      </c>
      <c r="Z687" s="6">
        <f t="shared" si="228"/>
        <v>3.176357551448743</v>
      </c>
      <c r="AA687" s="6">
        <f t="shared" si="229"/>
        <v>1.7948332467139307E-47</v>
      </c>
      <c r="AB687">
        <f t="shared" si="230"/>
        <v>0</v>
      </c>
      <c r="AD687" s="6">
        <f t="shared" si="219"/>
        <v>108520.1567970332</v>
      </c>
      <c r="AG687">
        <f t="shared" si="231"/>
        <v>79625.514916200118</v>
      </c>
      <c r="AH687">
        <f t="shared" si="232"/>
        <v>129.6472469979083</v>
      </c>
      <c r="AI687">
        <f t="shared" si="233"/>
        <v>4.3075997921134398E-45</v>
      </c>
      <c r="AL687">
        <f t="shared" si="220"/>
        <v>0.95883315446117467</v>
      </c>
      <c r="AM687">
        <f t="shared" si="236"/>
        <v>0.83477043690025532</v>
      </c>
      <c r="AO687">
        <v>685</v>
      </c>
      <c r="AP687">
        <v>0.94825230425908003</v>
      </c>
      <c r="AQ687">
        <v>0.81015043245572604</v>
      </c>
    </row>
    <row r="688" spans="14:43" x14ac:dyDescent="0.35">
      <c r="N688">
        <f t="shared" si="237"/>
        <v>686</v>
      </c>
      <c r="O688" s="6">
        <f t="shared" si="217"/>
        <v>258843.4216683298</v>
      </c>
      <c r="P688">
        <f t="shared" si="221"/>
        <v>12.94217108341649</v>
      </c>
      <c r="Q688">
        <f t="shared" si="222"/>
        <v>0</v>
      </c>
      <c r="R688" s="6">
        <f t="shared" si="234"/>
        <v>28.415694655260463</v>
      </c>
      <c r="S688">
        <f t="shared" si="223"/>
        <v>0.17049416793156277</v>
      </c>
      <c r="T688">
        <f t="shared" si="224"/>
        <v>0</v>
      </c>
      <c r="U688" s="6">
        <f t="shared" si="235"/>
        <v>1.3730474337361554E-46</v>
      </c>
      <c r="V688">
        <f t="shared" si="225"/>
        <v>2.0595711506042331E-47</v>
      </c>
      <c r="W688">
        <f t="shared" si="226"/>
        <v>0</v>
      </c>
      <c r="X688">
        <f t="shared" si="218"/>
        <v>258871.83736298507</v>
      </c>
      <c r="Y688" s="6">
        <f t="shared" si="227"/>
        <v>28760.380185369911</v>
      </c>
      <c r="Z688" s="6">
        <f t="shared" si="228"/>
        <v>3.1572994061400506</v>
      </c>
      <c r="AA688" s="6">
        <f t="shared" si="229"/>
        <v>1.5256082597068412E-47</v>
      </c>
      <c r="AB688">
        <f t="shared" si="230"/>
        <v>0</v>
      </c>
      <c r="AD688" s="6">
        <f t="shared" si="219"/>
        <v>108513.94048874627</v>
      </c>
      <c r="AG688">
        <f t="shared" si="231"/>
        <v>79621.533640454305</v>
      </c>
      <c r="AH688">
        <f t="shared" si="232"/>
        <v>128.86936351592084</v>
      </c>
      <c r="AI688">
        <f t="shared" si="233"/>
        <v>3.6614598232964242E-45</v>
      </c>
      <c r="AL688">
        <f t="shared" si="220"/>
        <v>0.95878458282587065</v>
      </c>
      <c r="AM688">
        <f t="shared" si="236"/>
        <v>0.83472261914420209</v>
      </c>
      <c r="AO688">
        <v>686</v>
      </c>
      <c r="AP688">
        <v>0.94817546778380302</v>
      </c>
      <c r="AQ688">
        <v>0.81006023311518505</v>
      </c>
    </row>
    <row r="689" spans="14:43" x14ac:dyDescent="0.35">
      <c r="N689">
        <f t="shared" si="237"/>
        <v>687</v>
      </c>
      <c r="O689" s="6">
        <f t="shared" si="217"/>
        <v>258830.47949724639</v>
      </c>
      <c r="P689">
        <f t="shared" si="221"/>
        <v>12.941523974862321</v>
      </c>
      <c r="Q689">
        <f t="shared" si="222"/>
        <v>0</v>
      </c>
      <c r="R689" s="6">
        <f t="shared" si="234"/>
        <v>28.245200487328901</v>
      </c>
      <c r="S689">
        <f t="shared" si="223"/>
        <v>0.16947120292397341</v>
      </c>
      <c r="T689">
        <f t="shared" si="224"/>
        <v>0</v>
      </c>
      <c r="U689" s="6">
        <f t="shared" si="235"/>
        <v>1.167090318675732E-46</v>
      </c>
      <c r="V689">
        <f t="shared" si="225"/>
        <v>1.7506354780135981E-47</v>
      </c>
      <c r="W689">
        <f t="shared" si="226"/>
        <v>0</v>
      </c>
      <c r="X689">
        <f t="shared" si="218"/>
        <v>258858.72469773371</v>
      </c>
      <c r="Y689" s="6">
        <f t="shared" si="227"/>
        <v>28758.942166360644</v>
      </c>
      <c r="Z689" s="6">
        <f t="shared" si="228"/>
        <v>3.1383556097032104</v>
      </c>
      <c r="AA689" s="6">
        <f t="shared" si="229"/>
        <v>1.2967670207508151E-47</v>
      </c>
      <c r="AB689">
        <f t="shared" si="230"/>
        <v>0</v>
      </c>
      <c r="AD689" s="6">
        <f t="shared" si="219"/>
        <v>108507.72923307747</v>
      </c>
      <c r="AG689">
        <f t="shared" si="231"/>
        <v>79617.552563772289</v>
      </c>
      <c r="AH689">
        <f t="shared" si="232"/>
        <v>128.0961473348253</v>
      </c>
      <c r="AI689">
        <f t="shared" si="233"/>
        <v>3.1122408498019603E-45</v>
      </c>
      <c r="AL689">
        <f t="shared" si="220"/>
        <v>0.95873601739901371</v>
      </c>
      <c r="AM689">
        <f t="shared" si="236"/>
        <v>0.83467484025444205</v>
      </c>
      <c r="AO689">
        <v>687</v>
      </c>
      <c r="AP689">
        <v>0.94809529059220898</v>
      </c>
      <c r="AQ689">
        <v>0.80991992302989602</v>
      </c>
    </row>
    <row r="690" spans="14:43" x14ac:dyDescent="0.35">
      <c r="N690">
        <f t="shared" si="237"/>
        <v>688</v>
      </c>
      <c r="O690" s="6">
        <f t="shared" si="217"/>
        <v>258817.53797327154</v>
      </c>
      <c r="P690">
        <f t="shared" si="221"/>
        <v>12.940876898663577</v>
      </c>
      <c r="Q690">
        <f t="shared" si="222"/>
        <v>0</v>
      </c>
      <c r="R690" s="6">
        <f t="shared" si="234"/>
        <v>28.075729284404929</v>
      </c>
      <c r="S690">
        <f t="shared" si="223"/>
        <v>0.16845437570642957</v>
      </c>
      <c r="T690">
        <f t="shared" si="224"/>
        <v>0</v>
      </c>
      <c r="U690" s="6">
        <f t="shared" si="235"/>
        <v>9.9202677087437213E-47</v>
      </c>
      <c r="V690">
        <f t="shared" si="225"/>
        <v>1.4880401563115582E-47</v>
      </c>
      <c r="W690">
        <f t="shared" si="226"/>
        <v>0</v>
      </c>
      <c r="X690">
        <f t="shared" si="218"/>
        <v>258845.61370255594</v>
      </c>
      <c r="Y690" s="6">
        <f t="shared" si="227"/>
        <v>28757.504219252325</v>
      </c>
      <c r="Z690" s="6">
        <f t="shared" si="228"/>
        <v>3.1195254760449913</v>
      </c>
      <c r="AA690" s="6">
        <f t="shared" si="229"/>
        <v>1.1022519676381928E-47</v>
      </c>
      <c r="AB690">
        <f t="shared" si="230"/>
        <v>0</v>
      </c>
      <c r="AD690" s="6">
        <f t="shared" si="219"/>
        <v>108501.52300132328</v>
      </c>
      <c r="AG690">
        <f t="shared" si="231"/>
        <v>79613.571686144103</v>
      </c>
      <c r="AH690">
        <f t="shared" si="232"/>
        <v>127.32757045081635</v>
      </c>
      <c r="AI690">
        <f t="shared" si="233"/>
        <v>2.6454047223316663E-45</v>
      </c>
      <c r="AL690">
        <f t="shared" si="220"/>
        <v>0.95868745815761458</v>
      </c>
      <c r="AM690">
        <f t="shared" si="236"/>
        <v>0.83462710001017903</v>
      </c>
      <c r="AO690">
        <v>688</v>
      </c>
      <c r="AP690">
        <v>0.94800843196798401</v>
      </c>
      <c r="AQ690">
        <v>0.80976959079565802</v>
      </c>
    </row>
    <row r="691" spans="14:43" x14ac:dyDescent="0.35">
      <c r="N691">
        <f t="shared" si="237"/>
        <v>689</v>
      </c>
      <c r="O691" s="6">
        <f t="shared" si="217"/>
        <v>258804.59709637286</v>
      </c>
      <c r="P691">
        <f t="shared" si="221"/>
        <v>12.940229854818643</v>
      </c>
      <c r="Q691">
        <f t="shared" si="222"/>
        <v>0</v>
      </c>
      <c r="R691" s="6">
        <f t="shared" si="234"/>
        <v>27.907274908698501</v>
      </c>
      <c r="S691">
        <f t="shared" si="223"/>
        <v>0.16744364945219101</v>
      </c>
      <c r="T691">
        <f t="shared" si="224"/>
        <v>0</v>
      </c>
      <c r="U691" s="6">
        <f t="shared" si="235"/>
        <v>8.4322275524321631E-47</v>
      </c>
      <c r="V691">
        <f t="shared" si="225"/>
        <v>1.2648341328648244E-47</v>
      </c>
      <c r="W691">
        <f t="shared" si="226"/>
        <v>0</v>
      </c>
      <c r="X691">
        <f t="shared" si="218"/>
        <v>258832.50437128157</v>
      </c>
      <c r="Y691" s="6">
        <f t="shared" si="227"/>
        <v>28756.066344041363</v>
      </c>
      <c r="Z691" s="6">
        <f t="shared" si="228"/>
        <v>3.1008083231887213</v>
      </c>
      <c r="AA691" s="6">
        <f t="shared" si="229"/>
        <v>9.3691417249246397E-48</v>
      </c>
      <c r="AB691">
        <f t="shared" si="230"/>
        <v>0</v>
      </c>
      <c r="AD691" s="6">
        <f t="shared" si="219"/>
        <v>108495.32176495246</v>
      </c>
      <c r="AG691">
        <f t="shared" si="231"/>
        <v>79609.591007559793</v>
      </c>
      <c r="AH691">
        <f t="shared" si="232"/>
        <v>126.56360502811145</v>
      </c>
      <c r="AI691">
        <f t="shared" si="233"/>
        <v>2.2485940139819162E-45</v>
      </c>
      <c r="AL691">
        <f t="shared" si="220"/>
        <v>0.95863890507882066</v>
      </c>
      <c r="AM691">
        <f t="shared" si="236"/>
        <v>0.83457939819194205</v>
      </c>
      <c r="AO691">
        <v>689</v>
      </c>
      <c r="AP691">
        <v>0.94793493620902203</v>
      </c>
      <c r="AQ691">
        <v>0.80965934715721799</v>
      </c>
    </row>
    <row r="692" spans="14:43" x14ac:dyDescent="0.35">
      <c r="N692">
        <f t="shared" si="237"/>
        <v>690</v>
      </c>
      <c r="O692" s="6">
        <f t="shared" ref="O692:O752" si="238">O691-(P691-Q691)</f>
        <v>258791.65686651805</v>
      </c>
      <c r="P692">
        <f t="shared" si="221"/>
        <v>12.939582843325903</v>
      </c>
      <c r="Q692">
        <f t="shared" si="222"/>
        <v>0</v>
      </c>
      <c r="R692" s="6">
        <f t="shared" si="234"/>
        <v>27.739831259246309</v>
      </c>
      <c r="S692">
        <f t="shared" si="223"/>
        <v>0.16643898755547787</v>
      </c>
      <c r="T692">
        <f t="shared" si="224"/>
        <v>0</v>
      </c>
      <c r="U692" s="6">
        <f t="shared" si="235"/>
        <v>7.1673934195673384E-47</v>
      </c>
      <c r="V692">
        <f t="shared" si="225"/>
        <v>1.0751090129351007E-47</v>
      </c>
      <c r="W692">
        <f t="shared" si="226"/>
        <v>0</v>
      </c>
      <c r="X692">
        <f t="shared" ref="X692:X752" si="239">O692+R692+U692-$J$57</f>
        <v>258819.39669777729</v>
      </c>
      <c r="Y692" s="6">
        <f t="shared" si="227"/>
        <v>28754.628540724159</v>
      </c>
      <c r="Z692" s="6">
        <f t="shared" si="228"/>
        <v>3.0822034732495891</v>
      </c>
      <c r="AA692" s="6">
        <f t="shared" si="229"/>
        <v>7.9637704661859437E-48</v>
      </c>
      <c r="AB692">
        <f t="shared" si="230"/>
        <v>0</v>
      </c>
      <c r="AD692" s="6">
        <f t="shared" ref="AD692:AD752" si="240">Y692+Z692+AA692+AG692+AH692+AI692-AB692+$M$59</f>
        <v>108489.12549560476</v>
      </c>
      <c r="AG692">
        <f t="shared" si="231"/>
        <v>79605.61052800942</v>
      </c>
      <c r="AH692">
        <f t="shared" si="232"/>
        <v>125.80422339794278</v>
      </c>
      <c r="AI692">
        <f t="shared" si="233"/>
        <v>1.9113049118846287E-45</v>
      </c>
      <c r="AL692">
        <f t="shared" ref="AL692:AL752" si="241">X692/$X$2</f>
        <v>0.95859035813991589</v>
      </c>
      <c r="AM692">
        <f t="shared" si="236"/>
        <v>0.83453173458157515</v>
      </c>
      <c r="AO692">
        <v>690</v>
      </c>
      <c r="AP692">
        <v>0.94781467042163303</v>
      </c>
      <c r="AQ692">
        <v>0.80951903707192796</v>
      </c>
    </row>
    <row r="693" spans="14:43" x14ac:dyDescent="0.35">
      <c r="N693">
        <f t="shared" si="237"/>
        <v>691</v>
      </c>
      <c r="O693" s="6">
        <f t="shared" si="238"/>
        <v>258778.71728367472</v>
      </c>
      <c r="P693">
        <f t="shared" si="221"/>
        <v>12.938935864183737</v>
      </c>
      <c r="Q693">
        <f t="shared" si="222"/>
        <v>0</v>
      </c>
      <c r="R693" s="6">
        <f t="shared" si="234"/>
        <v>27.573392271690832</v>
      </c>
      <c r="S693">
        <f t="shared" si="223"/>
        <v>0.165440353630145</v>
      </c>
      <c r="T693">
        <f t="shared" si="224"/>
        <v>0</v>
      </c>
      <c r="U693" s="6">
        <f t="shared" si="235"/>
        <v>6.092284406632238E-47</v>
      </c>
      <c r="V693">
        <f t="shared" si="225"/>
        <v>9.1384266099483565E-48</v>
      </c>
      <c r="W693">
        <f t="shared" si="226"/>
        <v>0</v>
      </c>
      <c r="X693">
        <f t="shared" si="239"/>
        <v>258806.29067594642</v>
      </c>
      <c r="Y693" s="6">
        <f t="shared" si="227"/>
        <v>28753.190809297124</v>
      </c>
      <c r="Z693" s="6">
        <f t="shared" si="228"/>
        <v>3.0637102524100914</v>
      </c>
      <c r="AA693" s="6">
        <f t="shared" si="229"/>
        <v>6.7692048962580518E-48</v>
      </c>
      <c r="AB693">
        <f t="shared" si="230"/>
        <v>0</v>
      </c>
      <c r="AD693" s="6">
        <f t="shared" si="240"/>
        <v>108482.9341650901</v>
      </c>
      <c r="AG693">
        <f t="shared" si="231"/>
        <v>79601.630247483015</v>
      </c>
      <c r="AH693">
        <f t="shared" si="232"/>
        <v>125.04939805755512</v>
      </c>
      <c r="AI693">
        <f t="shared" si="233"/>
        <v>1.6246091751019344E-45</v>
      </c>
      <c r="AL693">
        <f t="shared" si="241"/>
        <v>0.95854181731832011</v>
      </c>
      <c r="AM693">
        <f t="shared" si="236"/>
        <v>0.83448410896223157</v>
      </c>
      <c r="AO693">
        <v>691</v>
      </c>
      <c r="AP693">
        <v>0.94772447108108804</v>
      </c>
      <c r="AQ693">
        <v>0.80945890417823396</v>
      </c>
    </row>
    <row r="694" spans="14:43" x14ac:dyDescent="0.35">
      <c r="N694">
        <f t="shared" si="237"/>
        <v>692</v>
      </c>
      <c r="O694" s="6">
        <f t="shared" si="238"/>
        <v>258765.77834781053</v>
      </c>
      <c r="P694">
        <f t="shared" si="221"/>
        <v>12.938288917390526</v>
      </c>
      <c r="Q694">
        <f t="shared" si="222"/>
        <v>0</v>
      </c>
      <c r="R694" s="6">
        <f t="shared" si="234"/>
        <v>27.407951918060686</v>
      </c>
      <c r="S694">
        <f t="shared" si="223"/>
        <v>0.16444771150836412</v>
      </c>
      <c r="T694">
        <f t="shared" si="224"/>
        <v>0</v>
      </c>
      <c r="U694" s="6">
        <f t="shared" si="235"/>
        <v>5.1784417456374019E-47</v>
      </c>
      <c r="V694">
        <f t="shared" si="225"/>
        <v>7.767662618456103E-48</v>
      </c>
      <c r="W694">
        <f t="shared" si="226"/>
        <v>0</v>
      </c>
      <c r="X694">
        <f t="shared" si="239"/>
        <v>258793.18629972858</v>
      </c>
      <c r="Y694" s="6">
        <f t="shared" si="227"/>
        <v>28751.75314975666</v>
      </c>
      <c r="Z694" s="6">
        <f t="shared" si="228"/>
        <v>3.0453279908956308</v>
      </c>
      <c r="AA694" s="6">
        <f t="shared" si="229"/>
        <v>5.7538241618193446E-48</v>
      </c>
      <c r="AB694">
        <f t="shared" si="230"/>
        <v>0</v>
      </c>
      <c r="AD694" s="6">
        <f t="shared" si="240"/>
        <v>108476.7477453874</v>
      </c>
      <c r="AG694">
        <f t="shared" si="231"/>
        <v>79597.650165970641</v>
      </c>
      <c r="AH694">
        <f t="shared" si="232"/>
        <v>124.29910166920979</v>
      </c>
      <c r="AI694">
        <f t="shared" si="233"/>
        <v>1.3809177988366443E-45</v>
      </c>
      <c r="AL694">
        <f t="shared" si="241"/>
        <v>0.95849328259158728</v>
      </c>
      <c r="AM694">
        <f t="shared" si="236"/>
        <v>0.83443652111836464</v>
      </c>
      <c r="AO694">
        <v>692</v>
      </c>
      <c r="AP694">
        <v>0.94761756815896503</v>
      </c>
      <c r="AQ694">
        <v>0.80932861624189401</v>
      </c>
    </row>
    <row r="695" spans="14:43" x14ac:dyDescent="0.35">
      <c r="N695">
        <f t="shared" si="237"/>
        <v>693</v>
      </c>
      <c r="O695" s="6">
        <f t="shared" si="238"/>
        <v>258752.84005889314</v>
      </c>
      <c r="P695">
        <f t="shared" si="221"/>
        <v>12.937642002944658</v>
      </c>
      <c r="Q695">
        <f t="shared" si="222"/>
        <v>0</v>
      </c>
      <c r="R695" s="6">
        <f t="shared" si="234"/>
        <v>27.243504206552323</v>
      </c>
      <c r="S695">
        <f t="shared" si="223"/>
        <v>0.16346102523931394</v>
      </c>
      <c r="T695">
        <f t="shared" si="224"/>
        <v>0</v>
      </c>
      <c r="U695" s="6">
        <f t="shared" si="235"/>
        <v>4.4016754837917917E-47</v>
      </c>
      <c r="V695">
        <f t="shared" si="225"/>
        <v>6.6025132256876873E-48</v>
      </c>
      <c r="W695">
        <f t="shared" si="226"/>
        <v>0</v>
      </c>
      <c r="X695">
        <f t="shared" si="239"/>
        <v>258780.0835630997</v>
      </c>
      <c r="Y695" s="6">
        <f t="shared" si="227"/>
        <v>28750.315562099171</v>
      </c>
      <c r="Z695" s="6">
        <f t="shared" si="228"/>
        <v>3.0270560229502568</v>
      </c>
      <c r="AA695" s="6">
        <f t="shared" si="229"/>
        <v>4.8907505375464429E-48</v>
      </c>
      <c r="AB695">
        <f t="shared" si="230"/>
        <v>0</v>
      </c>
      <c r="AD695" s="6">
        <f t="shared" si="240"/>
        <v>108470.56620864366</v>
      </c>
      <c r="AG695">
        <f t="shared" si="231"/>
        <v>79593.670283462343</v>
      </c>
      <c r="AH695">
        <f t="shared" si="232"/>
        <v>123.55330705919454</v>
      </c>
      <c r="AI695">
        <f t="shared" si="233"/>
        <v>1.1737801290111477E-45</v>
      </c>
      <c r="AL695">
        <f t="shared" si="241"/>
        <v>0.95844475393740636</v>
      </c>
      <c r="AM695">
        <f t="shared" si="236"/>
        <v>0.8343889708357205</v>
      </c>
      <c r="AO695">
        <v>693</v>
      </c>
      <c r="AP695">
        <v>0.94756077598158694</v>
      </c>
      <c r="AQ695">
        <v>0.80923841690135201</v>
      </c>
    </row>
    <row r="696" spans="14:43" x14ac:dyDescent="0.35">
      <c r="N696">
        <f t="shared" si="237"/>
        <v>694</v>
      </c>
      <c r="O696" s="6">
        <f t="shared" si="238"/>
        <v>258739.9024168902</v>
      </c>
      <c r="P696">
        <f t="shared" si="221"/>
        <v>12.936995120844511</v>
      </c>
      <c r="Q696">
        <f t="shared" si="222"/>
        <v>0</v>
      </c>
      <c r="R696" s="6">
        <f t="shared" si="234"/>
        <v>27.080043181313009</v>
      </c>
      <c r="S696">
        <f t="shared" si="223"/>
        <v>0.16248025908787805</v>
      </c>
      <c r="T696">
        <f t="shared" si="224"/>
        <v>0</v>
      </c>
      <c r="U696" s="6">
        <f t="shared" si="235"/>
        <v>3.7414241612230231E-47</v>
      </c>
      <c r="V696">
        <f t="shared" si="225"/>
        <v>5.6121362418345341E-48</v>
      </c>
      <c r="W696">
        <f t="shared" si="226"/>
        <v>0</v>
      </c>
      <c r="X696">
        <f t="shared" si="239"/>
        <v>258766.98246007151</v>
      </c>
      <c r="Y696" s="6">
        <f t="shared" si="227"/>
        <v>28748.878046321068</v>
      </c>
      <c r="Z696" s="6">
        <f t="shared" si="228"/>
        <v>3.0088936868125553</v>
      </c>
      <c r="AA696" s="6">
        <f t="shared" si="229"/>
        <v>4.1571379569144762E-48</v>
      </c>
      <c r="AB696">
        <f t="shared" si="230"/>
        <v>0</v>
      </c>
      <c r="AD696" s="6">
        <f t="shared" si="240"/>
        <v>108464.3895271729</v>
      </c>
      <c r="AG696">
        <f t="shared" si="231"/>
        <v>79589.690599948168</v>
      </c>
      <c r="AH696">
        <f t="shared" si="232"/>
        <v>122.81198721683937</v>
      </c>
      <c r="AI696">
        <f t="shared" si="233"/>
        <v>9.9771310965947562E-46</v>
      </c>
      <c r="AL696">
        <f t="shared" si="241"/>
        <v>0.95839623133359819</v>
      </c>
      <c r="AM696">
        <f t="shared" si="236"/>
        <v>0.83434145790132996</v>
      </c>
      <c r="AO696">
        <v>694</v>
      </c>
      <c r="AP696">
        <v>0.94744719162683</v>
      </c>
      <c r="AQ696">
        <v>0.80911815111396201</v>
      </c>
    </row>
    <row r="697" spans="14:43" x14ac:dyDescent="0.35">
      <c r="N697">
        <f t="shared" si="237"/>
        <v>695</v>
      </c>
      <c r="O697" s="6">
        <f t="shared" si="238"/>
        <v>258726.96542176936</v>
      </c>
      <c r="P697">
        <f t="shared" si="221"/>
        <v>12.936348271088468</v>
      </c>
      <c r="Q697">
        <f t="shared" si="222"/>
        <v>0</v>
      </c>
      <c r="R697" s="6">
        <f t="shared" si="234"/>
        <v>26.91756292222513</v>
      </c>
      <c r="S697">
        <f t="shared" si="223"/>
        <v>0.16150537753335079</v>
      </c>
      <c r="T697">
        <f t="shared" si="224"/>
        <v>0</v>
      </c>
      <c r="U697" s="6">
        <f t="shared" si="235"/>
        <v>3.1802105370395697E-47</v>
      </c>
      <c r="V697">
        <f t="shared" si="225"/>
        <v>4.7703158055593545E-48</v>
      </c>
      <c r="W697">
        <f t="shared" si="226"/>
        <v>0</v>
      </c>
      <c r="X697">
        <f t="shared" si="239"/>
        <v>258753.88298469159</v>
      </c>
      <c r="Y697" s="6">
        <f t="shared" si="227"/>
        <v>28747.440602418752</v>
      </c>
      <c r="Z697" s="6">
        <f t="shared" si="228"/>
        <v>2.9908403246916802</v>
      </c>
      <c r="AA697" s="6">
        <f t="shared" si="229"/>
        <v>3.5335672633773045E-48</v>
      </c>
      <c r="AB697">
        <f t="shared" si="230"/>
        <v>0</v>
      </c>
      <c r="AD697" s="6">
        <f t="shared" si="240"/>
        <v>108458.21767345516</v>
      </c>
      <c r="AG697">
        <f t="shared" si="231"/>
        <v>79585.711115418177</v>
      </c>
      <c r="AH697">
        <f t="shared" si="232"/>
        <v>122.07511529353833</v>
      </c>
      <c r="AI697">
        <f t="shared" si="233"/>
        <v>8.4805614321055427E-46</v>
      </c>
      <c r="AL697">
        <f t="shared" si="241"/>
        <v>0.95834771475811698</v>
      </c>
      <c r="AM697">
        <f t="shared" si="236"/>
        <v>0.83429398210350125</v>
      </c>
      <c r="AO697">
        <v>695</v>
      </c>
      <c r="AP697">
        <v>0.94735031085365395</v>
      </c>
      <c r="AQ697">
        <v>0.80899788532657102</v>
      </c>
    </row>
    <row r="698" spans="14:43" x14ac:dyDescent="0.35">
      <c r="N698">
        <f t="shared" si="237"/>
        <v>696</v>
      </c>
      <c r="O698" s="6">
        <f t="shared" si="238"/>
        <v>258714.02907349827</v>
      </c>
      <c r="P698">
        <f t="shared" si="221"/>
        <v>12.935701453674914</v>
      </c>
      <c r="Q698">
        <f t="shared" si="222"/>
        <v>0</v>
      </c>
      <c r="R698" s="6">
        <f t="shared" si="234"/>
        <v>26.756057544691778</v>
      </c>
      <c r="S698">
        <f t="shared" si="223"/>
        <v>0.16053634526815067</v>
      </c>
      <c r="T698">
        <f t="shared" si="224"/>
        <v>0</v>
      </c>
      <c r="U698" s="6">
        <f t="shared" si="235"/>
        <v>2.7031789564836343E-47</v>
      </c>
      <c r="V698">
        <f t="shared" si="225"/>
        <v>4.0547684347254511E-48</v>
      </c>
      <c r="W698">
        <f t="shared" si="226"/>
        <v>0</v>
      </c>
      <c r="X698">
        <f t="shared" si="239"/>
        <v>258740.78513104297</v>
      </c>
      <c r="Y698" s="6">
        <f t="shared" si="227"/>
        <v>28746.003230388633</v>
      </c>
      <c r="Z698" s="6">
        <f t="shared" si="228"/>
        <v>2.9728952827435302</v>
      </c>
      <c r="AA698" s="6">
        <f t="shared" si="229"/>
        <v>3.0035321738707086E-48</v>
      </c>
      <c r="AB698">
        <f t="shared" si="230"/>
        <v>0</v>
      </c>
      <c r="AD698" s="6">
        <f t="shared" si="240"/>
        <v>108452.05062013556</v>
      </c>
      <c r="AG698">
        <f t="shared" si="231"/>
        <v>79581.731829862401</v>
      </c>
      <c r="AH698">
        <f t="shared" si="232"/>
        <v>121.3426646017771</v>
      </c>
      <c r="AI698">
        <f t="shared" si="233"/>
        <v>7.2084772172897115E-46</v>
      </c>
      <c r="AL698">
        <f t="shared" si="241"/>
        <v>0.95829920418904802</v>
      </c>
      <c r="AM698">
        <f t="shared" si="236"/>
        <v>0.83424654323181202</v>
      </c>
      <c r="AO698">
        <v>696</v>
      </c>
      <c r="AP698">
        <v>0.94724340793152795</v>
      </c>
      <c r="AQ698">
        <v>0.80890768598602902</v>
      </c>
    </row>
    <row r="699" spans="14:43" x14ac:dyDescent="0.35">
      <c r="N699">
        <f t="shared" si="237"/>
        <v>697</v>
      </c>
      <c r="O699" s="6">
        <f t="shared" si="238"/>
        <v>258701.09337204459</v>
      </c>
      <c r="P699">
        <f t="shared" si="221"/>
        <v>12.935054668602231</v>
      </c>
      <c r="Q699">
        <f t="shared" si="222"/>
        <v>0</v>
      </c>
      <c r="R699" s="6">
        <f t="shared" si="234"/>
        <v>26.595521199423626</v>
      </c>
      <c r="S699">
        <f t="shared" si="223"/>
        <v>0.15957312719654176</v>
      </c>
      <c r="T699">
        <f t="shared" si="224"/>
        <v>0</v>
      </c>
      <c r="U699" s="6">
        <f t="shared" si="235"/>
        <v>2.2977021130110892E-47</v>
      </c>
      <c r="V699">
        <f t="shared" si="225"/>
        <v>3.4465531695166337E-48</v>
      </c>
      <c r="W699">
        <f t="shared" si="226"/>
        <v>0</v>
      </c>
      <c r="X699">
        <f t="shared" si="239"/>
        <v>258727.68889324402</v>
      </c>
      <c r="Y699" s="6">
        <f t="shared" si="227"/>
        <v>28744.565930227112</v>
      </c>
      <c r="Z699" s="6">
        <f t="shared" si="228"/>
        <v>2.9550579110470689</v>
      </c>
      <c r="AA699" s="6">
        <f t="shared" si="229"/>
        <v>2.5530023477901023E-48</v>
      </c>
      <c r="AB699">
        <f t="shared" si="230"/>
        <v>0</v>
      </c>
      <c r="AD699" s="6">
        <f t="shared" si="240"/>
        <v>108445.88834002323</v>
      </c>
      <c r="AG699">
        <f t="shared" si="231"/>
        <v>79577.752743270903</v>
      </c>
      <c r="AH699">
        <f t="shared" si="232"/>
        <v>120.61460861416644</v>
      </c>
      <c r="AI699">
        <f t="shared" si="233"/>
        <v>6.1272056346962549E-46</v>
      </c>
      <c r="AL699">
        <f t="shared" si="241"/>
        <v>0.95825069960460751</v>
      </c>
      <c r="AM699">
        <f t="shared" si="236"/>
        <v>0.8341991410771018</v>
      </c>
      <c r="AO699">
        <v>697</v>
      </c>
      <c r="AP699">
        <v>0.94713316429308803</v>
      </c>
      <c r="AQ699">
        <v>0.80880746449653595</v>
      </c>
    </row>
    <row r="700" spans="14:43" x14ac:dyDescent="0.35">
      <c r="N700">
        <f t="shared" si="237"/>
        <v>698</v>
      </c>
      <c r="O700" s="6">
        <f t="shared" si="238"/>
        <v>258688.15831737599</v>
      </c>
      <c r="P700">
        <f t="shared" si="221"/>
        <v>12.9344079158688</v>
      </c>
      <c r="Q700">
        <f t="shared" si="222"/>
        <v>0</v>
      </c>
      <c r="R700" s="6">
        <f t="shared" si="234"/>
        <v>26.435948072227085</v>
      </c>
      <c r="S700">
        <f t="shared" si="223"/>
        <v>0.15861568843336252</v>
      </c>
      <c r="T700">
        <f t="shared" si="224"/>
        <v>0</v>
      </c>
      <c r="U700" s="6">
        <f t="shared" si="235"/>
        <v>1.9530467960594258E-47</v>
      </c>
      <c r="V700">
        <f t="shared" si="225"/>
        <v>2.9295701940891388E-48</v>
      </c>
      <c r="W700">
        <f t="shared" si="226"/>
        <v>0</v>
      </c>
      <c r="X700">
        <f t="shared" si="239"/>
        <v>258714.59426544822</v>
      </c>
      <c r="Y700" s="6">
        <f t="shared" si="227"/>
        <v>28743.1287019306</v>
      </c>
      <c r="Z700" s="6">
        <f t="shared" si="228"/>
        <v>2.9373275635807867</v>
      </c>
      <c r="AA700" s="6">
        <f t="shared" si="229"/>
        <v>2.1700519956215868E-48</v>
      </c>
      <c r="AB700">
        <f t="shared" si="230"/>
        <v>0</v>
      </c>
      <c r="AD700" s="6">
        <f t="shared" si="240"/>
        <v>108439.7308060904</v>
      </c>
      <c r="AG700">
        <f t="shared" si="231"/>
        <v>79573.773855633743</v>
      </c>
      <c r="AH700">
        <f t="shared" si="232"/>
        <v>119.89092096248145</v>
      </c>
      <c r="AI700">
        <f t="shared" si="233"/>
        <v>5.2081247894918165E-46</v>
      </c>
      <c r="AL700">
        <f t="shared" si="241"/>
        <v>0.95820220098314157</v>
      </c>
      <c r="AM700">
        <f t="shared" si="236"/>
        <v>0.83415177543146468</v>
      </c>
      <c r="AO700">
        <v>698</v>
      </c>
      <c r="AP700">
        <v>0.94702626137096402</v>
      </c>
      <c r="AQ700">
        <v>0.808677176560198</v>
      </c>
    </row>
    <row r="701" spans="14:43" x14ac:dyDescent="0.35">
      <c r="N701">
        <f t="shared" si="237"/>
        <v>699</v>
      </c>
      <c r="O701" s="6">
        <f t="shared" si="238"/>
        <v>258675.22390946012</v>
      </c>
      <c r="P701">
        <f t="shared" si="221"/>
        <v>12.933761195473007</v>
      </c>
      <c r="Q701">
        <f t="shared" si="222"/>
        <v>0</v>
      </c>
      <c r="R701" s="6">
        <f t="shared" si="234"/>
        <v>26.277332383793723</v>
      </c>
      <c r="S701">
        <f t="shared" si="223"/>
        <v>0.15766399430276234</v>
      </c>
      <c r="T701">
        <f t="shared" si="224"/>
        <v>0</v>
      </c>
      <c r="U701" s="6">
        <f t="shared" si="235"/>
        <v>1.6600897766505119E-47</v>
      </c>
      <c r="V701">
        <f t="shared" si="225"/>
        <v>2.4901346649757678E-48</v>
      </c>
      <c r="W701">
        <f t="shared" si="226"/>
        <v>0</v>
      </c>
      <c r="X701">
        <f t="shared" si="239"/>
        <v>258701.50124184391</v>
      </c>
      <c r="Y701" s="6">
        <f t="shared" si="227"/>
        <v>28741.691545495505</v>
      </c>
      <c r="Z701" s="6">
        <f t="shared" si="228"/>
        <v>2.9197035981993018</v>
      </c>
      <c r="AA701" s="6">
        <f t="shared" si="229"/>
        <v>1.8445441962783487E-48</v>
      </c>
      <c r="AB701">
        <f t="shared" si="230"/>
        <v>0</v>
      </c>
      <c r="AD701" s="6">
        <f t="shared" si="240"/>
        <v>108433.57799147138</v>
      </c>
      <c r="AG701">
        <f t="shared" si="231"/>
        <v>79569.795166940967</v>
      </c>
      <c r="AH701">
        <f t="shared" si="232"/>
        <v>119.17157543670656</v>
      </c>
      <c r="AI701">
        <f t="shared" si="233"/>
        <v>4.4269060710680443E-46</v>
      </c>
      <c r="AL701">
        <f t="shared" si="241"/>
        <v>0.95815370830312563</v>
      </c>
      <c r="AM701">
        <f t="shared" si="236"/>
        <v>0.83410444608824141</v>
      </c>
      <c r="AO701">
        <v>699</v>
      </c>
      <c r="AP701">
        <v>0.94695610632831895</v>
      </c>
      <c r="AQ701">
        <v>0.808556910772807</v>
      </c>
    </row>
    <row r="702" spans="14:43" x14ac:dyDescent="0.35">
      <c r="N702">
        <f t="shared" si="237"/>
        <v>700</v>
      </c>
      <c r="O702" s="6">
        <f t="shared" si="238"/>
        <v>258662.29014826464</v>
      </c>
      <c r="P702">
        <f t="shared" si="221"/>
        <v>12.933114507413233</v>
      </c>
      <c r="Q702">
        <f t="shared" si="222"/>
        <v>0</v>
      </c>
      <c r="R702" s="6">
        <f t="shared" si="234"/>
        <v>26.119668389490961</v>
      </c>
      <c r="S702">
        <f t="shared" si="223"/>
        <v>0.15671801033694577</v>
      </c>
      <c r="T702">
        <f t="shared" si="224"/>
        <v>0</v>
      </c>
      <c r="U702" s="6">
        <f t="shared" si="235"/>
        <v>1.4110763101529352E-47</v>
      </c>
      <c r="V702">
        <f t="shared" si="225"/>
        <v>2.1166144652294027E-48</v>
      </c>
      <c r="W702">
        <f t="shared" si="226"/>
        <v>0</v>
      </c>
      <c r="X702">
        <f t="shared" si="239"/>
        <v>258688.40981665414</v>
      </c>
      <c r="Y702" s="6">
        <f t="shared" si="227"/>
        <v>28740.25446091823</v>
      </c>
      <c r="Z702" s="6">
        <f t="shared" si="228"/>
        <v>2.902185376610106</v>
      </c>
      <c r="AA702" s="6">
        <f t="shared" si="229"/>
        <v>1.5678625668365965E-48</v>
      </c>
      <c r="AB702">
        <f t="shared" si="230"/>
        <v>0</v>
      </c>
      <c r="AD702" s="6">
        <f t="shared" si="240"/>
        <v>108427.42986946154</v>
      </c>
      <c r="AG702">
        <f t="shared" si="231"/>
        <v>79565.816677182622</v>
      </c>
      <c r="AH702">
        <f t="shared" si="232"/>
        <v>118.45654598408632</v>
      </c>
      <c r="AI702">
        <f t="shared" si="233"/>
        <v>3.7628701604078377E-46</v>
      </c>
      <c r="AL702">
        <f t="shared" si="241"/>
        <v>0.95810522154316347</v>
      </c>
      <c r="AM702">
        <f t="shared" si="236"/>
        <v>0.83405715284201187</v>
      </c>
      <c r="AO702">
        <v>700</v>
      </c>
      <c r="AP702">
        <v>0.94686924770409298</v>
      </c>
      <c r="AQ702">
        <v>0.80846671143226501</v>
      </c>
    </row>
    <row r="703" spans="14:43" x14ac:dyDescent="0.35">
      <c r="N703">
        <f t="shared" si="237"/>
        <v>701</v>
      </c>
      <c r="O703" s="6">
        <f t="shared" si="238"/>
        <v>258649.35703375723</v>
      </c>
      <c r="P703">
        <f t="shared" si="221"/>
        <v>12.932467851687862</v>
      </c>
      <c r="Q703">
        <f t="shared" si="222"/>
        <v>0</v>
      </c>
      <c r="R703" s="6">
        <f t="shared" si="234"/>
        <v>25.962950379154016</v>
      </c>
      <c r="S703">
        <f t="shared" si="223"/>
        <v>0.1557777022749241</v>
      </c>
      <c r="T703">
        <f t="shared" si="224"/>
        <v>0</v>
      </c>
      <c r="U703" s="6">
        <f t="shared" si="235"/>
        <v>1.199414863629995E-47</v>
      </c>
      <c r="V703">
        <f t="shared" si="225"/>
        <v>1.7991222954449925E-48</v>
      </c>
      <c r="W703">
        <f t="shared" si="226"/>
        <v>0</v>
      </c>
      <c r="X703">
        <f t="shared" si="239"/>
        <v>258675.31998413638</v>
      </c>
      <c r="Y703" s="6">
        <f t="shared" si="227"/>
        <v>28738.817448195183</v>
      </c>
      <c r="Z703" s="6">
        <f t="shared" si="228"/>
        <v>2.8847722643504454</v>
      </c>
      <c r="AA703" s="6">
        <f t="shared" si="229"/>
        <v>1.332683181811107E-48</v>
      </c>
      <c r="AB703">
        <f t="shared" si="230"/>
        <v>0</v>
      </c>
      <c r="AD703" s="6">
        <f t="shared" si="240"/>
        <v>108421.28641351647</v>
      </c>
      <c r="AG703">
        <f t="shared" si="231"/>
        <v>79561.838386348769</v>
      </c>
      <c r="AH703">
        <f t="shared" si="232"/>
        <v>117.7458067081818</v>
      </c>
      <c r="AI703">
        <f t="shared" si="233"/>
        <v>3.1984396363466621E-46</v>
      </c>
      <c r="AL703">
        <f t="shared" si="241"/>
        <v>0.95805674068198665</v>
      </c>
      <c r="AM703">
        <f t="shared" si="236"/>
        <v>0.83400989548858828</v>
      </c>
      <c r="AO703">
        <v>701</v>
      </c>
      <c r="AP703">
        <v>0.946782389079867</v>
      </c>
      <c r="AQ703">
        <v>0.80831637919802801</v>
      </c>
    </row>
    <row r="704" spans="14:43" x14ac:dyDescent="0.35">
      <c r="N704">
        <f t="shared" si="237"/>
        <v>702</v>
      </c>
      <c r="O704" s="6">
        <f t="shared" si="238"/>
        <v>258636.42456590553</v>
      </c>
      <c r="P704">
        <f t="shared" si="221"/>
        <v>12.931821228295277</v>
      </c>
      <c r="Q704">
        <f t="shared" si="222"/>
        <v>0</v>
      </c>
      <c r="R704" s="6">
        <f t="shared" si="234"/>
        <v>25.807172676879091</v>
      </c>
      <c r="S704">
        <f t="shared" si="223"/>
        <v>0.15484303606127456</v>
      </c>
      <c r="T704">
        <f t="shared" si="224"/>
        <v>0</v>
      </c>
      <c r="U704" s="6">
        <f t="shared" si="235"/>
        <v>1.0195026340854958E-47</v>
      </c>
      <c r="V704">
        <f t="shared" si="225"/>
        <v>1.5292539511282435E-48</v>
      </c>
      <c r="W704">
        <f t="shared" si="226"/>
        <v>0</v>
      </c>
      <c r="X704">
        <f t="shared" si="239"/>
        <v>258662.2317385824</v>
      </c>
      <c r="Y704" s="6">
        <f t="shared" si="227"/>
        <v>28737.380507322774</v>
      </c>
      <c r="Z704" s="6">
        <f t="shared" si="228"/>
        <v>2.8674636307643429</v>
      </c>
      <c r="AA704" s="6">
        <f t="shared" si="229"/>
        <v>1.132780704539441E-48</v>
      </c>
      <c r="AB704">
        <f t="shared" si="230"/>
        <v>0</v>
      </c>
      <c r="AD704" s="6">
        <f t="shared" si="240"/>
        <v>108415.14759725092</v>
      </c>
      <c r="AG704">
        <f t="shared" si="231"/>
        <v>79557.860294429454</v>
      </c>
      <c r="AH704">
        <f t="shared" si="232"/>
        <v>117.03933186793272</v>
      </c>
      <c r="AI704">
        <f t="shared" si="233"/>
        <v>2.7186736908946627E-46</v>
      </c>
      <c r="AL704">
        <f t="shared" si="241"/>
        <v>0.95800826569845332</v>
      </c>
      <c r="AM704">
        <f t="shared" si="236"/>
        <v>0.83396267382500711</v>
      </c>
      <c r="AO704">
        <v>702</v>
      </c>
      <c r="AP704">
        <v>0.94669887117195595</v>
      </c>
      <c r="AQ704">
        <v>0.80820613555958598</v>
      </c>
    </row>
    <row r="705" spans="14:43" x14ac:dyDescent="0.35">
      <c r="N705">
        <f t="shared" si="237"/>
        <v>703</v>
      </c>
      <c r="O705" s="6">
        <f t="shared" si="238"/>
        <v>258623.49274467723</v>
      </c>
      <c r="P705">
        <f t="shared" si="221"/>
        <v>12.931174637233863</v>
      </c>
      <c r="Q705">
        <f t="shared" si="222"/>
        <v>0</v>
      </c>
      <c r="R705" s="6">
        <f t="shared" si="234"/>
        <v>25.652329640817815</v>
      </c>
      <c r="S705">
        <f t="shared" si="223"/>
        <v>0.1539139778449069</v>
      </c>
      <c r="T705">
        <f t="shared" si="224"/>
        <v>0</v>
      </c>
      <c r="U705" s="6">
        <f t="shared" si="235"/>
        <v>8.6657723897267138E-48</v>
      </c>
      <c r="V705">
        <f t="shared" si="225"/>
        <v>1.299865858459007E-48</v>
      </c>
      <c r="W705">
        <f t="shared" si="226"/>
        <v>0</v>
      </c>
      <c r="X705">
        <f t="shared" si="239"/>
        <v>258649.14507431805</v>
      </c>
      <c r="Y705" s="6">
        <f t="shared" si="227"/>
        <v>28735.943638297409</v>
      </c>
      <c r="Z705" s="6">
        <f t="shared" si="228"/>
        <v>2.8502588489797569</v>
      </c>
      <c r="AA705" s="6">
        <f t="shared" si="229"/>
        <v>9.6286359885852485E-49</v>
      </c>
      <c r="AB705">
        <f t="shared" si="230"/>
        <v>0</v>
      </c>
      <c r="AD705" s="6">
        <f t="shared" si="240"/>
        <v>108409.01339443785</v>
      </c>
      <c r="AG705">
        <f t="shared" si="231"/>
        <v>79553.882401414739</v>
      </c>
      <c r="AH705">
        <f t="shared" si="232"/>
        <v>116.33709587672512</v>
      </c>
      <c r="AI705">
        <f t="shared" si="233"/>
        <v>2.3108726372604632E-46</v>
      </c>
      <c r="AL705">
        <f t="shared" si="241"/>
        <v>0.95795979657154828</v>
      </c>
      <c r="AM705">
        <f t="shared" si="236"/>
        <v>0.83391548764952195</v>
      </c>
      <c r="AO705">
        <v>703</v>
      </c>
      <c r="AP705">
        <v>0.94663539756194504</v>
      </c>
      <c r="AQ705">
        <v>0.80811593621904398</v>
      </c>
    </row>
    <row r="706" spans="14:43" x14ac:dyDescent="0.35">
      <c r="N706">
        <f t="shared" si="237"/>
        <v>704</v>
      </c>
      <c r="O706" s="6">
        <f t="shared" si="238"/>
        <v>258610.56157004001</v>
      </c>
      <c r="P706">
        <f t="shared" ref="P706:P752" si="242">IF(N706&lt;$H$12,O706*($F$3+$H$3),O706*$F$3)</f>
        <v>12.930528078502</v>
      </c>
      <c r="Q706">
        <f t="shared" ref="Q706:Q752" si="243">IF(N706&lt;$H$12,P706*$I$3,0)</f>
        <v>0</v>
      </c>
      <c r="R706" s="6">
        <f t="shared" si="234"/>
        <v>25.498415662972906</v>
      </c>
      <c r="S706">
        <f t="shared" ref="S706:S752" si="244">IF(N706&lt;$H$12,R706*($F$4+$H$4),R706*$F$4)</f>
        <v>0.15299049397783746</v>
      </c>
      <c r="T706">
        <f t="shared" ref="T706:T752" si="245">IF(N706&lt;$H$12,S706*$I$4,0)</f>
        <v>0</v>
      </c>
      <c r="U706" s="6">
        <f t="shared" si="235"/>
        <v>7.3659065312677067E-48</v>
      </c>
      <c r="V706">
        <f t="shared" ref="V706:V752" si="246">IF(N706&lt;$H$12,U706*($F$5+$H$5),U706*$F$5)</f>
        <v>1.104885979690156E-48</v>
      </c>
      <c r="W706">
        <f t="shared" ref="W706:W752" si="247">IF(N706&lt;$H$12,V706*$I$5,0)</f>
        <v>0</v>
      </c>
      <c r="X706">
        <f t="shared" si="239"/>
        <v>258636.05998570297</v>
      </c>
      <c r="Y706" s="6">
        <f t="shared" si="227"/>
        <v>28734.506841115493</v>
      </c>
      <c r="Z706" s="6">
        <f t="shared" si="228"/>
        <v>2.8331572958858784</v>
      </c>
      <c r="AA706" s="6">
        <f t="shared" si="229"/>
        <v>8.1843405902974615E-49</v>
      </c>
      <c r="AB706">
        <f t="shared" si="230"/>
        <v>0</v>
      </c>
      <c r="AD706" s="6">
        <f t="shared" si="240"/>
        <v>108402.88377900752</v>
      </c>
      <c r="AG706">
        <f t="shared" si="231"/>
        <v>79549.904707294671</v>
      </c>
      <c r="AH706">
        <f t="shared" si="232"/>
        <v>115.63907330146476</v>
      </c>
      <c r="AI706">
        <f t="shared" si="233"/>
        <v>1.9642417416713939E-46</v>
      </c>
      <c r="AL706">
        <f t="shared" si="241"/>
        <v>0.95791133328038136</v>
      </c>
      <c r="AM706">
        <f t="shared" si="236"/>
        <v>0.83386833676159633</v>
      </c>
      <c r="AO706">
        <v>704</v>
      </c>
      <c r="AP706">
        <v>0.94654185750508701</v>
      </c>
      <c r="AQ706">
        <v>0.80800569258060195</v>
      </c>
    </row>
    <row r="707" spans="14:43" x14ac:dyDescent="0.35">
      <c r="N707">
        <f t="shared" si="237"/>
        <v>705</v>
      </c>
      <c r="O707" s="6">
        <f t="shared" si="238"/>
        <v>258597.63104196152</v>
      </c>
      <c r="P707">
        <f t="shared" si="242"/>
        <v>12.929881552098076</v>
      </c>
      <c r="Q707">
        <f t="shared" si="243"/>
        <v>0</v>
      </c>
      <c r="R707" s="6">
        <f t="shared" si="234"/>
        <v>25.345425168995067</v>
      </c>
      <c r="S707">
        <f t="shared" si="244"/>
        <v>0.15207255101397041</v>
      </c>
      <c r="T707">
        <f t="shared" si="245"/>
        <v>0</v>
      </c>
      <c r="U707" s="6">
        <f t="shared" si="235"/>
        <v>6.2610205515775502E-48</v>
      </c>
      <c r="V707">
        <f t="shared" si="246"/>
        <v>9.3915308273663253E-49</v>
      </c>
      <c r="W707">
        <f t="shared" si="247"/>
        <v>0</v>
      </c>
      <c r="X707">
        <f t="shared" si="239"/>
        <v>258622.9764671305</v>
      </c>
      <c r="Y707" s="6">
        <f t="shared" ref="Y707:Y752" si="248">Y706-Y706*$F$3-Q707</f>
        <v>28733.070115773437</v>
      </c>
      <c r="Z707" s="6">
        <f t="shared" ref="Z707:Z752" si="249">Z706-Z706*$F$4</f>
        <v>2.8161583521105631</v>
      </c>
      <c r="AA707" s="6">
        <f t="shared" ref="AA707:AA752" si="250">AA706-AA706*$F$5</f>
        <v>6.9566895017528425E-49</v>
      </c>
      <c r="AB707">
        <f t="shared" ref="AB707:AB752" si="251">Q707+T707+W707</f>
        <v>0</v>
      </c>
      <c r="AD707" s="6">
        <f t="shared" si="240"/>
        <v>108396.75872504651</v>
      </c>
      <c r="AG707">
        <f t="shared" ref="AG707:AG752" si="252">IF(N706&lt;$H$12,AG706-AG706*($F$7+$H$7),AG706-AG706*$F$7)</f>
        <v>79545.927212059309</v>
      </c>
      <c r="AH707">
        <f t="shared" ref="AH707:AH752" si="253">IF(N706&lt;$H$12,AH706-AH706*($F$8+$H$8),AH706-AH706*$F$8)</f>
        <v>114.94523886165598</v>
      </c>
      <c r="AI707">
        <f t="shared" ref="AI707:AI752" si="254">IF(N706&lt;$H$12,AI706-AI706*($F$9+$H$9),AI706-AI706*$F$9)</f>
        <v>1.6696054804206848E-46</v>
      </c>
      <c r="AL707">
        <f t="shared" si="241"/>
        <v>0.95786287580418705</v>
      </c>
      <c r="AM707">
        <f t="shared" si="236"/>
        <v>0.83382122096189626</v>
      </c>
      <c r="AO707">
        <v>705</v>
      </c>
      <c r="AP707">
        <v>0.94645833959717696</v>
      </c>
      <c r="AQ707">
        <v>0.807845338197415</v>
      </c>
    </row>
    <row r="708" spans="14:43" x14ac:dyDescent="0.35">
      <c r="N708">
        <f t="shared" si="237"/>
        <v>706</v>
      </c>
      <c r="O708" s="6">
        <f t="shared" si="238"/>
        <v>258584.70116040943</v>
      </c>
      <c r="P708">
        <f t="shared" si="242"/>
        <v>12.929235058020472</v>
      </c>
      <c r="Q708">
        <f t="shared" si="243"/>
        <v>0</v>
      </c>
      <c r="R708" s="6">
        <f t="shared" ref="R708:R752" si="255">R707-(S707-T707)</f>
        <v>25.193352617981098</v>
      </c>
      <c r="S708">
        <f t="shared" si="244"/>
        <v>0.15116011570788659</v>
      </c>
      <c r="T708">
        <f t="shared" si="245"/>
        <v>0</v>
      </c>
      <c r="U708" s="6">
        <f t="shared" ref="U708:U752" si="256">U707-(V707-W707)</f>
        <v>5.321867468840918E-48</v>
      </c>
      <c r="V708">
        <f t="shared" si="246"/>
        <v>7.9828012032613766E-49</v>
      </c>
      <c r="W708">
        <f t="shared" si="247"/>
        <v>0</v>
      </c>
      <c r="X708">
        <f t="shared" si="239"/>
        <v>258609.89451302742</v>
      </c>
      <c r="Y708" s="6">
        <f t="shared" si="248"/>
        <v>28731.633462267648</v>
      </c>
      <c r="Z708" s="6">
        <f t="shared" si="249"/>
        <v>2.7992614019978999</v>
      </c>
      <c r="AA708" s="6">
        <f t="shared" si="250"/>
        <v>5.9131860764899162E-49</v>
      </c>
      <c r="AB708">
        <f t="shared" si="251"/>
        <v>0</v>
      </c>
      <c r="AD708" s="6">
        <f t="shared" si="240"/>
        <v>108390.63820679682</v>
      </c>
      <c r="AG708">
        <f t="shared" si="252"/>
        <v>79541.9499156987</v>
      </c>
      <c r="AH708">
        <f t="shared" si="253"/>
        <v>114.25556742848605</v>
      </c>
      <c r="AI708">
        <f t="shared" si="254"/>
        <v>1.4191646583575822E-46</v>
      </c>
      <c r="AL708">
        <f t="shared" si="241"/>
        <v>0.95781442412232376</v>
      </c>
      <c r="AM708">
        <f t="shared" ref="AM708:AM752" si="257">IF(AD708/$AD$2&lt;AM707,AD708/$AD$2,AM707)</f>
        <v>0.83377414005228323</v>
      </c>
      <c r="AO708">
        <v>706</v>
      </c>
      <c r="AP708">
        <v>0.94636145882400102</v>
      </c>
      <c r="AQ708">
        <v>0.80767496166527997</v>
      </c>
    </row>
    <row r="709" spans="14:43" x14ac:dyDescent="0.35">
      <c r="N709">
        <f t="shared" si="237"/>
        <v>707</v>
      </c>
      <c r="O709" s="6">
        <f t="shared" si="238"/>
        <v>258571.77192535141</v>
      </c>
      <c r="P709">
        <f t="shared" si="242"/>
        <v>12.928588596267572</v>
      </c>
      <c r="Q709">
        <f t="shared" si="243"/>
        <v>0</v>
      </c>
      <c r="R709" s="6">
        <f t="shared" si="255"/>
        <v>25.042192502273213</v>
      </c>
      <c r="S709">
        <f t="shared" si="244"/>
        <v>0.15025315501363928</v>
      </c>
      <c r="T709">
        <f t="shared" si="245"/>
        <v>0</v>
      </c>
      <c r="U709" s="6">
        <f t="shared" si="256"/>
        <v>4.5235873485147804E-48</v>
      </c>
      <c r="V709">
        <f t="shared" si="246"/>
        <v>6.7853810227721704E-49</v>
      </c>
      <c r="W709">
        <f t="shared" si="247"/>
        <v>0</v>
      </c>
      <c r="X709">
        <f t="shared" si="239"/>
        <v>258596.81411785368</v>
      </c>
      <c r="Y709" s="6">
        <f t="shared" si="248"/>
        <v>28730.196880594533</v>
      </c>
      <c r="Z709" s="6">
        <f t="shared" si="249"/>
        <v>2.7824658335859125</v>
      </c>
      <c r="AA709" s="6">
        <f t="shared" si="250"/>
        <v>5.0262081650164288E-49</v>
      </c>
      <c r="AB709">
        <f t="shared" si="251"/>
        <v>0</v>
      </c>
      <c r="AD709" s="6">
        <f t="shared" si="240"/>
        <v>108384.52219865496</v>
      </c>
      <c r="AG709">
        <f t="shared" si="252"/>
        <v>79537.972818202921</v>
      </c>
      <c r="AH709">
        <f t="shared" si="253"/>
        <v>113.57003402391513</v>
      </c>
      <c r="AI709">
        <f t="shared" si="254"/>
        <v>1.206289959603945E-46</v>
      </c>
      <c r="AL709">
        <f t="shared" si="241"/>
        <v>0.9577659782142729</v>
      </c>
      <c r="AM709">
        <f t="shared" si="257"/>
        <v>0.83372709383580734</v>
      </c>
      <c r="AO709">
        <v>707</v>
      </c>
      <c r="AP709">
        <v>0.94628462234872401</v>
      </c>
      <c r="AQ709">
        <v>0.80753465157999105</v>
      </c>
    </row>
    <row r="710" spans="14:43" x14ac:dyDescent="0.35">
      <c r="N710">
        <f t="shared" si="237"/>
        <v>708</v>
      </c>
      <c r="O710" s="6">
        <f t="shared" si="238"/>
        <v>258558.84333675515</v>
      </c>
      <c r="P710">
        <f t="shared" si="242"/>
        <v>12.927942166837758</v>
      </c>
      <c r="Q710">
        <f t="shared" si="243"/>
        <v>0</v>
      </c>
      <c r="R710" s="6">
        <f t="shared" si="255"/>
        <v>24.891939347259573</v>
      </c>
      <c r="S710">
        <f t="shared" si="244"/>
        <v>0.14935163608355745</v>
      </c>
      <c r="T710">
        <f t="shared" si="245"/>
        <v>0</v>
      </c>
      <c r="U710" s="6">
        <f t="shared" si="256"/>
        <v>3.8450492462375636E-48</v>
      </c>
      <c r="V710">
        <f t="shared" si="246"/>
        <v>5.7675738693563455E-49</v>
      </c>
      <c r="W710">
        <f t="shared" si="247"/>
        <v>0</v>
      </c>
      <c r="X710">
        <f t="shared" si="239"/>
        <v>258583.73527610241</v>
      </c>
      <c r="Y710" s="6">
        <f t="shared" si="248"/>
        <v>28728.760370750504</v>
      </c>
      <c r="Z710" s="6">
        <f t="shared" si="249"/>
        <v>2.765771038584397</v>
      </c>
      <c r="AA710" s="6">
        <f t="shared" si="250"/>
        <v>4.2722769402639643E-49</v>
      </c>
      <c r="AB710">
        <f t="shared" si="251"/>
        <v>0</v>
      </c>
      <c r="AD710" s="6">
        <f t="shared" si="240"/>
        <v>108378.41067517088</v>
      </c>
      <c r="AG710">
        <f t="shared" si="252"/>
        <v>79533.995919562018</v>
      </c>
      <c r="AH710">
        <f t="shared" si="253"/>
        <v>112.88861381977163</v>
      </c>
      <c r="AI710">
        <f t="shared" si="254"/>
        <v>1.0253464656633533E-46</v>
      </c>
      <c r="AL710">
        <f t="shared" si="241"/>
        <v>0.95771753805963855</v>
      </c>
      <c r="AM710">
        <f t="shared" si="257"/>
        <v>0.83368008211669908</v>
      </c>
      <c r="AO710">
        <v>708</v>
      </c>
      <c r="AP710">
        <v>0.94617437871028398</v>
      </c>
      <c r="AQ710">
        <v>0.80744445223944805</v>
      </c>
    </row>
    <row r="711" spans="14:43" x14ac:dyDescent="0.35">
      <c r="N711">
        <f t="shared" si="237"/>
        <v>709</v>
      </c>
      <c r="O711" s="6">
        <f t="shared" si="238"/>
        <v>258545.91539458832</v>
      </c>
      <c r="P711">
        <f t="shared" si="242"/>
        <v>12.927295769729417</v>
      </c>
      <c r="Q711">
        <f t="shared" si="243"/>
        <v>0</v>
      </c>
      <c r="R711" s="6">
        <f t="shared" si="255"/>
        <v>24.742587711176014</v>
      </c>
      <c r="S711">
        <f t="shared" si="244"/>
        <v>0.14845552626705608</v>
      </c>
      <c r="T711">
        <f t="shared" si="245"/>
        <v>0</v>
      </c>
      <c r="U711" s="6">
        <f t="shared" si="256"/>
        <v>3.2682918593019289E-48</v>
      </c>
      <c r="V711">
        <f t="shared" si="246"/>
        <v>4.9024377889528931E-49</v>
      </c>
      <c r="W711">
        <f t="shared" si="247"/>
        <v>0</v>
      </c>
      <c r="X711">
        <f t="shared" si="239"/>
        <v>258570.65798229948</v>
      </c>
      <c r="Y711" s="6">
        <f t="shared" si="248"/>
        <v>28727.323932731968</v>
      </c>
      <c r="Z711" s="6">
        <f t="shared" si="249"/>
        <v>2.7491764123528908</v>
      </c>
      <c r="AA711" s="6">
        <f t="shared" si="250"/>
        <v>3.6314353992243698E-49</v>
      </c>
      <c r="AB711">
        <f t="shared" si="251"/>
        <v>0</v>
      </c>
      <c r="AD711" s="6">
        <f t="shared" si="240"/>
        <v>108372.3036110472</v>
      </c>
      <c r="AG711">
        <f t="shared" si="252"/>
        <v>79530.019219766036</v>
      </c>
      <c r="AH711">
        <f t="shared" si="253"/>
        <v>112.211282136853</v>
      </c>
      <c r="AI711">
        <f t="shared" si="254"/>
        <v>8.7154449581385034E-47</v>
      </c>
      <c r="AL711">
        <f t="shared" si="241"/>
        <v>0.95766910363814628</v>
      </c>
      <c r="AM711">
        <f t="shared" si="257"/>
        <v>0.83363310470036311</v>
      </c>
      <c r="AO711">
        <v>709</v>
      </c>
      <c r="AP711">
        <v>0.94609086080237303</v>
      </c>
      <c r="AQ711">
        <v>0.80736427504785502</v>
      </c>
    </row>
    <row r="712" spans="14:43" x14ac:dyDescent="0.35">
      <c r="N712">
        <f t="shared" si="237"/>
        <v>710</v>
      </c>
      <c r="O712" s="6">
        <f t="shared" si="238"/>
        <v>258532.98809881858</v>
      </c>
      <c r="P712">
        <f t="shared" si="242"/>
        <v>12.92664940494093</v>
      </c>
      <c r="Q712">
        <f t="shared" si="243"/>
        <v>0</v>
      </c>
      <c r="R712" s="6">
        <f t="shared" si="255"/>
        <v>24.594132184908958</v>
      </c>
      <c r="S712">
        <f t="shared" si="244"/>
        <v>0.14756479310945375</v>
      </c>
      <c r="T712">
        <f t="shared" si="245"/>
        <v>0</v>
      </c>
      <c r="U712" s="6">
        <f t="shared" si="256"/>
        <v>2.7780480804066398E-48</v>
      </c>
      <c r="V712">
        <f t="shared" si="246"/>
        <v>4.1670721206099598E-49</v>
      </c>
      <c r="W712">
        <f t="shared" si="247"/>
        <v>0</v>
      </c>
      <c r="X712">
        <f t="shared" si="239"/>
        <v>258557.58223100347</v>
      </c>
      <c r="Y712" s="6">
        <f t="shared" si="248"/>
        <v>28725.88756653533</v>
      </c>
      <c r="Z712" s="6">
        <f t="shared" si="249"/>
        <v>2.7326813538787733</v>
      </c>
      <c r="AA712" s="6">
        <f t="shared" si="250"/>
        <v>3.0867200893407143E-49</v>
      </c>
      <c r="AB712">
        <f t="shared" si="251"/>
        <v>0</v>
      </c>
      <c r="AD712" s="6">
        <f t="shared" si="240"/>
        <v>108366.20098113829</v>
      </c>
      <c r="AG712">
        <f t="shared" si="252"/>
        <v>79526.042718805053</v>
      </c>
      <c r="AH712">
        <f t="shared" si="253"/>
        <v>111.53801444403189</v>
      </c>
      <c r="AI712">
        <f t="shared" si="254"/>
        <v>7.4081282144177275E-47</v>
      </c>
      <c r="AL712">
        <f t="shared" si="241"/>
        <v>0.95762067492964253</v>
      </c>
      <c r="AM712">
        <f t="shared" si="257"/>
        <v>0.83358616139337149</v>
      </c>
      <c r="AO712">
        <v>710</v>
      </c>
      <c r="AP712">
        <v>0.94603072790867904</v>
      </c>
      <c r="AQ712">
        <v>0.80728409785626098</v>
      </c>
    </row>
    <row r="713" spans="14:43" x14ac:dyDescent="0.35">
      <c r="N713">
        <f t="shared" si="237"/>
        <v>711</v>
      </c>
      <c r="O713" s="6">
        <f t="shared" si="238"/>
        <v>258520.06144941362</v>
      </c>
      <c r="P713">
        <f t="shared" si="242"/>
        <v>12.926003072470682</v>
      </c>
      <c r="Q713">
        <f t="shared" si="243"/>
        <v>0</v>
      </c>
      <c r="R713" s="6">
        <f t="shared" si="255"/>
        <v>24.446567391799505</v>
      </c>
      <c r="S713">
        <f t="shared" si="244"/>
        <v>0.14667940435079704</v>
      </c>
      <c r="T713">
        <f t="shared" si="245"/>
        <v>0</v>
      </c>
      <c r="U713" s="6">
        <f t="shared" si="256"/>
        <v>2.3613408683456439E-48</v>
      </c>
      <c r="V713">
        <f t="shared" si="246"/>
        <v>3.5420113025184657E-49</v>
      </c>
      <c r="W713">
        <f t="shared" si="247"/>
        <v>0</v>
      </c>
      <c r="X713">
        <f t="shared" si="239"/>
        <v>258544.50801680543</v>
      </c>
      <c r="Y713" s="6">
        <f t="shared" si="248"/>
        <v>28724.451272157003</v>
      </c>
      <c r="Z713" s="6">
        <f t="shared" si="249"/>
        <v>2.7162852657555008</v>
      </c>
      <c r="AA713" s="6">
        <f t="shared" si="250"/>
        <v>2.623712075939607E-49</v>
      </c>
      <c r="AB713">
        <f t="shared" si="251"/>
        <v>0</v>
      </c>
      <c r="AD713" s="6">
        <f t="shared" si="240"/>
        <v>108360.10276044924</v>
      </c>
      <c r="AG713">
        <f t="shared" si="252"/>
        <v>79522.066416669113</v>
      </c>
      <c r="AH713">
        <f t="shared" si="253"/>
        <v>110.8687863573677</v>
      </c>
      <c r="AI713">
        <f t="shared" si="254"/>
        <v>6.2969089822550682E-47</v>
      </c>
      <c r="AL713">
        <f t="shared" si="241"/>
        <v>0.95757225191409412</v>
      </c>
      <c r="AM713">
        <f t="shared" si="257"/>
        <v>0.83353925200345569</v>
      </c>
      <c r="AO713">
        <v>711</v>
      </c>
      <c r="AP713">
        <v>0.945950550717086</v>
      </c>
      <c r="AQ713">
        <v>0.80719389851571899</v>
      </c>
    </row>
    <row r="714" spans="14:43" x14ac:dyDescent="0.35">
      <c r="N714">
        <f t="shared" si="237"/>
        <v>712</v>
      </c>
      <c r="O714" s="6">
        <f t="shared" si="238"/>
        <v>258507.13544634116</v>
      </c>
      <c r="P714">
        <f t="shared" si="242"/>
        <v>12.925356772317059</v>
      </c>
      <c r="Q714">
        <f t="shared" si="243"/>
        <v>0</v>
      </c>
      <c r="R714" s="6">
        <f t="shared" si="255"/>
        <v>24.299887987448709</v>
      </c>
      <c r="S714">
        <f t="shared" si="244"/>
        <v>0.14579932792469227</v>
      </c>
      <c r="T714">
        <f t="shared" si="245"/>
        <v>0</v>
      </c>
      <c r="U714" s="6">
        <f t="shared" si="256"/>
        <v>2.0071397380937974E-48</v>
      </c>
      <c r="V714">
        <f t="shared" si="246"/>
        <v>3.010709607140696E-49</v>
      </c>
      <c r="W714">
        <f t="shared" si="247"/>
        <v>0</v>
      </c>
      <c r="X714">
        <f t="shared" si="239"/>
        <v>258531.43533432859</v>
      </c>
      <c r="Y714" s="6">
        <f t="shared" si="248"/>
        <v>28723.015049593396</v>
      </c>
      <c r="Z714" s="6">
        <f t="shared" si="249"/>
        <v>2.6999875541609679</v>
      </c>
      <c r="AA714" s="6">
        <f t="shared" si="250"/>
        <v>2.2301552645486661E-49</v>
      </c>
      <c r="AB714">
        <f t="shared" si="251"/>
        <v>0</v>
      </c>
      <c r="AD714" s="6">
        <f t="shared" si="240"/>
        <v>108354.00892413507</v>
      </c>
      <c r="AG714">
        <f t="shared" si="252"/>
        <v>79518.090313348279</v>
      </c>
      <c r="AH714">
        <f t="shared" si="253"/>
        <v>110.20357363922349</v>
      </c>
      <c r="AI714">
        <f t="shared" si="254"/>
        <v>5.3523726349168074E-47</v>
      </c>
      <c r="AL714">
        <f t="shared" si="241"/>
        <v>0.95752383457158741</v>
      </c>
      <c r="AM714">
        <f t="shared" si="257"/>
        <v>0.83349237633950046</v>
      </c>
      <c r="AO714">
        <v>712</v>
      </c>
      <c r="AP714">
        <v>0.94587371424180799</v>
      </c>
      <c r="AQ714">
        <v>0.80712374347307603</v>
      </c>
    </row>
    <row r="715" spans="14:43" x14ac:dyDescent="0.35">
      <c r="N715">
        <f t="shared" si="237"/>
        <v>713</v>
      </c>
      <c r="O715" s="6">
        <f t="shared" si="238"/>
        <v>258494.21008956883</v>
      </c>
      <c r="P715">
        <f t="shared" si="242"/>
        <v>12.924710504478442</v>
      </c>
      <c r="Q715">
        <f t="shared" si="243"/>
        <v>0</v>
      </c>
      <c r="R715" s="6">
        <f t="shared" si="255"/>
        <v>24.154088659524017</v>
      </c>
      <c r="S715">
        <f t="shared" si="244"/>
        <v>0.14492453195714411</v>
      </c>
      <c r="T715">
        <f t="shared" si="245"/>
        <v>0</v>
      </c>
      <c r="U715" s="6">
        <f t="shared" si="256"/>
        <v>1.7060687773797277E-48</v>
      </c>
      <c r="V715">
        <f t="shared" si="246"/>
        <v>2.5591031660695915E-49</v>
      </c>
      <c r="W715">
        <f t="shared" si="247"/>
        <v>0</v>
      </c>
      <c r="X715">
        <f t="shared" si="239"/>
        <v>258518.36417822837</v>
      </c>
      <c r="Y715" s="6">
        <f t="shared" si="248"/>
        <v>28721.578898840915</v>
      </c>
      <c r="Z715" s="6">
        <f t="shared" si="249"/>
        <v>2.6837876288360021</v>
      </c>
      <c r="AA715" s="6">
        <f t="shared" si="250"/>
        <v>1.8956319748663664E-49</v>
      </c>
      <c r="AB715">
        <f t="shared" si="251"/>
        <v>0</v>
      </c>
      <c r="AD715" s="6">
        <f t="shared" si="240"/>
        <v>108347.91944749975</v>
      </c>
      <c r="AG715">
        <f t="shared" si="252"/>
        <v>79514.114408832611</v>
      </c>
      <c r="AH715">
        <f t="shared" si="253"/>
        <v>109.54235219738815</v>
      </c>
      <c r="AI715">
        <f t="shared" si="254"/>
        <v>4.5495167396792864E-47</v>
      </c>
      <c r="AL715">
        <f t="shared" si="241"/>
        <v>0.95747542288232723</v>
      </c>
      <c r="AM715">
        <f t="shared" si="257"/>
        <v>0.83344553421153655</v>
      </c>
      <c r="AO715">
        <v>713</v>
      </c>
      <c r="AP715">
        <v>0.94577349275231704</v>
      </c>
      <c r="AQ715">
        <v>0.80704356628148199</v>
      </c>
    </row>
    <row r="716" spans="14:43" x14ac:dyDescent="0.35">
      <c r="N716">
        <f t="shared" si="237"/>
        <v>714</v>
      </c>
      <c r="O716" s="6">
        <f t="shared" si="238"/>
        <v>258481.28537906436</v>
      </c>
      <c r="P716">
        <f t="shared" si="242"/>
        <v>12.924064268953218</v>
      </c>
      <c r="Q716">
        <f t="shared" si="243"/>
        <v>0</v>
      </c>
      <c r="R716" s="6">
        <f t="shared" si="255"/>
        <v>24.009164127566873</v>
      </c>
      <c r="S716">
        <f t="shared" si="244"/>
        <v>0.14405498476540124</v>
      </c>
      <c r="T716">
        <f t="shared" si="245"/>
        <v>0</v>
      </c>
      <c r="U716" s="6">
        <f t="shared" si="256"/>
        <v>1.4501584607727685E-48</v>
      </c>
      <c r="V716">
        <f t="shared" si="246"/>
        <v>2.1752376911591526E-49</v>
      </c>
      <c r="W716">
        <f t="shared" si="247"/>
        <v>0</v>
      </c>
      <c r="X716">
        <f t="shared" si="239"/>
        <v>258505.29454319194</v>
      </c>
      <c r="Y716" s="6">
        <f t="shared" si="248"/>
        <v>28720.142819895973</v>
      </c>
      <c r="Z716" s="6">
        <f t="shared" si="249"/>
        <v>2.6676849030629861</v>
      </c>
      <c r="AA716" s="6">
        <f t="shared" si="250"/>
        <v>1.6112871786364114E-49</v>
      </c>
      <c r="AB716">
        <f t="shared" si="251"/>
        <v>0</v>
      </c>
      <c r="AD716" s="6">
        <f t="shared" si="240"/>
        <v>108341.83430599542</v>
      </c>
      <c r="AG716">
        <f t="shared" si="252"/>
        <v>79510.13870311217</v>
      </c>
      <c r="AH716">
        <f t="shared" si="253"/>
        <v>108.88509808420383</v>
      </c>
      <c r="AI716">
        <f t="shared" si="254"/>
        <v>3.8670892287273934E-47</v>
      </c>
      <c r="AL716">
        <f t="shared" si="241"/>
        <v>0.95742701682663678</v>
      </c>
      <c r="AM716">
        <f t="shared" si="257"/>
        <v>0.83339872543073401</v>
      </c>
      <c r="AO716">
        <v>714</v>
      </c>
      <c r="AP716">
        <v>0.94568663412808995</v>
      </c>
      <c r="AQ716">
        <v>0.80697341123883704</v>
      </c>
    </row>
    <row r="717" spans="14:43" x14ac:dyDescent="0.35">
      <c r="N717">
        <f t="shared" si="237"/>
        <v>715</v>
      </c>
      <c r="O717" s="6">
        <f t="shared" si="238"/>
        <v>258468.36131479542</v>
      </c>
      <c r="P717">
        <f t="shared" si="242"/>
        <v>12.923418065739771</v>
      </c>
      <c r="Q717">
        <f t="shared" si="243"/>
        <v>0</v>
      </c>
      <c r="R717" s="6">
        <f t="shared" si="255"/>
        <v>23.865109142801472</v>
      </c>
      <c r="S717">
        <f t="shared" si="244"/>
        <v>0.14319065485680885</v>
      </c>
      <c r="T717">
        <f t="shared" si="245"/>
        <v>0</v>
      </c>
      <c r="U717" s="6">
        <f t="shared" si="256"/>
        <v>1.2326346916568532E-48</v>
      </c>
      <c r="V717">
        <f t="shared" si="246"/>
        <v>1.8489520374852795E-49</v>
      </c>
      <c r="W717">
        <f t="shared" si="247"/>
        <v>0</v>
      </c>
      <c r="X717">
        <f t="shared" si="239"/>
        <v>258492.22642393821</v>
      </c>
      <c r="Y717" s="6">
        <f t="shared" si="248"/>
        <v>28718.706812754979</v>
      </c>
      <c r="Z717" s="6">
        <f t="shared" si="249"/>
        <v>2.6516787936446082</v>
      </c>
      <c r="AA717" s="6">
        <f t="shared" si="250"/>
        <v>1.3695941018409496E-49</v>
      </c>
      <c r="AB717">
        <f t="shared" si="251"/>
        <v>0</v>
      </c>
      <c r="AD717" s="6">
        <f t="shared" si="240"/>
        <v>108335.75347522134</v>
      </c>
      <c r="AG717">
        <f t="shared" si="252"/>
        <v>79506.163196177018</v>
      </c>
      <c r="AH717">
        <f t="shared" si="253"/>
        <v>108.23178749569861</v>
      </c>
      <c r="AI717">
        <f t="shared" si="254"/>
        <v>3.2870258444182845E-47</v>
      </c>
      <c r="AL717">
        <f t="shared" si="241"/>
        <v>0.95737861638495636</v>
      </c>
      <c r="AM717">
        <f t="shared" si="257"/>
        <v>0.83335194980939487</v>
      </c>
      <c r="AO717">
        <v>715</v>
      </c>
      <c r="AP717">
        <v>0.94561647908544599</v>
      </c>
      <c r="AQ717">
        <v>0.80687318974934596</v>
      </c>
    </row>
    <row r="718" spans="14:43" x14ac:dyDescent="0.35">
      <c r="N718">
        <f t="shared" si="237"/>
        <v>716</v>
      </c>
      <c r="O718" s="6">
        <f t="shared" si="238"/>
        <v>258455.43789672968</v>
      </c>
      <c r="P718">
        <f t="shared" si="242"/>
        <v>12.922771894836485</v>
      </c>
      <c r="Q718">
        <f t="shared" si="243"/>
        <v>0</v>
      </c>
      <c r="R718" s="6">
        <f t="shared" si="255"/>
        <v>23.721918487944663</v>
      </c>
      <c r="S718">
        <f t="shared" si="244"/>
        <v>0.14233151092766799</v>
      </c>
      <c r="T718">
        <f t="shared" si="245"/>
        <v>0</v>
      </c>
      <c r="U718" s="6">
        <f t="shared" si="256"/>
        <v>1.0477394879083252E-48</v>
      </c>
      <c r="V718">
        <f t="shared" si="246"/>
        <v>1.5716092318624877E-49</v>
      </c>
      <c r="W718">
        <f t="shared" si="247"/>
        <v>0</v>
      </c>
      <c r="X718">
        <f t="shared" si="239"/>
        <v>258479.15981521763</v>
      </c>
      <c r="Y718" s="6">
        <f t="shared" si="248"/>
        <v>28717.270877414343</v>
      </c>
      <c r="Z718" s="6">
        <f t="shared" si="249"/>
        <v>2.6357687208827407</v>
      </c>
      <c r="AA718" s="6">
        <f t="shared" si="250"/>
        <v>1.1641549865648071E-49</v>
      </c>
      <c r="AB718">
        <f t="shared" si="251"/>
        <v>0</v>
      </c>
      <c r="AD718" s="6">
        <f t="shared" si="240"/>
        <v>108329.67693092317</v>
      </c>
      <c r="AG718">
        <f t="shared" si="252"/>
        <v>79502.187888017215</v>
      </c>
      <c r="AH718">
        <f t="shared" si="253"/>
        <v>107.58239677072442</v>
      </c>
      <c r="AI718">
        <f t="shared" si="254"/>
        <v>2.7939719677555417E-47</v>
      </c>
      <c r="AL718">
        <f t="shared" si="241"/>
        <v>0.95733022153784308</v>
      </c>
      <c r="AM718">
        <f t="shared" si="257"/>
        <v>0.83330520716094747</v>
      </c>
      <c r="AO718">
        <v>716</v>
      </c>
      <c r="AP718">
        <v>0.94554632404280203</v>
      </c>
      <c r="AQ718">
        <v>0.80676294611090404</v>
      </c>
    </row>
    <row r="719" spans="14:43" x14ac:dyDescent="0.35">
      <c r="N719">
        <f t="shared" si="237"/>
        <v>717</v>
      </c>
      <c r="O719" s="6">
        <f t="shared" si="238"/>
        <v>258442.51512483484</v>
      </c>
      <c r="P719">
        <f t="shared" si="242"/>
        <v>12.922125756241742</v>
      </c>
      <c r="Q719">
        <f t="shared" si="243"/>
        <v>0</v>
      </c>
      <c r="R719" s="6">
        <f t="shared" si="255"/>
        <v>23.579586977016994</v>
      </c>
      <c r="S719">
        <f t="shared" si="244"/>
        <v>0.14147752186210197</v>
      </c>
      <c r="T719">
        <f t="shared" si="245"/>
        <v>0</v>
      </c>
      <c r="U719" s="6">
        <f t="shared" si="256"/>
        <v>8.9057856472207648E-49</v>
      </c>
      <c r="V719">
        <f t="shared" si="246"/>
        <v>1.3358678470831146E-49</v>
      </c>
      <c r="W719">
        <f t="shared" si="247"/>
        <v>0</v>
      </c>
      <c r="X719">
        <f t="shared" si="239"/>
        <v>258466.09471181186</v>
      </c>
      <c r="Y719" s="6">
        <f t="shared" si="248"/>
        <v>28715.835013870474</v>
      </c>
      <c r="Z719" s="6">
        <f t="shared" si="249"/>
        <v>2.6199541085574443</v>
      </c>
      <c r="AA719" s="6">
        <f t="shared" si="250"/>
        <v>9.8953173858008601E-50</v>
      </c>
      <c r="AB719">
        <f t="shared" si="251"/>
        <v>0</v>
      </c>
      <c r="AD719" s="6">
        <f t="shared" si="240"/>
        <v>108323.60464899194</v>
      </c>
      <c r="AG719">
        <f t="shared" si="252"/>
        <v>79498.212778622808</v>
      </c>
      <c r="AH719">
        <f t="shared" si="253"/>
        <v>106.93690239010007</v>
      </c>
      <c r="AI719">
        <f t="shared" si="254"/>
        <v>2.3748761725922106E-47</v>
      </c>
      <c r="AL719">
        <f t="shared" si="241"/>
        <v>0.95728183226596986</v>
      </c>
      <c r="AM719">
        <f t="shared" si="257"/>
        <v>0.83325849729993795</v>
      </c>
      <c r="AO719">
        <v>717</v>
      </c>
      <c r="AP719">
        <v>0.94542271753909501</v>
      </c>
      <c r="AQ719">
        <v>0.80662263602561601</v>
      </c>
    </row>
    <row r="720" spans="14:43" x14ac:dyDescent="0.35">
      <c r="N720">
        <f t="shared" si="237"/>
        <v>718</v>
      </c>
      <c r="O720" s="6">
        <f t="shared" si="238"/>
        <v>258429.5929990786</v>
      </c>
      <c r="P720">
        <f t="shared" si="242"/>
        <v>12.92147964995393</v>
      </c>
      <c r="Q720">
        <f t="shared" si="243"/>
        <v>0</v>
      </c>
      <c r="R720" s="6">
        <f t="shared" si="255"/>
        <v>23.438109455154894</v>
      </c>
      <c r="S720">
        <f t="shared" si="244"/>
        <v>0.14062865673092936</v>
      </c>
      <c r="T720">
        <f t="shared" si="245"/>
        <v>0</v>
      </c>
      <c r="U720" s="6">
        <f t="shared" si="256"/>
        <v>7.5699178001376505E-49</v>
      </c>
      <c r="V720">
        <f t="shared" si="246"/>
        <v>1.1354876700206476E-49</v>
      </c>
      <c r="W720">
        <f t="shared" si="247"/>
        <v>0</v>
      </c>
      <c r="X720">
        <f t="shared" si="239"/>
        <v>258453.03110853376</v>
      </c>
      <c r="Y720" s="6">
        <f t="shared" si="248"/>
        <v>28714.39922211978</v>
      </c>
      <c r="Z720" s="6">
        <f t="shared" si="249"/>
        <v>2.6042343839060997</v>
      </c>
      <c r="AA720" s="6">
        <f t="shared" si="250"/>
        <v>8.4110197779307306E-50</v>
      </c>
      <c r="AB720">
        <f t="shared" si="251"/>
        <v>0</v>
      </c>
      <c r="AD720" s="6">
        <f t="shared" si="240"/>
        <v>108317.53660546332</v>
      </c>
      <c r="AG720">
        <f t="shared" si="252"/>
        <v>79494.237867983873</v>
      </c>
      <c r="AH720">
        <f t="shared" si="253"/>
        <v>106.29528097575947</v>
      </c>
      <c r="AI720">
        <f t="shared" si="254"/>
        <v>2.0186447467033789E-47</v>
      </c>
      <c r="AL720">
        <f t="shared" si="241"/>
        <v>0.95723344855012504</v>
      </c>
      <c r="AM720">
        <f t="shared" si="257"/>
        <v>0.83321182004202554</v>
      </c>
      <c r="AO720">
        <v>718</v>
      </c>
      <c r="AP720">
        <v>0.94533919963118496</v>
      </c>
      <c r="AQ720">
        <v>0.80653243668507302</v>
      </c>
    </row>
    <row r="721" spans="14:43" x14ac:dyDescent="0.35">
      <c r="N721">
        <f t="shared" si="237"/>
        <v>719</v>
      </c>
      <c r="O721" s="6">
        <f t="shared" si="238"/>
        <v>258416.67151942864</v>
      </c>
      <c r="P721">
        <f t="shared" si="242"/>
        <v>12.920833575971432</v>
      </c>
      <c r="Q721">
        <f t="shared" si="243"/>
        <v>0</v>
      </c>
      <c r="R721" s="6">
        <f t="shared" si="255"/>
        <v>23.297480798423965</v>
      </c>
      <c r="S721">
        <f t="shared" si="244"/>
        <v>0.1397848847905438</v>
      </c>
      <c r="T721">
        <f t="shared" si="245"/>
        <v>0</v>
      </c>
      <c r="U721" s="6">
        <f t="shared" si="256"/>
        <v>6.4344301301170027E-49</v>
      </c>
      <c r="V721">
        <f t="shared" si="246"/>
        <v>9.6516451951755037E-50</v>
      </c>
      <c r="W721">
        <f t="shared" si="247"/>
        <v>0</v>
      </c>
      <c r="X721">
        <f t="shared" si="239"/>
        <v>258439.96900022705</v>
      </c>
      <c r="Y721" s="6">
        <f t="shared" si="248"/>
        <v>28712.963502158673</v>
      </c>
      <c r="Z721" s="6">
        <f t="shared" si="249"/>
        <v>2.5886089776026631</v>
      </c>
      <c r="AA721" s="6">
        <f t="shared" si="250"/>
        <v>7.1493668112411213E-50</v>
      </c>
      <c r="AB721">
        <f t="shared" si="251"/>
        <v>0</v>
      </c>
      <c r="AD721" s="6">
        <f t="shared" si="240"/>
        <v>108311.47277651665</v>
      </c>
      <c r="AG721">
        <f t="shared" si="252"/>
        <v>79490.26315609047</v>
      </c>
      <c r="AH721">
        <f t="shared" si="253"/>
        <v>105.65750928990491</v>
      </c>
      <c r="AI721">
        <f t="shared" si="254"/>
        <v>1.715848034697872E-47</v>
      </c>
      <c r="AL721">
        <f t="shared" si="241"/>
        <v>0.95718507037121126</v>
      </c>
      <c r="AM721">
        <f t="shared" si="257"/>
        <v>0.83316517520397415</v>
      </c>
      <c r="AO721">
        <v>719</v>
      </c>
      <c r="AP721">
        <v>0.94525568172327501</v>
      </c>
      <c r="AQ721">
        <v>0.80643221519558095</v>
      </c>
    </row>
    <row r="722" spans="14:43" x14ac:dyDescent="0.35">
      <c r="N722">
        <f t="shared" si="237"/>
        <v>720</v>
      </c>
      <c r="O722" s="6">
        <f t="shared" si="238"/>
        <v>258403.75068585266</v>
      </c>
      <c r="P722">
        <f t="shared" si="242"/>
        <v>12.920187534292634</v>
      </c>
      <c r="Q722">
        <f t="shared" si="243"/>
        <v>0</v>
      </c>
      <c r="R722" s="6">
        <f t="shared" si="255"/>
        <v>23.157695913633422</v>
      </c>
      <c r="S722">
        <f t="shared" si="244"/>
        <v>0.13894617548180052</v>
      </c>
      <c r="T722">
        <f t="shared" si="245"/>
        <v>0</v>
      </c>
      <c r="U722" s="6">
        <f t="shared" si="256"/>
        <v>5.4692656105994523E-49</v>
      </c>
      <c r="V722">
        <f t="shared" si="246"/>
        <v>8.203898415899178E-50</v>
      </c>
      <c r="W722">
        <f t="shared" si="247"/>
        <v>0</v>
      </c>
      <c r="X722">
        <f t="shared" si="239"/>
        <v>258426.90838176629</v>
      </c>
      <c r="Y722" s="6">
        <f t="shared" si="248"/>
        <v>28711.527853983564</v>
      </c>
      <c r="Z722" s="6">
        <f t="shared" si="249"/>
        <v>2.573077323737047</v>
      </c>
      <c r="AA722" s="6">
        <f t="shared" si="250"/>
        <v>6.0769617895549535E-50</v>
      </c>
      <c r="AB722">
        <f t="shared" si="251"/>
        <v>0</v>
      </c>
      <c r="AD722" s="6">
        <f t="shared" si="240"/>
        <v>108305.41313847413</v>
      </c>
      <c r="AG722">
        <f t="shared" si="252"/>
        <v>79486.288642932661</v>
      </c>
      <c r="AH722">
        <f t="shared" si="253"/>
        <v>105.02356423416548</v>
      </c>
      <c r="AI722">
        <f t="shared" si="254"/>
        <v>1.4584708294931911E-47</v>
      </c>
      <c r="AL722">
        <f t="shared" si="241"/>
        <v>0.95713669771024557</v>
      </c>
      <c r="AM722">
        <f t="shared" si="257"/>
        <v>0.83311856260364714</v>
      </c>
      <c r="AO722">
        <v>720</v>
      </c>
      <c r="AP722">
        <v>0.94515880095009897</v>
      </c>
      <c r="AQ722">
        <v>0.80633199370608999</v>
      </c>
    </row>
    <row r="723" spans="14:43" x14ac:dyDescent="0.35">
      <c r="N723">
        <f t="shared" si="237"/>
        <v>721</v>
      </c>
      <c r="O723" s="6">
        <f t="shared" si="238"/>
        <v>258390.83049831836</v>
      </c>
      <c r="P723">
        <f t="shared" si="242"/>
        <v>12.919541524915919</v>
      </c>
      <c r="Q723">
        <f t="shared" si="243"/>
        <v>0</v>
      </c>
      <c r="R723" s="6">
        <f t="shared" si="255"/>
        <v>23.01874973815162</v>
      </c>
      <c r="S723">
        <f t="shared" si="244"/>
        <v>0.13811249842890971</v>
      </c>
      <c r="T723">
        <f t="shared" si="245"/>
        <v>0</v>
      </c>
      <c r="U723" s="6">
        <f t="shared" si="256"/>
        <v>4.6488757690095343E-49</v>
      </c>
      <c r="V723">
        <f t="shared" si="246"/>
        <v>6.973313653514301E-50</v>
      </c>
      <c r="W723">
        <f t="shared" si="247"/>
        <v>0</v>
      </c>
      <c r="X723">
        <f t="shared" si="239"/>
        <v>258413.8492480565</v>
      </c>
      <c r="Y723" s="6">
        <f t="shared" si="248"/>
        <v>28710.092277590866</v>
      </c>
      <c r="Z723" s="6">
        <f t="shared" si="249"/>
        <v>2.5576388597946247</v>
      </c>
      <c r="AA723" s="6">
        <f t="shared" si="250"/>
        <v>5.1654175211217102E-50</v>
      </c>
      <c r="AB723">
        <f t="shared" si="251"/>
        <v>0</v>
      </c>
      <c r="AD723" s="6">
        <f t="shared" si="240"/>
        <v>108299.35766779994</v>
      </c>
      <c r="AG723">
        <f t="shared" si="252"/>
        <v>79482.314328500521</v>
      </c>
      <c r="AH723">
        <f t="shared" si="253"/>
        <v>104.39342284876048</v>
      </c>
      <c r="AI723">
        <f t="shared" si="254"/>
        <v>1.2397002050692125E-47</v>
      </c>
      <c r="AL723">
        <f t="shared" si="241"/>
        <v>0.9570883305483574</v>
      </c>
      <c r="AM723">
        <f t="shared" si="257"/>
        <v>0.83307198205999955</v>
      </c>
      <c r="AO723">
        <v>721</v>
      </c>
      <c r="AP723">
        <v>0.94505523874429098</v>
      </c>
      <c r="AQ723">
        <v>0.80622175006764896</v>
      </c>
    </row>
    <row r="724" spans="14:43" x14ac:dyDescent="0.35">
      <c r="N724">
        <f t="shared" si="237"/>
        <v>722</v>
      </c>
      <c r="O724" s="6">
        <f t="shared" si="238"/>
        <v>258377.91095679344</v>
      </c>
      <c r="P724">
        <f t="shared" si="242"/>
        <v>12.918895547839673</v>
      </c>
      <c r="Q724">
        <f t="shared" si="243"/>
        <v>0</v>
      </c>
      <c r="R724" s="6">
        <f t="shared" si="255"/>
        <v>22.880637239722709</v>
      </c>
      <c r="S724">
        <f t="shared" si="244"/>
        <v>0.13728382343833626</v>
      </c>
      <c r="T724">
        <f t="shared" si="245"/>
        <v>0</v>
      </c>
      <c r="U724" s="6">
        <f t="shared" si="256"/>
        <v>3.951544403658104E-49</v>
      </c>
      <c r="V724">
        <f t="shared" si="246"/>
        <v>5.9273166054871562E-50</v>
      </c>
      <c r="W724">
        <f t="shared" si="247"/>
        <v>0</v>
      </c>
      <c r="X724">
        <f t="shared" si="239"/>
        <v>258400.79159403316</v>
      </c>
      <c r="Y724" s="6">
        <f t="shared" si="248"/>
        <v>28708.656772976985</v>
      </c>
      <c r="Z724" s="6">
        <f t="shared" si="249"/>
        <v>2.542293026635857</v>
      </c>
      <c r="AA724" s="6">
        <f t="shared" si="250"/>
        <v>4.3906048929534535E-50</v>
      </c>
      <c r="AB724">
        <f t="shared" si="251"/>
        <v>0</v>
      </c>
      <c r="AD724" s="6">
        <f t="shared" si="240"/>
        <v>108293.30634109939</v>
      </c>
      <c r="AG724">
        <f t="shared" si="252"/>
        <v>79478.340212784096</v>
      </c>
      <c r="AH724">
        <f t="shared" si="253"/>
        <v>103.76706231166791</v>
      </c>
      <c r="AI724">
        <f t="shared" si="254"/>
        <v>1.0537451743088306E-47</v>
      </c>
      <c r="AL724">
        <f t="shared" si="241"/>
        <v>0.95703996886678944</v>
      </c>
      <c r="AM724">
        <f t="shared" si="257"/>
        <v>0.83302543339307222</v>
      </c>
      <c r="AO724">
        <v>722</v>
      </c>
      <c r="AP724">
        <v>0.94497506155269795</v>
      </c>
      <c r="AQ724">
        <v>0.80610148428025996</v>
      </c>
    </row>
    <row r="725" spans="14:43" x14ac:dyDescent="0.35">
      <c r="N725">
        <f t="shared" si="237"/>
        <v>723</v>
      </c>
      <c r="O725" s="6">
        <f t="shared" si="238"/>
        <v>258364.9920612456</v>
      </c>
      <c r="P725">
        <f t="shared" si="242"/>
        <v>12.91824960306228</v>
      </c>
      <c r="Q725">
        <f t="shared" si="243"/>
        <v>0</v>
      </c>
      <c r="R725" s="6">
        <f t="shared" si="255"/>
        <v>22.743353416284371</v>
      </c>
      <c r="S725">
        <f t="shared" si="244"/>
        <v>0.13646012049770623</v>
      </c>
      <c r="T725">
        <f t="shared" si="245"/>
        <v>0</v>
      </c>
      <c r="U725" s="6">
        <f t="shared" si="256"/>
        <v>3.3588127431093885E-49</v>
      </c>
      <c r="V725">
        <f t="shared" si="246"/>
        <v>5.0382191146640823E-50</v>
      </c>
      <c r="W725">
        <f t="shared" si="247"/>
        <v>0</v>
      </c>
      <c r="X725">
        <f t="shared" si="239"/>
        <v>258387.73541466187</v>
      </c>
      <c r="Y725" s="6">
        <f t="shared" si="248"/>
        <v>28707.221340138338</v>
      </c>
      <c r="Z725" s="6">
        <f t="shared" si="249"/>
        <v>2.5270392684760417</v>
      </c>
      <c r="AA725" s="6">
        <f t="shared" si="250"/>
        <v>3.7320141590104356E-50</v>
      </c>
      <c r="AB725">
        <f t="shared" si="251"/>
        <v>0</v>
      </c>
      <c r="AD725" s="6">
        <f t="shared" si="240"/>
        <v>108287.25913511807</v>
      </c>
      <c r="AG725">
        <f t="shared" si="252"/>
        <v>79474.366295773463</v>
      </c>
      <c r="AH725">
        <f t="shared" si="253"/>
        <v>103.1444599377979</v>
      </c>
      <c r="AI725">
        <f t="shared" si="254"/>
        <v>8.9568339816250602E-48</v>
      </c>
      <c r="AL725">
        <f t="shared" si="241"/>
        <v>0.95699161264689581</v>
      </c>
      <c r="AM725">
        <f t="shared" si="257"/>
        <v>0.83297891642398514</v>
      </c>
      <c r="AO725">
        <v>723</v>
      </c>
      <c r="AP725">
        <v>0.94487484006320699</v>
      </c>
      <c r="AQ725">
        <v>0.80599124064181804</v>
      </c>
    </row>
    <row r="726" spans="14:43" x14ac:dyDescent="0.35">
      <c r="N726">
        <f t="shared" si="237"/>
        <v>724</v>
      </c>
      <c r="O726" s="6">
        <f t="shared" si="238"/>
        <v>258352.07381164253</v>
      </c>
      <c r="P726">
        <f t="shared" si="242"/>
        <v>12.917603690582128</v>
      </c>
      <c r="Q726">
        <f t="shared" si="243"/>
        <v>0</v>
      </c>
      <c r="R726" s="6">
        <f t="shared" si="255"/>
        <v>22.606893295786666</v>
      </c>
      <c r="S726">
        <f t="shared" si="244"/>
        <v>0.13564135977472</v>
      </c>
      <c r="T726">
        <f t="shared" si="245"/>
        <v>0</v>
      </c>
      <c r="U726" s="6">
        <f t="shared" si="256"/>
        <v>2.85499083164298E-49</v>
      </c>
      <c r="V726">
        <f t="shared" si="246"/>
        <v>4.2824862474644697E-50</v>
      </c>
      <c r="W726">
        <f t="shared" si="247"/>
        <v>0</v>
      </c>
      <c r="X726">
        <f t="shared" si="239"/>
        <v>258374.68070493834</v>
      </c>
      <c r="Y726" s="6">
        <f t="shared" si="248"/>
        <v>28705.78597907133</v>
      </c>
      <c r="Z726" s="6">
        <f t="shared" si="249"/>
        <v>2.5118770328651854</v>
      </c>
      <c r="AA726" s="6">
        <f t="shared" si="250"/>
        <v>3.17221203515887E-50</v>
      </c>
      <c r="AB726">
        <f t="shared" si="251"/>
        <v>0</v>
      </c>
      <c r="AD726" s="6">
        <f t="shared" si="240"/>
        <v>108281.21602674104</v>
      </c>
      <c r="AG726">
        <f t="shared" si="252"/>
        <v>79470.392577458668</v>
      </c>
      <c r="AH726">
        <f t="shared" si="253"/>
        <v>102.52559317817112</v>
      </c>
      <c r="AI726">
        <f t="shared" si="254"/>
        <v>7.6133088843813012E-48</v>
      </c>
      <c r="AL726">
        <f t="shared" si="241"/>
        <v>0.956943261870142</v>
      </c>
      <c r="AM726">
        <f t="shared" si="257"/>
        <v>0.83293243097493108</v>
      </c>
      <c r="AO726">
        <v>724</v>
      </c>
      <c r="AP726">
        <v>0.94480802573687905</v>
      </c>
      <c r="AQ726">
        <v>0.80586095270547897</v>
      </c>
    </row>
    <row r="727" spans="14:43" x14ac:dyDescent="0.35">
      <c r="N727">
        <f t="shared" si="237"/>
        <v>725</v>
      </c>
      <c r="O727" s="6">
        <f t="shared" si="238"/>
        <v>258339.15620795195</v>
      </c>
      <c r="P727">
        <f t="shared" si="242"/>
        <v>12.916957810397598</v>
      </c>
      <c r="Q727">
        <f t="shared" si="243"/>
        <v>0</v>
      </c>
      <c r="R727" s="6">
        <f t="shared" si="255"/>
        <v>22.471251936011946</v>
      </c>
      <c r="S727">
        <f t="shared" si="244"/>
        <v>0.13482751161607168</v>
      </c>
      <c r="T727">
        <f t="shared" si="245"/>
        <v>0</v>
      </c>
      <c r="U727" s="6">
        <f t="shared" si="256"/>
        <v>2.4267422068965331E-49</v>
      </c>
      <c r="V727">
        <f t="shared" si="246"/>
        <v>3.6401133103447995E-50</v>
      </c>
      <c r="W727">
        <f t="shared" si="247"/>
        <v>0</v>
      </c>
      <c r="X727">
        <f t="shared" si="239"/>
        <v>258361.62745988797</v>
      </c>
      <c r="Y727" s="6">
        <f t="shared" si="248"/>
        <v>28704.350689772378</v>
      </c>
      <c r="Z727" s="6">
        <f t="shared" si="249"/>
        <v>2.4968057706679945</v>
      </c>
      <c r="AA727" s="6">
        <f t="shared" si="250"/>
        <v>2.6963802298850394E-50</v>
      </c>
      <c r="AB727">
        <f t="shared" si="251"/>
        <v>0</v>
      </c>
      <c r="AD727" s="6">
        <f t="shared" si="240"/>
        <v>108275.17699299194</v>
      </c>
      <c r="AG727">
        <f t="shared" si="252"/>
        <v>79466.4190578298</v>
      </c>
      <c r="AH727">
        <f t="shared" si="253"/>
        <v>101.91043961910209</v>
      </c>
      <c r="AI727">
        <f t="shared" si="254"/>
        <v>6.4713125517241064E-48</v>
      </c>
      <c r="AL727">
        <f t="shared" si="241"/>
        <v>0.95689491651810354</v>
      </c>
      <c r="AM727">
        <f t="shared" si="257"/>
        <v>0.83288597686916876</v>
      </c>
      <c r="AO727">
        <v>725</v>
      </c>
      <c r="AP727">
        <v>0.94472116711265297</v>
      </c>
      <c r="AQ727">
        <v>0.80577075336493598</v>
      </c>
    </row>
    <row r="728" spans="14:43" x14ac:dyDescent="0.35">
      <c r="N728">
        <f t="shared" si="237"/>
        <v>726</v>
      </c>
      <c r="O728" s="6">
        <f t="shared" si="238"/>
        <v>258326.23925014155</v>
      </c>
      <c r="P728">
        <f t="shared" si="242"/>
        <v>12.916311962507077</v>
      </c>
      <c r="Q728">
        <f t="shared" si="243"/>
        <v>0</v>
      </c>
      <c r="R728" s="6">
        <f t="shared" si="255"/>
        <v>22.336424424395876</v>
      </c>
      <c r="S728">
        <f t="shared" si="244"/>
        <v>0.13401854654637527</v>
      </c>
      <c r="T728">
        <f t="shared" si="245"/>
        <v>0</v>
      </c>
      <c r="U728" s="6">
        <f t="shared" si="256"/>
        <v>2.0627308758620531E-49</v>
      </c>
      <c r="V728">
        <f t="shared" si="246"/>
        <v>3.0940963137930797E-50</v>
      </c>
      <c r="W728">
        <f t="shared" si="247"/>
        <v>0</v>
      </c>
      <c r="X728">
        <f t="shared" si="239"/>
        <v>258348.57567456595</v>
      </c>
      <c r="Y728" s="6">
        <f t="shared" si="248"/>
        <v>28702.915472237888</v>
      </c>
      <c r="Z728" s="6">
        <f t="shared" si="249"/>
        <v>2.4818249360439864</v>
      </c>
      <c r="AA728" s="6">
        <f t="shared" si="250"/>
        <v>2.2919231954022834E-50</v>
      </c>
      <c r="AB728">
        <f t="shared" si="251"/>
        <v>0</v>
      </c>
      <c r="AD728" s="6">
        <f t="shared" si="240"/>
        <v>108269.14201103222</v>
      </c>
      <c r="AG728">
        <f t="shared" si="252"/>
        <v>79462.445736876907</v>
      </c>
      <c r="AH728">
        <f t="shared" si="253"/>
        <v>101.29897698138748</v>
      </c>
      <c r="AI728">
        <f t="shared" si="254"/>
        <v>5.5006156689654898E-48</v>
      </c>
      <c r="AL728">
        <f t="shared" si="241"/>
        <v>0.95684657657246641</v>
      </c>
      <c r="AM728">
        <f t="shared" si="257"/>
        <v>0.83283955393101705</v>
      </c>
      <c r="AO728">
        <v>726</v>
      </c>
      <c r="AP728">
        <v>0.94462762705579295</v>
      </c>
      <c r="AQ728">
        <v>0.80566050972649506</v>
      </c>
    </row>
    <row r="729" spans="14:43" x14ac:dyDescent="0.35">
      <c r="N729">
        <f t="shared" si="237"/>
        <v>727</v>
      </c>
      <c r="O729" s="6">
        <f t="shared" si="238"/>
        <v>258313.32293817904</v>
      </c>
      <c r="P729">
        <f t="shared" si="242"/>
        <v>12.915666146908952</v>
      </c>
      <c r="Q729">
        <f t="shared" si="243"/>
        <v>0</v>
      </c>
      <c r="R729" s="6">
        <f t="shared" si="255"/>
        <v>22.2024058778495</v>
      </c>
      <c r="S729">
        <f t="shared" si="244"/>
        <v>0.133214435267097</v>
      </c>
      <c r="T729">
        <f t="shared" si="245"/>
        <v>0</v>
      </c>
      <c r="U729" s="6">
        <f t="shared" si="256"/>
        <v>1.7533212444827451E-49</v>
      </c>
      <c r="V729">
        <f t="shared" si="246"/>
        <v>2.6299818667241174E-50</v>
      </c>
      <c r="W729">
        <f t="shared" si="247"/>
        <v>0</v>
      </c>
      <c r="X729">
        <f t="shared" si="239"/>
        <v>258335.52534405689</v>
      </c>
      <c r="Y729" s="6">
        <f t="shared" si="248"/>
        <v>28701.480326464276</v>
      </c>
      <c r="Z729" s="6">
        <f t="shared" si="249"/>
        <v>2.4669339864277222</v>
      </c>
      <c r="AA729" s="6">
        <f t="shared" si="250"/>
        <v>1.9481347160919409E-50</v>
      </c>
      <c r="AB729">
        <f t="shared" si="251"/>
        <v>0</v>
      </c>
      <c r="AD729" s="6">
        <f t="shared" si="240"/>
        <v>108263.11105816027</v>
      </c>
      <c r="AG729">
        <f t="shared" si="252"/>
        <v>79458.472614590064</v>
      </c>
      <c r="AH729">
        <f t="shared" si="253"/>
        <v>100.69118311949916</v>
      </c>
      <c r="AI729">
        <f t="shared" si="254"/>
        <v>4.6755233186206665E-48</v>
      </c>
      <c r="AL729">
        <f t="shared" si="241"/>
        <v>0.9567982420150255</v>
      </c>
      <c r="AM729">
        <f t="shared" si="257"/>
        <v>0.83279316198584818</v>
      </c>
      <c r="AO729">
        <v>727</v>
      </c>
      <c r="AP729">
        <v>0.94452072413367005</v>
      </c>
      <c r="AQ729">
        <v>0.80557031038595295</v>
      </c>
    </row>
    <row r="730" spans="14:43" x14ac:dyDescent="0.35">
      <c r="N730">
        <f t="shared" si="237"/>
        <v>728</v>
      </c>
      <c r="O730" s="6">
        <f t="shared" si="238"/>
        <v>258300.40727203214</v>
      </c>
      <c r="P730">
        <f t="shared" si="242"/>
        <v>12.915020363601608</v>
      </c>
      <c r="Q730">
        <f t="shared" si="243"/>
        <v>0</v>
      </c>
      <c r="R730" s="6">
        <f t="shared" si="255"/>
        <v>22.069191442582405</v>
      </c>
      <c r="S730">
        <f t="shared" si="244"/>
        <v>0.13241514865549442</v>
      </c>
      <c r="T730">
        <f t="shared" si="245"/>
        <v>0</v>
      </c>
      <c r="U730" s="6">
        <f t="shared" si="256"/>
        <v>1.4903230578103334E-49</v>
      </c>
      <c r="V730">
        <f t="shared" si="246"/>
        <v>2.2354845867154999E-50</v>
      </c>
      <c r="W730">
        <f t="shared" si="247"/>
        <v>0</v>
      </c>
      <c r="X730">
        <f t="shared" si="239"/>
        <v>258322.47646347471</v>
      </c>
      <c r="Y730" s="6">
        <f t="shared" si="248"/>
        <v>28700.045252447951</v>
      </c>
      <c r="Z730" s="6">
        <f t="shared" si="249"/>
        <v>2.4521323825091557</v>
      </c>
      <c r="AA730" s="6">
        <f t="shared" si="250"/>
        <v>1.6559145086781497E-50</v>
      </c>
      <c r="AB730">
        <f t="shared" si="251"/>
        <v>0</v>
      </c>
      <c r="AD730" s="6">
        <f t="shared" si="240"/>
        <v>108257.08411181057</v>
      </c>
      <c r="AG730">
        <f t="shared" si="252"/>
        <v>79454.499690959332</v>
      </c>
      <c r="AH730">
        <f t="shared" si="253"/>
        <v>100.08703602078216</v>
      </c>
      <c r="AI730">
        <f t="shared" si="254"/>
        <v>3.9741948208275668E-48</v>
      </c>
      <c r="AL730">
        <f t="shared" si="241"/>
        <v>0.95674991282768407</v>
      </c>
      <c r="AM730">
        <f t="shared" si="257"/>
        <v>0.83274680086008135</v>
      </c>
      <c r="AO730">
        <v>728</v>
      </c>
      <c r="AP730">
        <v>0.94443052479312695</v>
      </c>
      <c r="AQ730">
        <v>0.80547008889646099</v>
      </c>
    </row>
    <row r="731" spans="14:43" x14ac:dyDescent="0.35">
      <c r="N731">
        <f t="shared" si="237"/>
        <v>729</v>
      </c>
      <c r="O731" s="6">
        <f t="shared" si="238"/>
        <v>258287.49225166853</v>
      </c>
      <c r="P731">
        <f t="shared" si="242"/>
        <v>12.914374612583428</v>
      </c>
      <c r="Q731">
        <f t="shared" si="243"/>
        <v>0</v>
      </c>
      <c r="R731" s="6">
        <f t="shared" si="255"/>
        <v>21.936776293926911</v>
      </c>
      <c r="S731">
        <f t="shared" si="244"/>
        <v>0.13162065776356147</v>
      </c>
      <c r="T731">
        <f t="shared" si="245"/>
        <v>0</v>
      </c>
      <c r="U731" s="6">
        <f t="shared" si="256"/>
        <v>1.2667745991387833E-49</v>
      </c>
      <c r="V731">
        <f t="shared" si="246"/>
        <v>1.9001618987081748E-50</v>
      </c>
      <c r="W731">
        <f t="shared" si="247"/>
        <v>0</v>
      </c>
      <c r="X731">
        <f t="shared" si="239"/>
        <v>258309.42902796247</v>
      </c>
      <c r="Y731" s="6">
        <f t="shared" si="248"/>
        <v>28698.610250185327</v>
      </c>
      <c r="Z731" s="6">
        <f t="shared" si="249"/>
        <v>2.4374195882141008</v>
      </c>
      <c r="AA731" s="6">
        <f t="shared" si="250"/>
        <v>1.4075273323764273E-50</v>
      </c>
      <c r="AB731">
        <f t="shared" si="251"/>
        <v>0</v>
      </c>
      <c r="AD731" s="6">
        <f t="shared" si="240"/>
        <v>108251.06114955299</v>
      </c>
      <c r="AG731">
        <f t="shared" si="252"/>
        <v>79450.526965974786</v>
      </c>
      <c r="AH731">
        <f t="shared" si="253"/>
        <v>99.486513804657477</v>
      </c>
      <c r="AI731">
        <f t="shared" si="254"/>
        <v>3.3780655977034319E-48</v>
      </c>
      <c r="AL731">
        <f t="shared" si="241"/>
        <v>0.95670158899245361</v>
      </c>
      <c r="AM731">
        <f t="shared" si="257"/>
        <v>0.83270047038117678</v>
      </c>
      <c r="AO731">
        <v>729</v>
      </c>
      <c r="AP731">
        <v>0.94431025900573595</v>
      </c>
      <c r="AQ731">
        <v>0.80534982310907</v>
      </c>
    </row>
    <row r="732" spans="14:43" x14ac:dyDescent="0.35">
      <c r="N732">
        <f t="shared" si="237"/>
        <v>730</v>
      </c>
      <c r="O732" s="6">
        <f t="shared" si="238"/>
        <v>258274.57787705594</v>
      </c>
      <c r="P732">
        <f t="shared" si="242"/>
        <v>12.913728893852797</v>
      </c>
      <c r="Q732">
        <f t="shared" si="243"/>
        <v>0</v>
      </c>
      <c r="R732" s="6">
        <f t="shared" si="255"/>
        <v>21.805155636163349</v>
      </c>
      <c r="S732">
        <f t="shared" si="244"/>
        <v>0.13083093381698011</v>
      </c>
      <c r="T732">
        <f t="shared" si="245"/>
        <v>0</v>
      </c>
      <c r="U732" s="6">
        <f t="shared" si="256"/>
        <v>1.0767584092679658E-49</v>
      </c>
      <c r="V732">
        <f t="shared" si="246"/>
        <v>1.6151376139019487E-50</v>
      </c>
      <c r="W732">
        <f t="shared" si="247"/>
        <v>0</v>
      </c>
      <c r="X732">
        <f t="shared" si="239"/>
        <v>258296.3830326921</v>
      </c>
      <c r="Y732" s="6">
        <f t="shared" si="248"/>
        <v>28697.175319672817</v>
      </c>
      <c r="Z732" s="6">
        <f t="shared" si="249"/>
        <v>2.422795070684816</v>
      </c>
      <c r="AA732" s="6">
        <f t="shared" si="250"/>
        <v>1.1963982325199633E-50</v>
      </c>
      <c r="AB732">
        <f t="shared" si="251"/>
        <v>0</v>
      </c>
      <c r="AD732" s="6">
        <f t="shared" si="240"/>
        <v>108245.04214909182</v>
      </c>
      <c r="AG732">
        <f t="shared" si="252"/>
        <v>79446.554439626489</v>
      </c>
      <c r="AH732">
        <f t="shared" si="253"/>
        <v>98.889594721829539</v>
      </c>
      <c r="AI732">
        <f t="shared" si="254"/>
        <v>2.8713557580479172E-48</v>
      </c>
      <c r="AL732">
        <f t="shared" si="241"/>
        <v>0.95665327049145221</v>
      </c>
      <c r="AM732">
        <f t="shared" si="257"/>
        <v>0.83265417037762945</v>
      </c>
      <c r="AO732">
        <v>730</v>
      </c>
      <c r="AP732">
        <v>0.94419667465097801</v>
      </c>
      <c r="AQ732">
        <v>0.80524960161957904</v>
      </c>
    </row>
    <row r="733" spans="14:43" x14ac:dyDescent="0.35">
      <c r="N733">
        <f t="shared" si="237"/>
        <v>731</v>
      </c>
      <c r="O733" s="6">
        <f t="shared" si="238"/>
        <v>258261.66414816209</v>
      </c>
      <c r="P733">
        <f t="shared" si="242"/>
        <v>12.913083207408105</v>
      </c>
      <c r="Q733">
        <f t="shared" si="243"/>
        <v>0</v>
      </c>
      <c r="R733" s="6">
        <f t="shared" si="255"/>
        <v>21.674324702346368</v>
      </c>
      <c r="S733">
        <f t="shared" si="244"/>
        <v>0.13004594821407822</v>
      </c>
      <c r="T733">
        <f t="shared" si="245"/>
        <v>0</v>
      </c>
      <c r="U733" s="6">
        <f t="shared" si="256"/>
        <v>9.1524464787777082E-50</v>
      </c>
      <c r="V733">
        <f t="shared" si="246"/>
        <v>1.3728669718166562E-50</v>
      </c>
      <c r="W733">
        <f t="shared" si="247"/>
        <v>0</v>
      </c>
      <c r="X733">
        <f t="shared" si="239"/>
        <v>258283.33847286445</v>
      </c>
      <c r="Y733" s="6">
        <f t="shared" si="248"/>
        <v>28695.740460906833</v>
      </c>
      <c r="Z733" s="6">
        <f t="shared" si="249"/>
        <v>2.408258300260707</v>
      </c>
      <c r="AA733" s="6">
        <f t="shared" si="250"/>
        <v>1.0169384976419688E-50</v>
      </c>
      <c r="AB733">
        <f t="shared" si="251"/>
        <v>0</v>
      </c>
      <c r="AD733" s="6">
        <f t="shared" si="240"/>
        <v>108239.02708826511</v>
      </c>
      <c r="AG733">
        <f t="shared" si="252"/>
        <v>79442.582111904514</v>
      </c>
      <c r="AH733">
        <f t="shared" si="253"/>
        <v>98.296257153498559</v>
      </c>
      <c r="AI733">
        <f t="shared" si="254"/>
        <v>2.4406523943407297E-48</v>
      </c>
      <c r="AL733">
        <f t="shared" si="241"/>
        <v>0.95660495730690531</v>
      </c>
      <c r="AM733">
        <f t="shared" si="257"/>
        <v>0.8326079006789624</v>
      </c>
      <c r="AO733">
        <v>731</v>
      </c>
      <c r="AP733">
        <v>0.94406972743095596</v>
      </c>
      <c r="AQ733">
        <v>0.80514938013008797</v>
      </c>
    </row>
    <row r="734" spans="14:43" x14ac:dyDescent="0.35">
      <c r="N734">
        <f t="shared" si="237"/>
        <v>732</v>
      </c>
      <c r="O734" s="6">
        <f t="shared" si="238"/>
        <v>258248.75106495467</v>
      </c>
      <c r="P734">
        <f t="shared" si="242"/>
        <v>12.912437553247734</v>
      </c>
      <c r="Q734">
        <f t="shared" si="243"/>
        <v>0</v>
      </c>
      <c r="R734" s="6">
        <f t="shared" si="255"/>
        <v>21.544278754132289</v>
      </c>
      <c r="S734">
        <f t="shared" si="244"/>
        <v>0.12926567252479373</v>
      </c>
      <c r="T734">
        <f t="shared" si="245"/>
        <v>0</v>
      </c>
      <c r="U734" s="6">
        <f t="shared" si="256"/>
        <v>7.7795795069610518E-50</v>
      </c>
      <c r="V734">
        <f t="shared" si="246"/>
        <v>1.1669369260441576E-50</v>
      </c>
      <c r="W734">
        <f t="shared" si="247"/>
        <v>0</v>
      </c>
      <c r="X734">
        <f t="shared" si="239"/>
        <v>258270.2953437088</v>
      </c>
      <c r="Y734" s="6">
        <f t="shared" si="248"/>
        <v>28694.305673883788</v>
      </c>
      <c r="Z734" s="6">
        <f t="shared" si="249"/>
        <v>2.3938087504591428</v>
      </c>
      <c r="AA734" s="6">
        <f t="shared" si="250"/>
        <v>8.6439772299567355E-51</v>
      </c>
      <c r="AB734">
        <f t="shared" si="251"/>
        <v>0</v>
      </c>
      <c r="AD734" s="6">
        <f t="shared" si="240"/>
        <v>108233.01594504375</v>
      </c>
      <c r="AG734">
        <f t="shared" si="252"/>
        <v>79438.609982798924</v>
      </c>
      <c r="AH734">
        <f t="shared" si="253"/>
        <v>97.706479610577574</v>
      </c>
      <c r="AI734">
        <f t="shared" si="254"/>
        <v>2.0745545351896203E-48</v>
      </c>
      <c r="AL734">
        <f t="shared" si="241"/>
        <v>0.95655664942114371</v>
      </c>
      <c r="AM734">
        <f t="shared" si="257"/>
        <v>0.83256166111572116</v>
      </c>
      <c r="AO734">
        <v>732</v>
      </c>
      <c r="AP734">
        <v>0.94397284665778103</v>
      </c>
      <c r="AQ734">
        <v>0.80499904789584897</v>
      </c>
    </row>
    <row r="735" spans="14:43" x14ac:dyDescent="0.35">
      <c r="N735">
        <f t="shared" si="237"/>
        <v>733</v>
      </c>
      <c r="O735" s="6">
        <f t="shared" si="238"/>
        <v>258235.83862740142</v>
      </c>
      <c r="P735">
        <f t="shared" si="242"/>
        <v>12.911791931370072</v>
      </c>
      <c r="Q735">
        <f t="shared" si="243"/>
        <v>0</v>
      </c>
      <c r="R735" s="6">
        <f t="shared" si="255"/>
        <v>21.415013081607494</v>
      </c>
      <c r="S735">
        <f t="shared" si="244"/>
        <v>0.12849007848964497</v>
      </c>
      <c r="T735">
        <f t="shared" si="245"/>
        <v>0</v>
      </c>
      <c r="U735" s="6">
        <f t="shared" si="256"/>
        <v>6.6126425809168939E-50</v>
      </c>
      <c r="V735">
        <f t="shared" si="246"/>
        <v>9.9189638713753404E-51</v>
      </c>
      <c r="W735">
        <f t="shared" si="247"/>
        <v>0</v>
      </c>
      <c r="X735">
        <f t="shared" si="239"/>
        <v>258257.25364048302</v>
      </c>
      <c r="Y735" s="6">
        <f t="shared" si="248"/>
        <v>28692.870958600095</v>
      </c>
      <c r="Z735" s="6">
        <f t="shared" si="249"/>
        <v>2.3794458979563879</v>
      </c>
      <c r="AA735" s="6">
        <f t="shared" si="250"/>
        <v>7.3473806454632251E-51</v>
      </c>
      <c r="AB735">
        <f t="shared" si="251"/>
        <v>0</v>
      </c>
      <c r="AD735" s="6">
        <f t="shared" si="240"/>
        <v>108227.00869753075</v>
      </c>
      <c r="AG735">
        <f t="shared" si="252"/>
        <v>79434.638052299779</v>
      </c>
      <c r="AH735">
        <f t="shared" si="253"/>
        <v>97.120240732914112</v>
      </c>
      <c r="AI735">
        <f t="shared" si="254"/>
        <v>1.7633713549111772E-48</v>
      </c>
      <c r="AL735">
        <f t="shared" si="241"/>
        <v>0.95650834681660379</v>
      </c>
      <c r="AM735">
        <f t="shared" si="257"/>
        <v>0.83251545151946726</v>
      </c>
      <c r="AO735">
        <v>733</v>
      </c>
      <c r="AP735">
        <v>0.94388932874986997</v>
      </c>
      <c r="AQ735">
        <v>0.80490884855530698</v>
      </c>
    </row>
    <row r="736" spans="14:43" x14ac:dyDescent="0.35">
      <c r="N736">
        <f t="shared" si="237"/>
        <v>734</v>
      </c>
      <c r="O736" s="6">
        <f t="shared" si="238"/>
        <v>258222.92683547005</v>
      </c>
      <c r="P736">
        <f t="shared" si="242"/>
        <v>12.911146341773502</v>
      </c>
      <c r="Q736">
        <f t="shared" si="243"/>
        <v>0</v>
      </c>
      <c r="R736" s="6">
        <f t="shared" si="255"/>
        <v>21.28652300311785</v>
      </c>
      <c r="S736">
        <f t="shared" si="244"/>
        <v>0.1277191380187071</v>
      </c>
      <c r="T736">
        <f t="shared" si="245"/>
        <v>0</v>
      </c>
      <c r="U736" s="6">
        <f t="shared" si="256"/>
        <v>5.6207461937793599E-50</v>
      </c>
      <c r="V736">
        <f t="shared" si="246"/>
        <v>8.4311192906690396E-51</v>
      </c>
      <c r="W736">
        <f t="shared" si="247"/>
        <v>0</v>
      </c>
      <c r="X736">
        <f t="shared" si="239"/>
        <v>258244.21335847318</v>
      </c>
      <c r="Y736" s="6">
        <f t="shared" si="248"/>
        <v>28691.436315052164</v>
      </c>
      <c r="Z736" s="6">
        <f t="shared" si="249"/>
        <v>2.3651692225686496</v>
      </c>
      <c r="AA736" s="6">
        <f t="shared" si="250"/>
        <v>6.2452735486437415E-51</v>
      </c>
      <c r="AB736">
        <f t="shared" si="251"/>
        <v>0</v>
      </c>
      <c r="AD736" s="6">
        <f t="shared" si="240"/>
        <v>108221.00532396042</v>
      </c>
      <c r="AG736">
        <f t="shared" si="252"/>
        <v>79430.666320397169</v>
      </c>
      <c r="AH736">
        <f t="shared" si="253"/>
        <v>96.537519288516634</v>
      </c>
      <c r="AI736">
        <f t="shared" si="254"/>
        <v>1.4988656516745005E-48</v>
      </c>
      <c r="AL736">
        <f t="shared" si="241"/>
        <v>0.95646004947582663</v>
      </c>
      <c r="AM736">
        <f t="shared" si="257"/>
        <v>0.83246927172277241</v>
      </c>
      <c r="AO736">
        <v>734</v>
      </c>
      <c r="AP736">
        <v>0.943802470125645</v>
      </c>
      <c r="AQ736">
        <v>0.80484871566161198</v>
      </c>
    </row>
    <row r="737" spans="14:43" x14ac:dyDescent="0.35">
      <c r="N737">
        <f t="shared" si="237"/>
        <v>735</v>
      </c>
      <c r="O737" s="6">
        <f t="shared" si="238"/>
        <v>258210.01568912828</v>
      </c>
      <c r="P737">
        <f t="shared" si="242"/>
        <v>12.910500784456415</v>
      </c>
      <c r="Q737">
        <f t="shared" si="243"/>
        <v>0</v>
      </c>
      <c r="R737" s="6">
        <f t="shared" si="255"/>
        <v>21.158803865099141</v>
      </c>
      <c r="S737">
        <f t="shared" si="244"/>
        <v>0.12695282319059484</v>
      </c>
      <c r="T737">
        <f t="shared" si="245"/>
        <v>0</v>
      </c>
      <c r="U737" s="6">
        <f t="shared" si="256"/>
        <v>4.7776342647124558E-50</v>
      </c>
      <c r="V737">
        <f t="shared" si="246"/>
        <v>7.1664513970686839E-51</v>
      </c>
      <c r="W737">
        <f t="shared" si="247"/>
        <v>0</v>
      </c>
      <c r="X737">
        <f t="shared" si="239"/>
        <v>258231.17449299339</v>
      </c>
      <c r="Y737" s="6">
        <f t="shared" si="248"/>
        <v>28690.001743236411</v>
      </c>
      <c r="Z737" s="6">
        <f t="shared" si="249"/>
        <v>2.3509782072332377</v>
      </c>
      <c r="AA737" s="6">
        <f t="shared" si="250"/>
        <v>5.3084825163471801E-51</v>
      </c>
      <c r="AB737">
        <f t="shared" si="251"/>
        <v>0</v>
      </c>
      <c r="AD737" s="6">
        <f t="shared" si="240"/>
        <v>108215.00580269759</v>
      </c>
      <c r="AG737">
        <f t="shared" si="252"/>
        <v>79426.694787081156</v>
      </c>
      <c r="AH737">
        <f t="shared" si="253"/>
        <v>95.958294172785529</v>
      </c>
      <c r="AI737">
        <f t="shared" si="254"/>
        <v>1.2740358039233254E-48</v>
      </c>
      <c r="AL737">
        <f t="shared" si="241"/>
        <v>0.95641175738145701</v>
      </c>
      <c r="AM737">
        <f t="shared" si="257"/>
        <v>0.83242312155921228</v>
      </c>
      <c r="AO737">
        <v>735</v>
      </c>
      <c r="AP737">
        <v>0.943712270785102</v>
      </c>
      <c r="AQ737">
        <v>0.80476853847001895</v>
      </c>
    </row>
    <row r="738" spans="14:43" x14ac:dyDescent="0.35">
      <c r="N738">
        <f t="shared" si="237"/>
        <v>736</v>
      </c>
      <c r="O738" s="6">
        <f t="shared" si="238"/>
        <v>258197.10518834382</v>
      </c>
      <c r="P738">
        <f t="shared" si="242"/>
        <v>12.909855259417192</v>
      </c>
      <c r="Q738">
        <f t="shared" si="243"/>
        <v>0</v>
      </c>
      <c r="R738" s="6">
        <f t="shared" si="255"/>
        <v>21.031851041908546</v>
      </c>
      <c r="S738">
        <f t="shared" si="244"/>
        <v>0.12619110625145127</v>
      </c>
      <c r="T738">
        <f t="shared" si="245"/>
        <v>0</v>
      </c>
      <c r="U738" s="6">
        <f t="shared" si="256"/>
        <v>4.0609891250055873E-50</v>
      </c>
      <c r="V738">
        <f t="shared" si="246"/>
        <v>6.0914836875083809E-51</v>
      </c>
      <c r="W738">
        <f t="shared" si="247"/>
        <v>0</v>
      </c>
      <c r="X738">
        <f t="shared" si="239"/>
        <v>258218.13703938574</v>
      </c>
      <c r="Y738" s="6">
        <f t="shared" si="248"/>
        <v>28688.567243149249</v>
      </c>
      <c r="Z738" s="6">
        <f t="shared" si="249"/>
        <v>2.3368723379898384</v>
      </c>
      <c r="AA738" s="6">
        <f t="shared" si="250"/>
        <v>4.5122101388951028E-51</v>
      </c>
      <c r="AB738">
        <f t="shared" si="251"/>
        <v>0</v>
      </c>
      <c r="AD738" s="6">
        <f t="shared" si="240"/>
        <v>108209.01011223679</v>
      </c>
      <c r="AG738">
        <f t="shared" si="252"/>
        <v>79422.723452341801</v>
      </c>
      <c r="AH738">
        <f t="shared" si="253"/>
        <v>95.38254440774881</v>
      </c>
      <c r="AI738">
        <f t="shared" si="254"/>
        <v>1.0829304333348266E-48</v>
      </c>
      <c r="AL738">
        <f t="shared" si="241"/>
        <v>0.95636347051624349</v>
      </c>
      <c r="AM738">
        <f t="shared" si="257"/>
        <v>0.83237700086335997</v>
      </c>
      <c r="AO738">
        <v>736</v>
      </c>
      <c r="AP738">
        <v>0.94361204929561104</v>
      </c>
      <c r="AQ738">
        <v>0.80464827268262795</v>
      </c>
    </row>
    <row r="739" spans="14:43" x14ac:dyDescent="0.35">
      <c r="N739">
        <f t="shared" si="237"/>
        <v>737</v>
      </c>
      <c r="O739" s="6">
        <f t="shared" si="238"/>
        <v>258184.19533308441</v>
      </c>
      <c r="P739">
        <f t="shared" si="242"/>
        <v>12.909209766654222</v>
      </c>
      <c r="Q739">
        <f t="shared" si="243"/>
        <v>0</v>
      </c>
      <c r="R739" s="6">
        <f t="shared" si="255"/>
        <v>20.905659935657095</v>
      </c>
      <c r="S739">
        <f t="shared" si="244"/>
        <v>0.12543395961394257</v>
      </c>
      <c r="T739">
        <f t="shared" si="245"/>
        <v>0</v>
      </c>
      <c r="U739" s="6">
        <f t="shared" si="256"/>
        <v>3.4518407562547491E-50</v>
      </c>
      <c r="V739">
        <f t="shared" si="246"/>
        <v>5.1777611343821233E-51</v>
      </c>
      <c r="W739">
        <f t="shared" si="247"/>
        <v>0</v>
      </c>
      <c r="X739">
        <f t="shared" si="239"/>
        <v>258205.10099302008</v>
      </c>
      <c r="Y739" s="6">
        <f t="shared" si="248"/>
        <v>28687.132814787092</v>
      </c>
      <c r="Z739" s="6">
        <f t="shared" si="249"/>
        <v>2.3228511039618995</v>
      </c>
      <c r="AA739" s="6">
        <f t="shared" si="250"/>
        <v>3.8353786180608373E-51</v>
      </c>
      <c r="AB739">
        <f t="shared" si="251"/>
        <v>0</v>
      </c>
      <c r="AD739" s="6">
        <f t="shared" si="240"/>
        <v>108203.01823120154</v>
      </c>
      <c r="AG739">
        <f t="shared" si="252"/>
        <v>79418.752316169179</v>
      </c>
      <c r="AH739">
        <f t="shared" si="253"/>
        <v>94.810249141302322</v>
      </c>
      <c r="AI739">
        <f t="shared" si="254"/>
        <v>9.2049086833460272E-49</v>
      </c>
      <c r="AL739">
        <f t="shared" si="241"/>
        <v>0.95631518886303735</v>
      </c>
      <c r="AM739">
        <f t="shared" si="257"/>
        <v>0.83233090947078103</v>
      </c>
      <c r="AO739">
        <v>737</v>
      </c>
      <c r="AP739">
        <v>0.943515168522435</v>
      </c>
      <c r="AQ739">
        <v>0.80457811763998399</v>
      </c>
    </row>
    <row r="740" spans="14:43" x14ac:dyDescent="0.35">
      <c r="N740">
        <f t="shared" si="237"/>
        <v>738</v>
      </c>
      <c r="O740" s="6">
        <f t="shared" si="238"/>
        <v>258171.28612331775</v>
      </c>
      <c r="P740">
        <f t="shared" si="242"/>
        <v>12.908564306165887</v>
      </c>
      <c r="Q740">
        <f t="shared" si="243"/>
        <v>0</v>
      </c>
      <c r="R740" s="6">
        <f t="shared" si="255"/>
        <v>20.780225976043152</v>
      </c>
      <c r="S740">
        <f t="shared" si="244"/>
        <v>0.12468135585625892</v>
      </c>
      <c r="T740">
        <f t="shared" si="245"/>
        <v>0</v>
      </c>
      <c r="U740" s="6">
        <f t="shared" si="256"/>
        <v>2.9340646428165369E-50</v>
      </c>
      <c r="V740">
        <f t="shared" si="246"/>
        <v>4.4010969642248055E-51</v>
      </c>
      <c r="W740">
        <f t="shared" si="247"/>
        <v>0</v>
      </c>
      <c r="X740">
        <f t="shared" si="239"/>
        <v>258192.0663492938</v>
      </c>
      <c r="Y740" s="6">
        <f t="shared" si="248"/>
        <v>28685.698458146351</v>
      </c>
      <c r="Z740" s="6">
        <f t="shared" si="249"/>
        <v>2.3089139973381281</v>
      </c>
      <c r="AA740" s="6">
        <f t="shared" si="250"/>
        <v>3.2600718253517115E-51</v>
      </c>
      <c r="AB740">
        <f t="shared" si="251"/>
        <v>0</v>
      </c>
      <c r="AD740" s="6">
        <f t="shared" si="240"/>
        <v>108197.03013834351</v>
      </c>
      <c r="AG740">
        <f t="shared" si="252"/>
        <v>79414.781378553365</v>
      </c>
      <c r="AH740">
        <f t="shared" si="253"/>
        <v>94.241387646454513</v>
      </c>
      <c r="AI740">
        <f t="shared" si="254"/>
        <v>7.8241723808441228E-49</v>
      </c>
      <c r="AL740">
        <f t="shared" si="241"/>
        <v>0.95626691240479189</v>
      </c>
      <c r="AM740">
        <f t="shared" si="257"/>
        <v>0.83228484721802698</v>
      </c>
      <c r="AO740">
        <v>738</v>
      </c>
      <c r="AP740">
        <v>0.94344167276347402</v>
      </c>
      <c r="AQ740">
        <v>0.80446787400154396</v>
      </c>
    </row>
    <row r="741" spans="14:43" x14ac:dyDescent="0.35">
      <c r="N741">
        <f t="shared" ref="N741:N752" si="258">N740+1</f>
        <v>739</v>
      </c>
      <c r="O741" s="6">
        <f t="shared" si="238"/>
        <v>258158.3775590116</v>
      </c>
      <c r="P741">
        <f t="shared" si="242"/>
        <v>12.90791887795058</v>
      </c>
      <c r="Q741">
        <f t="shared" si="243"/>
        <v>0</v>
      </c>
      <c r="R741" s="6">
        <f t="shared" si="255"/>
        <v>20.655544620186895</v>
      </c>
      <c r="S741">
        <f t="shared" si="244"/>
        <v>0.12393326772112137</v>
      </c>
      <c r="T741">
        <f t="shared" si="245"/>
        <v>0</v>
      </c>
      <c r="U741" s="6">
        <f t="shared" si="256"/>
        <v>2.4939549463940562E-50</v>
      </c>
      <c r="V741">
        <f t="shared" si="246"/>
        <v>3.7409324195910843E-51</v>
      </c>
      <c r="W741">
        <f t="shared" si="247"/>
        <v>0</v>
      </c>
      <c r="X741">
        <f t="shared" si="239"/>
        <v>258179.03310363178</v>
      </c>
      <c r="Y741" s="6">
        <f t="shared" si="248"/>
        <v>28684.264173223444</v>
      </c>
      <c r="Z741" s="6">
        <f t="shared" si="249"/>
        <v>2.2950605133540991</v>
      </c>
      <c r="AA741" s="6">
        <f t="shared" si="250"/>
        <v>2.7710610515489548E-51</v>
      </c>
      <c r="AB741">
        <f t="shared" si="251"/>
        <v>0</v>
      </c>
      <c r="AD741" s="6">
        <f t="shared" si="240"/>
        <v>108191.04581254181</v>
      </c>
      <c r="AG741">
        <f t="shared" si="252"/>
        <v>79410.810639484436</v>
      </c>
      <c r="AH741">
        <f t="shared" si="253"/>
        <v>93.675939320575779</v>
      </c>
      <c r="AI741">
        <f t="shared" si="254"/>
        <v>6.6505465237175042E-49</v>
      </c>
      <c r="AL741">
        <f t="shared" si="241"/>
        <v>0.95621864112456212</v>
      </c>
      <c r="AM741">
        <f t="shared" si="257"/>
        <v>0.83223881394262933</v>
      </c>
      <c r="AO741">
        <v>739</v>
      </c>
      <c r="AP741">
        <v>0.94337485843714597</v>
      </c>
      <c r="AQ741">
        <v>0.80438769680995004</v>
      </c>
    </row>
    <row r="742" spans="14:43" x14ac:dyDescent="0.35">
      <c r="N742">
        <f t="shared" si="258"/>
        <v>740</v>
      </c>
      <c r="O742" s="6">
        <f t="shared" si="238"/>
        <v>258145.46964013364</v>
      </c>
      <c r="P742">
        <f t="shared" si="242"/>
        <v>12.907273482006683</v>
      </c>
      <c r="Q742">
        <f t="shared" si="243"/>
        <v>0</v>
      </c>
      <c r="R742" s="6">
        <f t="shared" si="255"/>
        <v>20.531611352465774</v>
      </c>
      <c r="S742">
        <f t="shared" si="244"/>
        <v>0.12318966811479465</v>
      </c>
      <c r="T742">
        <f t="shared" si="245"/>
        <v>0</v>
      </c>
      <c r="U742" s="6">
        <f t="shared" si="256"/>
        <v>2.1198617044349479E-50</v>
      </c>
      <c r="V742">
        <f t="shared" si="246"/>
        <v>3.1797925566524218E-51</v>
      </c>
      <c r="W742">
        <f t="shared" si="247"/>
        <v>0</v>
      </c>
      <c r="X742">
        <f t="shared" si="239"/>
        <v>258166.0012514861</v>
      </c>
      <c r="Y742" s="6">
        <f t="shared" si="248"/>
        <v>28682.829960014784</v>
      </c>
      <c r="Z742" s="6">
        <f t="shared" si="249"/>
        <v>2.2812901502739744</v>
      </c>
      <c r="AA742" s="6">
        <f t="shared" si="250"/>
        <v>2.3554018938166116E-51</v>
      </c>
      <c r="AB742">
        <f t="shared" si="251"/>
        <v>0</v>
      </c>
      <c r="AD742" s="6">
        <f t="shared" si="240"/>
        <v>108185.06523280218</v>
      </c>
      <c r="AG742">
        <f t="shared" si="252"/>
        <v>79406.840098952467</v>
      </c>
      <c r="AH742">
        <f t="shared" si="253"/>
        <v>93.113883684652322</v>
      </c>
      <c r="AI742">
        <f t="shared" si="254"/>
        <v>5.6529645451598785E-49</v>
      </c>
      <c r="AL742">
        <f t="shared" si="241"/>
        <v>0.95617037500550406</v>
      </c>
      <c r="AM742">
        <f t="shared" si="257"/>
        <v>0.83219280948309371</v>
      </c>
      <c r="AO742">
        <v>740</v>
      </c>
      <c r="AP742">
        <v>0.94329134052923702</v>
      </c>
      <c r="AQ742">
        <v>0.80425740887361097</v>
      </c>
    </row>
    <row r="743" spans="14:43" x14ac:dyDescent="0.35">
      <c r="N743">
        <f t="shared" si="258"/>
        <v>741</v>
      </c>
      <c r="O743" s="6">
        <f t="shared" si="238"/>
        <v>258132.56236665163</v>
      </c>
      <c r="P743">
        <f t="shared" si="242"/>
        <v>12.906628118332582</v>
      </c>
      <c r="Q743">
        <f t="shared" si="243"/>
        <v>0</v>
      </c>
      <c r="R743" s="6">
        <f t="shared" si="255"/>
        <v>20.40842168435098</v>
      </c>
      <c r="S743">
        <f t="shared" si="244"/>
        <v>0.12245053010610588</v>
      </c>
      <c r="T743">
        <f t="shared" si="245"/>
        <v>0</v>
      </c>
      <c r="U743" s="6">
        <f t="shared" si="256"/>
        <v>1.8018824487697057E-50</v>
      </c>
      <c r="V743">
        <f t="shared" si="246"/>
        <v>2.7028236731545584E-51</v>
      </c>
      <c r="W743">
        <f t="shared" si="247"/>
        <v>0</v>
      </c>
      <c r="X743">
        <f t="shared" si="239"/>
        <v>258152.97078833598</v>
      </c>
      <c r="Y743" s="6">
        <f t="shared" si="248"/>
        <v>28681.395818516783</v>
      </c>
      <c r="Z743" s="6">
        <f t="shared" si="249"/>
        <v>2.2676024093723304</v>
      </c>
      <c r="AA743" s="6">
        <f t="shared" si="250"/>
        <v>2.00209160974412E-51</v>
      </c>
      <c r="AB743">
        <f t="shared" si="251"/>
        <v>0</v>
      </c>
      <c r="AD743" s="6">
        <f t="shared" si="240"/>
        <v>108179.08837825622</v>
      </c>
      <c r="AG743">
        <f t="shared" si="252"/>
        <v>79402.869756947519</v>
      </c>
      <c r="AH743">
        <f t="shared" si="253"/>
        <v>92.555200382544413</v>
      </c>
      <c r="AI743">
        <f t="shared" si="254"/>
        <v>4.8050198633858971E-49</v>
      </c>
      <c r="AL743">
        <f t="shared" si="241"/>
        <v>0.95612211403087399</v>
      </c>
      <c r="AM743">
        <f t="shared" si="257"/>
        <v>0.83214683367889397</v>
      </c>
      <c r="AO743">
        <v>741</v>
      </c>
      <c r="AP743">
        <v>0.94322452620290798</v>
      </c>
      <c r="AQ743">
        <v>0.80414716523516905</v>
      </c>
    </row>
    <row r="744" spans="14:43" x14ac:dyDescent="0.35">
      <c r="N744">
        <f t="shared" si="258"/>
        <v>742</v>
      </c>
      <c r="O744" s="6">
        <f t="shared" si="238"/>
        <v>258119.6557385333</v>
      </c>
      <c r="P744">
        <f t="shared" si="242"/>
        <v>12.905982786926666</v>
      </c>
      <c r="Q744">
        <f t="shared" si="243"/>
        <v>0</v>
      </c>
      <c r="R744" s="6">
        <f t="shared" si="255"/>
        <v>20.285971154244873</v>
      </c>
      <c r="S744">
        <f t="shared" si="244"/>
        <v>0.12171582692546924</v>
      </c>
      <c r="T744">
        <f t="shared" si="245"/>
        <v>0</v>
      </c>
      <c r="U744" s="6">
        <f t="shared" si="256"/>
        <v>1.5316000814542498E-50</v>
      </c>
      <c r="V744">
        <f t="shared" si="246"/>
        <v>2.2974001221813746E-51</v>
      </c>
      <c r="W744">
        <f t="shared" si="247"/>
        <v>0</v>
      </c>
      <c r="X744">
        <f t="shared" si="239"/>
        <v>258139.94170968755</v>
      </c>
      <c r="Y744" s="6">
        <f t="shared" si="248"/>
        <v>28679.961748725858</v>
      </c>
      <c r="Z744" s="6">
        <f t="shared" si="249"/>
        <v>2.2539967949160964</v>
      </c>
      <c r="AA744" s="6">
        <f t="shared" si="250"/>
        <v>1.701777868282502E-51</v>
      </c>
      <c r="AB744">
        <f t="shared" si="251"/>
        <v>0</v>
      </c>
      <c r="AD744" s="6">
        <f t="shared" si="240"/>
        <v>108173.11522816069</v>
      </c>
      <c r="AG744">
        <f t="shared" si="252"/>
        <v>79398.899613459667</v>
      </c>
      <c r="AH744">
        <f t="shared" si="253"/>
        <v>91.999869180249149</v>
      </c>
      <c r="AI744">
        <f t="shared" si="254"/>
        <v>4.0842668838780121E-49</v>
      </c>
      <c r="AL744">
        <f t="shared" si="241"/>
        <v>0.95607385818402801</v>
      </c>
      <c r="AM744">
        <f t="shared" si="257"/>
        <v>0.83210088637046686</v>
      </c>
      <c r="AO744">
        <v>742</v>
      </c>
      <c r="AP744">
        <v>0.94317107474184603</v>
      </c>
      <c r="AQ744">
        <v>0.80404694374567698</v>
      </c>
    </row>
    <row r="745" spans="14:43" x14ac:dyDescent="0.35">
      <c r="N745">
        <f t="shared" si="258"/>
        <v>743</v>
      </c>
      <c r="O745" s="6">
        <f t="shared" si="238"/>
        <v>258106.74975574636</v>
      </c>
      <c r="P745">
        <f t="shared" si="242"/>
        <v>12.905337487787319</v>
      </c>
      <c r="Q745">
        <f t="shared" si="243"/>
        <v>0</v>
      </c>
      <c r="R745" s="6">
        <f t="shared" si="255"/>
        <v>20.164255327319403</v>
      </c>
      <c r="S745">
        <f t="shared" si="244"/>
        <v>0.12098553196391641</v>
      </c>
      <c r="T745">
        <f t="shared" si="245"/>
        <v>0</v>
      </c>
      <c r="U745" s="6">
        <f t="shared" si="256"/>
        <v>1.3018600692361124E-50</v>
      </c>
      <c r="V745">
        <f t="shared" si="246"/>
        <v>1.9527901038541686E-51</v>
      </c>
      <c r="W745">
        <f t="shared" si="247"/>
        <v>0</v>
      </c>
      <c r="X745">
        <f t="shared" si="239"/>
        <v>258126.91401107368</v>
      </c>
      <c r="Y745" s="6">
        <f t="shared" si="248"/>
        <v>28678.527750638423</v>
      </c>
      <c r="Z745" s="6">
        <f t="shared" si="249"/>
        <v>2.2404728141465999</v>
      </c>
      <c r="AA745" s="6">
        <f t="shared" si="250"/>
        <v>1.4465111880401268E-51</v>
      </c>
      <c r="AB745">
        <f t="shared" si="251"/>
        <v>0</v>
      </c>
      <c r="AD745" s="6">
        <f t="shared" si="240"/>
        <v>108167.14576189673</v>
      </c>
      <c r="AG745">
        <f t="shared" si="252"/>
        <v>79394.929668478988</v>
      </c>
      <c r="AH745">
        <f t="shared" si="253"/>
        <v>91.447869965167655</v>
      </c>
      <c r="AI745">
        <f t="shared" si="254"/>
        <v>3.4716268512963103E-49</v>
      </c>
      <c r="AL745">
        <f t="shared" si="241"/>
        <v>0.95602560744842102</v>
      </c>
      <c r="AM745">
        <f t="shared" si="257"/>
        <v>0.83205496739920559</v>
      </c>
      <c r="AO745">
        <v>743</v>
      </c>
      <c r="AP745">
        <v>0.94306751253603804</v>
      </c>
      <c r="AQ745">
        <v>0.80392667795828698</v>
      </c>
    </row>
    <row r="746" spans="14:43" x14ac:dyDescent="0.35">
      <c r="N746">
        <f t="shared" si="258"/>
        <v>744</v>
      </c>
      <c r="O746" s="6">
        <f t="shared" si="238"/>
        <v>258093.84441825858</v>
      </c>
      <c r="P746">
        <f t="shared" si="242"/>
        <v>12.90469222091293</v>
      </c>
      <c r="Q746">
        <f t="shared" si="243"/>
        <v>0</v>
      </c>
      <c r="R746" s="6">
        <f t="shared" si="255"/>
        <v>20.043269795355485</v>
      </c>
      <c r="S746">
        <f t="shared" si="244"/>
        <v>0.12025961877213291</v>
      </c>
      <c r="T746">
        <f t="shared" si="245"/>
        <v>0</v>
      </c>
      <c r="U746" s="6">
        <f t="shared" si="256"/>
        <v>1.1065810588506956E-50</v>
      </c>
      <c r="V746">
        <f t="shared" si="246"/>
        <v>1.6598715882760433E-51</v>
      </c>
      <c r="W746">
        <f t="shared" si="247"/>
        <v>0</v>
      </c>
      <c r="X746">
        <f t="shared" si="239"/>
        <v>258113.88768805395</v>
      </c>
      <c r="Y746" s="6">
        <f t="shared" si="248"/>
        <v>28677.093824250889</v>
      </c>
      <c r="Z746" s="6">
        <f t="shared" si="249"/>
        <v>2.2270299772617204</v>
      </c>
      <c r="AA746" s="6">
        <f t="shared" si="250"/>
        <v>1.2295345098341077E-51</v>
      </c>
      <c r="AB746">
        <f t="shared" si="251"/>
        <v>0</v>
      </c>
      <c r="AD746" s="6">
        <f t="shared" si="240"/>
        <v>108161.17995896909</v>
      </c>
      <c r="AG746">
        <f t="shared" si="252"/>
        <v>79390.959921995571</v>
      </c>
      <c r="AH746">
        <f t="shared" si="253"/>
        <v>90.899182745376649</v>
      </c>
      <c r="AI746">
        <f t="shared" si="254"/>
        <v>2.9508828236018639E-49</v>
      </c>
      <c r="AL746">
        <f t="shared" si="241"/>
        <v>0.95597736180760717</v>
      </c>
      <c r="AM746">
        <f t="shared" si="257"/>
        <v>0.8320090766074546</v>
      </c>
      <c r="AO746">
        <v>744</v>
      </c>
      <c r="AP746">
        <v>0.94299735749339397</v>
      </c>
      <c r="AQ746">
        <v>0.80376632357510003</v>
      </c>
    </row>
    <row r="747" spans="14:43" x14ac:dyDescent="0.35">
      <c r="N747">
        <f t="shared" si="258"/>
        <v>745</v>
      </c>
      <c r="O747" s="6">
        <f t="shared" si="238"/>
        <v>258080.93972603767</v>
      </c>
      <c r="P747">
        <f t="shared" si="242"/>
        <v>12.904046986301884</v>
      </c>
      <c r="Q747">
        <f t="shared" si="243"/>
        <v>0</v>
      </c>
      <c r="R747" s="6">
        <f t="shared" si="255"/>
        <v>19.923010176583354</v>
      </c>
      <c r="S747">
        <f t="shared" si="244"/>
        <v>0.11953806105950013</v>
      </c>
      <c r="T747">
        <f t="shared" si="245"/>
        <v>0</v>
      </c>
      <c r="U747" s="6">
        <f t="shared" si="256"/>
        <v>9.4059390002309121E-51</v>
      </c>
      <c r="V747">
        <f t="shared" si="246"/>
        <v>1.4108908500346368E-51</v>
      </c>
      <c r="W747">
        <f t="shared" si="247"/>
        <v>0</v>
      </c>
      <c r="X747">
        <f t="shared" si="239"/>
        <v>258100.86273621424</v>
      </c>
      <c r="Y747" s="6">
        <f t="shared" si="248"/>
        <v>28675.659969559678</v>
      </c>
      <c r="Z747" s="6">
        <f t="shared" si="249"/>
        <v>2.2136677973981502</v>
      </c>
      <c r="AA747" s="6">
        <f t="shared" si="250"/>
        <v>1.0451043333589916E-51</v>
      </c>
      <c r="AB747">
        <f t="shared" si="251"/>
        <v>0</v>
      </c>
      <c r="AD747" s="6">
        <f t="shared" si="240"/>
        <v>108155.21779900545</v>
      </c>
      <c r="AG747">
        <f t="shared" si="252"/>
        <v>79386.990373999477</v>
      </c>
      <c r="AH747">
        <f t="shared" si="253"/>
        <v>90.353787648904387</v>
      </c>
      <c r="AI747">
        <f t="shared" si="254"/>
        <v>2.5082504000615842E-49</v>
      </c>
      <c r="AL747">
        <f t="shared" si="241"/>
        <v>0.95592912124523799</v>
      </c>
      <c r="AM747">
        <f t="shared" si="257"/>
        <v>0.83196321383850347</v>
      </c>
      <c r="AO747">
        <v>745</v>
      </c>
      <c r="AP747">
        <v>0.94290715815285098</v>
      </c>
      <c r="AQ747">
        <v>0.80364605778771103</v>
      </c>
    </row>
    <row r="748" spans="14:43" x14ac:dyDescent="0.35">
      <c r="N748">
        <f t="shared" si="258"/>
        <v>746</v>
      </c>
      <c r="O748" s="6">
        <f t="shared" si="238"/>
        <v>258068.03567905136</v>
      </c>
      <c r="P748">
        <f t="shared" si="242"/>
        <v>12.903401783952569</v>
      </c>
      <c r="Q748">
        <f t="shared" si="243"/>
        <v>0</v>
      </c>
      <c r="R748" s="6">
        <f t="shared" si="255"/>
        <v>19.803472115523853</v>
      </c>
      <c r="S748">
        <f t="shared" si="244"/>
        <v>0.11882083269314311</v>
      </c>
      <c r="T748">
        <f t="shared" si="245"/>
        <v>0</v>
      </c>
      <c r="U748" s="6">
        <f t="shared" si="256"/>
        <v>7.9950481501962753E-51</v>
      </c>
      <c r="V748">
        <f t="shared" si="246"/>
        <v>1.1992572225294413E-51</v>
      </c>
      <c r="W748">
        <f t="shared" si="247"/>
        <v>0</v>
      </c>
      <c r="X748">
        <f t="shared" si="239"/>
        <v>258087.83915116687</v>
      </c>
      <c r="Y748" s="6">
        <f t="shared" si="248"/>
        <v>28674.226186561198</v>
      </c>
      <c r="Z748" s="6">
        <f t="shared" si="249"/>
        <v>2.2003857906137614</v>
      </c>
      <c r="AA748" s="6">
        <f t="shared" si="250"/>
        <v>8.8833868335514289E-52</v>
      </c>
      <c r="AB748">
        <f t="shared" si="251"/>
        <v>0</v>
      </c>
      <c r="AD748" s="6">
        <f t="shared" si="240"/>
        <v>108149.25926175559</v>
      </c>
      <c r="AG748">
        <f t="shared" si="252"/>
        <v>79383.021024480782</v>
      </c>
      <c r="AH748">
        <f t="shared" si="253"/>
        <v>89.811664923010966</v>
      </c>
      <c r="AI748">
        <f t="shared" si="254"/>
        <v>2.1320128400523465E-49</v>
      </c>
      <c r="AL748">
        <f t="shared" si="241"/>
        <v>0.95588088574506247</v>
      </c>
      <c r="AM748">
        <f t="shared" si="257"/>
        <v>0.83191737893658146</v>
      </c>
      <c r="AO748">
        <v>746</v>
      </c>
      <c r="AP748">
        <v>0.94282698096125905</v>
      </c>
      <c r="AQ748">
        <v>0.80357590274506596</v>
      </c>
    </row>
    <row r="749" spans="14:43" x14ac:dyDescent="0.35">
      <c r="N749">
        <f t="shared" si="258"/>
        <v>747</v>
      </c>
      <c r="O749" s="6">
        <f t="shared" si="238"/>
        <v>258055.1322772674</v>
      </c>
      <c r="P749">
        <f t="shared" si="242"/>
        <v>12.902756613863371</v>
      </c>
      <c r="Q749">
        <f t="shared" si="243"/>
        <v>0</v>
      </c>
      <c r="R749" s="6">
        <f t="shared" si="255"/>
        <v>19.684651282830711</v>
      </c>
      <c r="S749">
        <f t="shared" si="244"/>
        <v>0.11810790769698426</v>
      </c>
      <c r="T749">
        <f t="shared" si="245"/>
        <v>0</v>
      </c>
      <c r="U749" s="6">
        <f t="shared" si="256"/>
        <v>6.7957909276668346E-51</v>
      </c>
      <c r="V749">
        <f t="shared" si="246"/>
        <v>1.0193686391500252E-51</v>
      </c>
      <c r="W749">
        <f t="shared" si="247"/>
        <v>0</v>
      </c>
      <c r="X749">
        <f t="shared" si="239"/>
        <v>258074.81692855022</v>
      </c>
      <c r="Y749" s="6">
        <f t="shared" si="248"/>
        <v>28672.79247525187</v>
      </c>
      <c r="Z749" s="6">
        <f t="shared" si="249"/>
        <v>2.187183475870079</v>
      </c>
      <c r="AA749" s="6">
        <f t="shared" si="250"/>
        <v>7.5508788085187148E-52</v>
      </c>
      <c r="AB749">
        <f t="shared" si="251"/>
        <v>0</v>
      </c>
      <c r="AD749" s="6">
        <f t="shared" si="240"/>
        <v>108143.30432709077</v>
      </c>
      <c r="AG749">
        <f t="shared" si="252"/>
        <v>79379.051873429562</v>
      </c>
      <c r="AH749">
        <f t="shared" si="253"/>
        <v>89.272794933472895</v>
      </c>
      <c r="AI749">
        <f t="shared" si="254"/>
        <v>1.8122109140444947E-49</v>
      </c>
      <c r="AL749">
        <f t="shared" si="241"/>
        <v>0.95583265529092676</v>
      </c>
      <c r="AM749">
        <f t="shared" si="257"/>
        <v>0.831871571746852</v>
      </c>
      <c r="AO749">
        <v>747</v>
      </c>
      <c r="AP749">
        <v>0.94275682591861298</v>
      </c>
      <c r="AQ749">
        <v>0.80341554836187901</v>
      </c>
    </row>
    <row r="750" spans="14:43" x14ac:dyDescent="0.35">
      <c r="N750">
        <f t="shared" si="258"/>
        <v>748</v>
      </c>
      <c r="O750" s="6">
        <f t="shared" si="238"/>
        <v>258042.22952065355</v>
      </c>
      <c r="P750">
        <f t="shared" si="242"/>
        <v>12.902111476032678</v>
      </c>
      <c r="Q750">
        <f t="shared" si="243"/>
        <v>0</v>
      </c>
      <c r="R750" s="6">
        <f t="shared" si="255"/>
        <v>19.566543375133726</v>
      </c>
      <c r="S750">
        <f t="shared" si="244"/>
        <v>0.11739926025080236</v>
      </c>
      <c r="T750">
        <f t="shared" si="245"/>
        <v>0</v>
      </c>
      <c r="U750" s="6">
        <f t="shared" si="256"/>
        <v>5.7764222885168099E-51</v>
      </c>
      <c r="V750">
        <f t="shared" si="246"/>
        <v>8.6646334327752148E-52</v>
      </c>
      <c r="W750">
        <f t="shared" si="247"/>
        <v>0</v>
      </c>
      <c r="X750">
        <f t="shared" si="239"/>
        <v>258061.79606402869</v>
      </c>
      <c r="Y750" s="6">
        <f t="shared" si="248"/>
        <v>28671.358835628107</v>
      </c>
      <c r="Z750" s="6">
        <f t="shared" si="249"/>
        <v>2.1740603750148586</v>
      </c>
      <c r="AA750" s="6">
        <f t="shared" si="250"/>
        <v>6.4182469872409075E-52</v>
      </c>
      <c r="AB750">
        <f t="shared" si="251"/>
        <v>0</v>
      </c>
      <c r="AD750" s="6">
        <f t="shared" si="240"/>
        <v>108137.35297500288</v>
      </c>
      <c r="AG750">
        <f t="shared" si="252"/>
        <v>79375.082920835892</v>
      </c>
      <c r="AH750">
        <f t="shared" si="253"/>
        <v>88.737158163872053</v>
      </c>
      <c r="AI750">
        <f t="shared" si="254"/>
        <v>1.5403792769378205E-49</v>
      </c>
      <c r="AL750">
        <f t="shared" si="241"/>
        <v>0.95578442986677292</v>
      </c>
      <c r="AM750">
        <f t="shared" si="257"/>
        <v>0.83182579211540675</v>
      </c>
      <c r="AO750">
        <v>748</v>
      </c>
      <c r="AP750">
        <v>0.94269669302491899</v>
      </c>
      <c r="AQ750">
        <v>0.80334539331923605</v>
      </c>
    </row>
    <row r="751" spans="14:43" x14ac:dyDescent="0.35">
      <c r="N751">
        <f t="shared" si="258"/>
        <v>749</v>
      </c>
      <c r="O751" s="6">
        <f t="shared" si="238"/>
        <v>258029.32740917752</v>
      </c>
      <c r="P751">
        <f t="shared" si="242"/>
        <v>12.901466370458877</v>
      </c>
      <c r="Q751">
        <f t="shared" si="243"/>
        <v>0</v>
      </c>
      <c r="R751" s="6">
        <f t="shared" si="255"/>
        <v>19.449144114882923</v>
      </c>
      <c r="S751">
        <f t="shared" si="244"/>
        <v>0.11669486468929754</v>
      </c>
      <c r="T751">
        <f t="shared" si="245"/>
        <v>0</v>
      </c>
      <c r="U751" s="6">
        <f t="shared" si="256"/>
        <v>4.9099589452392887E-51</v>
      </c>
      <c r="V751">
        <f t="shared" si="246"/>
        <v>7.3649384178589327E-52</v>
      </c>
      <c r="W751">
        <f t="shared" si="247"/>
        <v>0</v>
      </c>
      <c r="X751">
        <f t="shared" si="239"/>
        <v>258048.77655329241</v>
      </c>
      <c r="Y751" s="6">
        <f t="shared" si="248"/>
        <v>28669.925267686325</v>
      </c>
      <c r="Z751" s="6">
        <f t="shared" si="249"/>
        <v>2.1610160127647693</v>
      </c>
      <c r="AA751" s="6">
        <f t="shared" si="250"/>
        <v>5.4555099391547718E-52</v>
      </c>
      <c r="AB751">
        <f t="shared" si="251"/>
        <v>0</v>
      </c>
      <c r="AD751" s="6">
        <f t="shared" si="240"/>
        <v>108131.40518560383</v>
      </c>
      <c r="AG751">
        <f t="shared" si="252"/>
        <v>79371.114166689847</v>
      </c>
      <c r="AH751">
        <f t="shared" si="253"/>
        <v>88.204735214888814</v>
      </c>
      <c r="AI751">
        <f t="shared" si="254"/>
        <v>1.3093223853971475E-49</v>
      </c>
      <c r="AL751">
        <f t="shared" si="241"/>
        <v>0.95573620945663851</v>
      </c>
      <c r="AM751">
        <f t="shared" si="257"/>
        <v>0.83178003988926019</v>
      </c>
      <c r="AO751">
        <v>749</v>
      </c>
      <c r="AP751">
        <v>0.942623197265957</v>
      </c>
      <c r="AQ751">
        <v>0.80324517182974298</v>
      </c>
    </row>
    <row r="752" spans="14:43" x14ac:dyDescent="0.35">
      <c r="N752">
        <f t="shared" si="258"/>
        <v>750</v>
      </c>
      <c r="O752" s="6">
        <f t="shared" si="238"/>
        <v>258016.42594280705</v>
      </c>
      <c r="P752">
        <f t="shared" si="242"/>
        <v>12.900821297140354</v>
      </c>
      <c r="Q752">
        <f t="shared" si="243"/>
        <v>0</v>
      </c>
      <c r="R752" s="6">
        <f t="shared" si="255"/>
        <v>19.332449250193626</v>
      </c>
      <c r="S752">
        <f t="shared" si="244"/>
        <v>0.11599469550116176</v>
      </c>
      <c r="T752">
        <f t="shared" si="245"/>
        <v>0</v>
      </c>
      <c r="U752" s="6">
        <f t="shared" si="256"/>
        <v>4.1734651034533956E-51</v>
      </c>
      <c r="V752">
        <f t="shared" si="246"/>
        <v>6.2601976551800931E-52</v>
      </c>
      <c r="W752">
        <f t="shared" si="247"/>
        <v>0</v>
      </c>
      <c r="X752">
        <f t="shared" si="239"/>
        <v>258035.75839205724</v>
      </c>
      <c r="Y752" s="6">
        <f t="shared" si="248"/>
        <v>28668.491771422941</v>
      </c>
      <c r="Z752" s="6">
        <f t="shared" si="249"/>
        <v>2.1480499166881808</v>
      </c>
      <c r="AA752" s="6">
        <f t="shared" si="250"/>
        <v>4.6371834482815557E-52</v>
      </c>
      <c r="AB752">
        <f t="shared" si="251"/>
        <v>0</v>
      </c>
      <c r="AD752" s="6">
        <f t="shared" si="240"/>
        <v>108125.46093912475</v>
      </c>
      <c r="AG752">
        <f t="shared" si="252"/>
        <v>79367.145610981519</v>
      </c>
      <c r="AH752">
        <f t="shared" si="253"/>
        <v>87.675506803599475</v>
      </c>
      <c r="AI752">
        <f t="shared" si="254"/>
        <v>1.1129240275875753E-49</v>
      </c>
      <c r="AL752">
        <f t="shared" si="241"/>
        <v>0.95568799404465643</v>
      </c>
      <c r="AM752">
        <f t="shared" si="257"/>
        <v>0.8317343149163442</v>
      </c>
      <c r="AO752">
        <v>750</v>
      </c>
      <c r="AP752">
        <v>0.94255638293962996</v>
      </c>
      <c r="AQ752">
        <v>0.80316499463814905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Bakker</dc:creator>
  <cp:lastModifiedBy>Marlies Vink</cp:lastModifiedBy>
  <dcterms:created xsi:type="dcterms:W3CDTF">2024-10-25T12:36:08Z</dcterms:created>
  <dcterms:modified xsi:type="dcterms:W3CDTF">2026-10-09T07:38:31Z</dcterms:modified>
</cp:coreProperties>
</file>