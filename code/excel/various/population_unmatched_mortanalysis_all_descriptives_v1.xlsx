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b\bakkerrepo\techrepo\projects\Oversterfte\excel\"/>
    </mc:Choice>
  </mc:AlternateContent>
  <xr:revisionPtr revIDLastSave="0" documentId="13_ncr:1_{4988BCD0-AFF7-4646-9D57-61F21E4D11C9}" xr6:coauthVersionLast="47" xr6:coauthVersionMax="47" xr10:uidLastSave="{00000000-0000-0000-0000-000000000000}"/>
  <bookViews>
    <workbookView xWindow="-9600" yWindow="-4920" windowWidth="38660" windowHeight="20900" xr2:uid="{7AF2191C-3B00-43CE-8C74-6BB17F4B71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 l="1"/>
  <c r="AD13" i="1"/>
  <c r="V13" i="1"/>
  <c r="V12" i="1"/>
  <c r="V11" i="1"/>
  <c r="V10" i="1"/>
  <c r="V9" i="1"/>
  <c r="V8" i="1"/>
  <c r="V7" i="1"/>
  <c r="V6" i="1"/>
  <c r="V5" i="1"/>
  <c r="V4" i="1"/>
  <c r="V3" i="1"/>
  <c r="S13" i="1"/>
  <c r="S12" i="1"/>
  <c r="S11" i="1"/>
  <c r="S10" i="1"/>
  <c r="S9" i="1"/>
  <c r="S8" i="1"/>
  <c r="S7" i="1"/>
  <c r="S6" i="1"/>
  <c r="S5" i="1"/>
  <c r="S4" i="1"/>
  <c r="S3" i="1"/>
  <c r="R13" i="1"/>
  <c r="R12" i="1"/>
  <c r="R11" i="1"/>
  <c r="R10" i="1"/>
  <c r="R9" i="1"/>
  <c r="R8" i="1"/>
  <c r="R7" i="1"/>
  <c r="R6" i="1"/>
  <c r="R5" i="1"/>
  <c r="R4" i="1"/>
  <c r="R3" i="1"/>
  <c r="P13" i="1"/>
  <c r="P12" i="1"/>
  <c r="P11" i="1"/>
  <c r="P10" i="1"/>
  <c r="P9" i="1"/>
  <c r="P8" i="1"/>
  <c r="P7" i="1"/>
  <c r="P6" i="1"/>
  <c r="P5" i="1"/>
  <c r="P4" i="1"/>
  <c r="P3" i="1"/>
  <c r="D15" i="2"/>
  <c r="D15" i="1"/>
  <c r="D14" i="1" s="1"/>
  <c r="W12" i="1" l="1"/>
  <c r="X12" i="1" s="1"/>
  <c r="T8" i="1"/>
  <c r="W10" i="1"/>
  <c r="X10" i="1" s="1"/>
  <c r="T7" i="1"/>
  <c r="Z11" i="1"/>
  <c r="Z8" i="1"/>
  <c r="Z5" i="1"/>
  <c r="Q12" i="1"/>
  <c r="Q8" i="1"/>
  <c r="Q5" i="1"/>
  <c r="H16" i="1"/>
  <c r="T10" i="1"/>
  <c r="Q11" i="1"/>
  <c r="Q4" i="1"/>
  <c r="W8" i="1"/>
  <c r="X8" i="1" s="1"/>
  <c r="Q13" i="1"/>
  <c r="Q9" i="1"/>
  <c r="Q6" i="1"/>
  <c r="Q3" i="1"/>
  <c r="W4" i="1"/>
  <c r="X4" i="1" s="1"/>
  <c r="T4" i="1"/>
  <c r="AC10" i="1"/>
  <c r="AC8" i="1"/>
  <c r="W11" i="1"/>
  <c r="X11" i="1" s="1"/>
  <c r="W9" i="1"/>
  <c r="X9" i="1" s="1"/>
  <c r="W3" i="1"/>
  <c r="X3" i="1" s="1"/>
  <c r="T9" i="1"/>
  <c r="T5" i="1"/>
  <c r="Z13" i="1"/>
  <c r="Z9" i="1"/>
  <c r="Z7" i="1"/>
  <c r="Z3" i="1"/>
  <c r="T12" i="1"/>
  <c r="T6" i="1"/>
  <c r="AC3" i="1"/>
  <c r="AC13" i="1"/>
  <c r="AC11" i="1"/>
  <c r="AC9" i="1"/>
  <c r="AC7" i="1"/>
  <c r="AC5" i="1"/>
  <c r="W13" i="1"/>
  <c r="X13" i="1" s="1"/>
  <c r="W7" i="1"/>
  <c r="X7" i="1" s="1"/>
  <c r="W5" i="1"/>
  <c r="X5" i="1" s="1"/>
  <c r="T13" i="1"/>
  <c r="T11" i="1"/>
  <c r="T3" i="1"/>
  <c r="Z12" i="1"/>
  <c r="Z6" i="1"/>
  <c r="Z4" i="1"/>
  <c r="W6" i="1"/>
  <c r="X6" i="1" s="1"/>
  <c r="Q10" i="1"/>
  <c r="Q7" i="1"/>
  <c r="AC12" i="1" l="1"/>
  <c r="AC4" i="1"/>
  <c r="U13" i="1"/>
  <c r="AJ13" i="1" s="1"/>
  <c r="AK13" i="1"/>
  <c r="U12" i="1"/>
  <c r="AD12" i="1" s="1"/>
  <c r="AJ12" i="1" s="1"/>
  <c r="AK12" i="1"/>
  <c r="U11" i="1"/>
  <c r="AD11" i="1" s="1"/>
  <c r="AJ11" i="1" s="1"/>
  <c r="AK11" i="1"/>
  <c r="U10" i="1"/>
  <c r="AD10" i="1" s="1"/>
  <c r="AJ10" i="1" s="1"/>
  <c r="AK10" i="1"/>
  <c r="U9" i="1"/>
  <c r="AD9" i="1" s="1"/>
  <c r="AJ9" i="1" s="1"/>
  <c r="AK9" i="1"/>
  <c r="U8" i="1"/>
  <c r="AD8" i="1" s="1"/>
  <c r="AJ8" i="1" s="1"/>
  <c r="AK8" i="1"/>
  <c r="U7" i="1"/>
  <c r="AD7" i="1" s="1"/>
  <c r="AJ7" i="1" s="1"/>
  <c r="AK7" i="1"/>
  <c r="U6" i="1"/>
  <c r="AD6" i="1" s="1"/>
  <c r="AJ6" i="1" s="1"/>
  <c r="AK6" i="1"/>
  <c r="U5" i="1"/>
  <c r="AD5" i="1" s="1"/>
  <c r="AJ5" i="1" s="1"/>
  <c r="AK5" i="1"/>
  <c r="U4" i="1"/>
  <c r="AD4" i="1" s="1"/>
  <c r="AJ4" i="1" s="1"/>
  <c r="AK4" i="1"/>
  <c r="U3" i="1"/>
  <c r="AD3" i="1" s="1"/>
  <c r="AJ3" i="1" s="1"/>
  <c r="AK3" i="1"/>
  <c r="AC6" i="1"/>
  <c r="AE13" i="1"/>
  <c r="AE12" i="1"/>
  <c r="AE11" i="1"/>
  <c r="AE10" i="1"/>
  <c r="AE9" i="1"/>
  <c r="AE8" i="1"/>
  <c r="AE7" i="1"/>
  <c r="AE6" i="1"/>
  <c r="AE4" i="1"/>
  <c r="AE3" i="1"/>
  <c r="AE5" i="1"/>
  <c r="AH12" i="1" l="1"/>
  <c r="AI12" i="1" s="1"/>
  <c r="AF12" i="1"/>
  <c r="AG12" i="1" s="1"/>
  <c r="AH13" i="1"/>
  <c r="AI13" i="1" s="1"/>
  <c r="AF13" i="1"/>
  <c r="AG13" i="1" s="1"/>
  <c r="AF11" i="1"/>
  <c r="AG11" i="1" s="1"/>
  <c r="AH11" i="1"/>
  <c r="AI11" i="1" s="1"/>
  <c r="AF10" i="1"/>
  <c r="AG10" i="1" s="1"/>
  <c r="AH10" i="1"/>
  <c r="AI10" i="1" s="1"/>
  <c r="AF9" i="1"/>
  <c r="AG9" i="1" s="1"/>
  <c r="AH9" i="1"/>
  <c r="AI9" i="1" s="1"/>
  <c r="AF8" i="1"/>
  <c r="AG8" i="1" s="1"/>
  <c r="AH8" i="1"/>
  <c r="AI8" i="1" s="1"/>
  <c r="AF7" i="1"/>
  <c r="AG7" i="1" s="1"/>
  <c r="AH7" i="1"/>
  <c r="AI7" i="1" s="1"/>
  <c r="AF6" i="1"/>
  <c r="AG6" i="1" s="1"/>
  <c r="AH6" i="1"/>
  <c r="AI6" i="1" s="1"/>
  <c r="AF4" i="1"/>
  <c r="AG4" i="1" s="1"/>
  <c r="AH4" i="1"/>
  <c r="AI4" i="1" s="1"/>
  <c r="AF3" i="1"/>
  <c r="AG3" i="1" s="1"/>
  <c r="AH3" i="1"/>
  <c r="AI3" i="1" s="1"/>
  <c r="AF5" i="1"/>
  <c r="AG5" i="1" s="1"/>
  <c r="AH5" i="1"/>
  <c r="AI5" i="1" s="1"/>
</calcChain>
</file>

<file path=xl/sharedStrings.xml><?xml version="1.0" encoding="utf-8"?>
<sst xmlns="http://schemas.openxmlformats.org/spreadsheetml/2006/main" count="153" uniqueCount="112">
  <si>
    <t>WLZ</t>
  </si>
  <si>
    <t>nr_people</t>
  </si>
  <si>
    <t>% men</t>
  </si>
  <si>
    <t>41.68</t>
  </si>
  <si>
    <t>mean Rx-Risk (weighted, prev year)</t>
  </si>
  <si>
    <t>5.31</t>
  </si>
  <si>
    <t>% vaccinated (at least 1 dose)</t>
  </si>
  <si>
    <t>91.52</t>
  </si>
  <si>
    <t>5.36</t>
  </si>
  <si>
    <t>27.74</t>
  </si>
  <si>
    <t>84.40</t>
  </si>
  <si>
    <t>3.55</t>
  </si>
  <si>
    <t>47.91</t>
  </si>
  <si>
    <t>93.10</t>
  </si>
  <si>
    <t>4.43</t>
  </si>
  <si>
    <t>42.98</t>
  </si>
  <si>
    <t>86.69</t>
  </si>
  <si>
    <t>49.40</t>
  </si>
  <si>
    <t>2.38</t>
  </si>
  <si>
    <t>55.10</t>
  </si>
  <si>
    <t>3.01</t>
  </si>
  <si>
    <t>90.18</t>
  </si>
  <si>
    <t>49.66</t>
  </si>
  <si>
    <t>1.38</t>
  </si>
  <si>
    <t>84.61</t>
  </si>
  <si>
    <t>57.34</t>
  </si>
  <si>
    <t>2.12</t>
  </si>
  <si>
    <t>91.30</t>
  </si>
  <si>
    <t>50.33</t>
  </si>
  <si>
    <t>0.62</t>
  </si>
  <si>
    <t>71.73</t>
  </si>
  <si>
    <t>58.74</t>
  </si>
  <si>
    <t>1.50</t>
  </si>
  <si>
    <t>82.38</t>
  </si>
  <si>
    <t>51.19</t>
  </si>
  <si>
    <t>0.19</t>
  </si>
  <si>
    <t>45.54</t>
  </si>
  <si>
    <t>n.a.</t>
  </si>
  <si>
    <t>analyzed</t>
  </si>
  <si>
    <t>including 2000-2020 WLZ 1</t>
  </si>
  <si>
    <t>MATCHED (v3)</t>
  </si>
  <si>
    <t>% vaccinated</t>
  </si>
  <si>
    <t>UNVACCINATED</t>
  </si>
  <si>
    <t>VACCINATED</t>
  </si>
  <si>
    <t>mean Rx-Risk</t>
  </si>
  <si>
    <t>LOW RISK (BIN &lt;=3)</t>
  </si>
  <si>
    <t>HIGH RISK (BIN &gt;3)</t>
  </si>
  <si>
    <t>41.83</t>
  </si>
  <si>
    <t>4.79</t>
  </si>
  <si>
    <t>37.91</t>
  </si>
  <si>
    <t>18.28</t>
  </si>
  <si>
    <t>27.60</t>
  </si>
  <si>
    <t>3.97</t>
  </si>
  <si>
    <t>29.08</t>
  </si>
  <si>
    <t>18.82</t>
  </si>
  <si>
    <t>48.01</t>
  </si>
  <si>
    <t>3.26</t>
  </si>
  <si>
    <t>42.77</t>
  </si>
  <si>
    <t>18.53</t>
  </si>
  <si>
    <t>43.06</t>
  </si>
  <si>
    <t>3.23</t>
  </si>
  <si>
    <t>41.93</t>
  </si>
  <si>
    <t>19.02</t>
  </si>
  <si>
    <t>19.04</t>
  </si>
  <si>
    <t>49.46</t>
  </si>
  <si>
    <t>2.18</t>
  </si>
  <si>
    <t>44.68</t>
  </si>
  <si>
    <t>19.01</t>
  </si>
  <si>
    <t>55.47</t>
  </si>
  <si>
    <t>2.24</t>
  </si>
  <si>
    <t>47.23</t>
  </si>
  <si>
    <t>19.37</t>
  </si>
  <si>
    <t>49.69</t>
  </si>
  <si>
    <t>1.25</t>
  </si>
  <si>
    <t>45.17</t>
  </si>
  <si>
    <t>19.33</t>
  </si>
  <si>
    <t>57.49</t>
  </si>
  <si>
    <t>1.72</t>
  </si>
  <si>
    <t>50.90</t>
  </si>
  <si>
    <t>19.57</t>
  </si>
  <si>
    <t>50.35</t>
  </si>
  <si>
    <t>0.58</t>
  </si>
  <si>
    <t>41.95</t>
  </si>
  <si>
    <t>58.80</t>
  </si>
  <si>
    <t>49.53</t>
  </si>
  <si>
    <t>18.78</t>
  </si>
  <si>
    <t>38.22</t>
  </si>
  <si>
    <t>17.91</t>
  </si>
  <si>
    <t>% HIGH RISK</t>
  </si>
  <si>
    <t>sum people</t>
  </si>
  <si>
    <t>diff vacc %</t>
  </si>
  <si>
    <t>actually vaccinated</t>
  </si>
  <si>
    <t>vaccinated unregistered</t>
  </si>
  <si>
    <t>vaccinated registered</t>
  </si>
  <si>
    <t>% actually unvaccinated among status vaccinated</t>
  </si>
  <si>
    <t>STATUS UNVACCINATED</t>
  </si>
  <si>
    <t>STATUS VACCINATED</t>
  </si>
  <si>
    <t>vaccinated but unregistered</t>
  </si>
  <si>
    <t>actually unvaccinated</t>
  </si>
  <si>
    <t>% actually vaccinated among status unvaccinated</t>
  </si>
  <si>
    <t>max % of group to be considered</t>
  </si>
  <si>
    <t>% high-risk among status vaccinated</t>
  </si>
  <si>
    <t>% high-risk among status unvaccinated</t>
  </si>
  <si>
    <t>% actually unvaccinated among status unvaccinated</t>
  </si>
  <si>
    <t>% vaccinations missing 2</t>
  </si>
  <si>
    <t>% vaccinations missing 1</t>
  </si>
  <si>
    <t>ratio high-risk incidence (unvaccinated vs vaccinated)</t>
  </si>
  <si>
    <t>Vacc. Reg. % low-risk group WLZ0</t>
  </si>
  <si>
    <t>Vacc. Reg. % high-risk group WLZ0</t>
  </si>
  <si>
    <t>Vacc. Reg. % low-risk group WLZ1</t>
  </si>
  <si>
    <t>Vacc. Reg. % high-risk group WLZ1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</si>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</sst>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/>
    <xf numFmtId="2" fontId="0" fillId="0" borderId="0" xfId="0" applyNumberFormat="1" applyAlignment="1">
      <alignment horizontal="left"/>
    </xf>
    <xf numFmtId="0" fontId="0" fillId="3" borderId="0" xfId="0" applyFill="1" applyAlignment="1">
      <alignment wrapText="1"/>
    </xf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F9B9-D7DC-4645-9FF5-12B9BFBC58E7}">
  <dimension ref="A1:AN34"/>
  <sheetViews>
    <sheetView tabSelected="1" zoomScaleNormal="100" workbookViewId="0">
      <selection activeCell="AE12" sqref="AE12"/>
    </sheetView>
  </sheetViews>
  <sheetFormatPr defaultRowHeight="14.5" x14ac:dyDescent="0.35"/>
  <cols>
    <col min="4" max="4" width="15.6328125" customWidth="1"/>
    <col min="7" max="7" width="17.26953125" customWidth="1"/>
    <col min="8" max="8" width="17" bestFit="1" customWidth="1"/>
    <col min="10" max="10" width="11.08984375" customWidth="1"/>
    <col min="12" max="12" width="14.81640625" customWidth="1"/>
    <col min="15" max="15" width="12.1796875" customWidth="1"/>
    <col min="17" max="17" width="10.81640625" bestFit="1" customWidth="1"/>
    <col min="18" max="18" width="22.6328125" customWidth="1"/>
    <col min="19" max="19" width="12.08984375" customWidth="1"/>
    <col min="20" max="20" width="10.54296875" customWidth="1"/>
    <col min="21" max="21" width="11.6328125" customWidth="1"/>
    <col min="22" max="22" width="12.26953125" customWidth="1"/>
    <col min="23" max="23" width="9.7265625" customWidth="1"/>
    <col min="24" max="24" width="11.6328125" customWidth="1"/>
    <col min="26" max="26" width="11.26953125" customWidth="1"/>
    <col min="27" max="27" width="22.36328125" customWidth="1"/>
    <col min="28" max="28" width="25.54296875" customWidth="1"/>
    <col min="29" max="29" width="13.08984375" customWidth="1"/>
    <col min="30" max="30" width="14.26953125" customWidth="1"/>
    <col min="31" max="31" width="22.7265625" customWidth="1"/>
    <col min="32" max="32" width="23.7265625" customWidth="1"/>
    <col min="33" max="33" width="18.6328125" customWidth="1"/>
    <col min="35" max="35" width="19.90625" bestFit="1" customWidth="1"/>
    <col min="36" max="36" width="12.6328125" customWidth="1"/>
  </cols>
  <sheetData>
    <row r="1" spans="1:40" x14ac:dyDescent="0.35">
      <c r="H1" s="2" t="s">
        <v>45</v>
      </c>
      <c r="L1" s="2" t="s">
        <v>46</v>
      </c>
      <c r="S1" s="2" t="s">
        <v>45</v>
      </c>
      <c r="V1" s="2" t="s">
        <v>46</v>
      </c>
      <c r="Z1" s="10" t="s">
        <v>96</v>
      </c>
      <c r="AD1" s="10" t="s">
        <v>95</v>
      </c>
    </row>
    <row r="2" spans="1:40" ht="29" customHeight="1" x14ac:dyDescent="0.35">
      <c r="C2" t="s">
        <v>0</v>
      </c>
      <c r="D2" t="s">
        <v>1</v>
      </c>
      <c r="E2" t="s">
        <v>2</v>
      </c>
      <c r="F2" t="s">
        <v>4</v>
      </c>
      <c r="G2" s="4" t="s">
        <v>6</v>
      </c>
      <c r="H2" s="6" t="s">
        <v>1</v>
      </c>
      <c r="I2" t="s">
        <v>2</v>
      </c>
      <c r="J2" t="s">
        <v>44</v>
      </c>
      <c r="K2" t="s">
        <v>41</v>
      </c>
      <c r="L2" s="6" t="s">
        <v>1</v>
      </c>
      <c r="M2" t="s">
        <v>2</v>
      </c>
      <c r="N2" t="s">
        <v>44</v>
      </c>
      <c r="O2" t="s">
        <v>41</v>
      </c>
      <c r="P2" t="s">
        <v>89</v>
      </c>
      <c r="Q2" t="s">
        <v>88</v>
      </c>
      <c r="R2" t="s">
        <v>90</v>
      </c>
      <c r="S2" s="4" t="s">
        <v>93</v>
      </c>
      <c r="T2" s="4" t="s">
        <v>91</v>
      </c>
      <c r="U2" s="4" t="s">
        <v>92</v>
      </c>
      <c r="V2" s="4" t="s">
        <v>93</v>
      </c>
      <c r="W2" s="4" t="s">
        <v>91</v>
      </c>
      <c r="X2" s="4" t="s">
        <v>92</v>
      </c>
      <c r="Z2" s="4" t="s">
        <v>93</v>
      </c>
      <c r="AA2" s="4" t="s">
        <v>98</v>
      </c>
      <c r="AB2" s="4" t="s">
        <v>94</v>
      </c>
      <c r="AC2" s="4" t="s">
        <v>101</v>
      </c>
      <c r="AD2" s="4" t="s">
        <v>97</v>
      </c>
      <c r="AE2" s="4" t="s">
        <v>98</v>
      </c>
      <c r="AF2" s="12" t="s">
        <v>99</v>
      </c>
      <c r="AG2" s="4" t="s">
        <v>103</v>
      </c>
      <c r="AH2" s="4" t="s">
        <v>102</v>
      </c>
      <c r="AI2" s="4" t="s">
        <v>106</v>
      </c>
      <c r="AJ2" s="4" t="s">
        <v>105</v>
      </c>
      <c r="AK2" s="4" t="s">
        <v>104</v>
      </c>
      <c r="AN2" t="s">
        <v>0</v>
      </c>
    </row>
    <row r="3" spans="1:40" x14ac:dyDescent="0.35">
      <c r="A3" s="1">
        <v>1930</v>
      </c>
      <c r="B3" s="1">
        <v>1940</v>
      </c>
      <c r="C3" s="1">
        <v>0</v>
      </c>
      <c r="D3">
        <v>570613</v>
      </c>
      <c r="E3" t="s">
        <v>3</v>
      </c>
      <c r="F3" t="s">
        <v>5</v>
      </c>
      <c r="G3" t="s">
        <v>7</v>
      </c>
      <c r="H3">
        <v>548757</v>
      </c>
      <c r="I3" t="s">
        <v>47</v>
      </c>
      <c r="J3" t="s">
        <v>48</v>
      </c>
      <c r="K3">
        <v>91.76</v>
      </c>
      <c r="L3">
        <v>21856</v>
      </c>
      <c r="M3" t="s">
        <v>49</v>
      </c>
      <c r="N3" t="s">
        <v>50</v>
      </c>
      <c r="O3">
        <v>85.59</v>
      </c>
      <c r="P3">
        <f>H3+L3</f>
        <v>570613</v>
      </c>
      <c r="Q3" s="5">
        <f>L3/P3 *100</f>
        <v>3.8302667482163919</v>
      </c>
      <c r="R3" s="8">
        <f>K3-O3</f>
        <v>6.1700000000000017</v>
      </c>
      <c r="S3">
        <f>ROUND(H3*K3/100,0)</f>
        <v>503539</v>
      </c>
      <c r="T3">
        <f>MIN(ROUND(S3/$T$16,0),ROUND(H3*$U$18,0))</f>
        <v>541440</v>
      </c>
      <c r="U3">
        <f>T3-S3</f>
        <v>37901</v>
      </c>
      <c r="V3">
        <f>ROUND(L3*O3/100,0)</f>
        <v>18707</v>
      </c>
      <c r="W3">
        <f>MIN(ROUND(V3/$W$16,0),ROUND(L3*$U$18,0))</f>
        <v>21637</v>
      </c>
      <c r="X3">
        <f>W3-V3</f>
        <v>2930</v>
      </c>
      <c r="Z3">
        <f>S3+V3</f>
        <v>522246</v>
      </c>
      <c r="AA3">
        <v>0</v>
      </c>
      <c r="AB3">
        <v>0</v>
      </c>
      <c r="AC3" s="11">
        <f t="shared" ref="AC3:AC13" si="0">V3/Z3*100</f>
        <v>3.5820283927497769</v>
      </c>
      <c r="AD3">
        <f t="shared" ref="AD3:AD13" si="1">U3+X3</f>
        <v>40831</v>
      </c>
      <c r="AE3">
        <f t="shared" ref="AE3:AE13" si="2">D3-Z3-AD3</f>
        <v>7536</v>
      </c>
      <c r="AF3" s="13">
        <f>AD3/(AD3+AE3) * 100</f>
        <v>84.419128744805334</v>
      </c>
      <c r="AG3" s="9">
        <f>100-AF3</f>
        <v>15.580871255194666</v>
      </c>
      <c r="AH3" s="11">
        <f t="shared" ref="AH3:AH13" si="3">(L3-V3)/(AD3+AE3) * 100</f>
        <v>6.5106374180743067</v>
      </c>
      <c r="AI3" s="9">
        <f>AH3/AC3</f>
        <v>1.8175839787457286</v>
      </c>
      <c r="AJ3" s="9">
        <f t="shared" ref="AJ3:AJ13" si="4">AD3/(Z3+AD3)*100</f>
        <v>7.2514061131958867</v>
      </c>
      <c r="AK3" s="9">
        <f t="shared" ref="AK3:AK13" si="5">100 - ((T3*$T$16+W3*$W$16)/(T3+W3) * 100)</f>
        <v>7.3074108869657266</v>
      </c>
      <c r="AL3" s="1">
        <v>1930</v>
      </c>
      <c r="AM3" s="1">
        <v>1940</v>
      </c>
      <c r="AN3" s="1">
        <v>0</v>
      </c>
    </row>
    <row r="4" spans="1:40" x14ac:dyDescent="0.35">
      <c r="A4" s="1">
        <v>1930</v>
      </c>
      <c r="B4" s="1">
        <v>1940</v>
      </c>
      <c r="C4" s="1">
        <v>1</v>
      </c>
      <c r="D4">
        <v>59299</v>
      </c>
      <c r="E4" t="s">
        <v>9</v>
      </c>
      <c r="F4" t="s">
        <v>8</v>
      </c>
      <c r="G4" t="s">
        <v>10</v>
      </c>
      <c r="H4">
        <v>53848</v>
      </c>
      <c r="I4" t="s">
        <v>51</v>
      </c>
      <c r="J4" t="s">
        <v>52</v>
      </c>
      <c r="K4">
        <v>85.04</v>
      </c>
      <c r="L4">
        <v>5451</v>
      </c>
      <c r="M4" t="s">
        <v>53</v>
      </c>
      <c r="N4" t="s">
        <v>54</v>
      </c>
      <c r="O4">
        <v>78.08</v>
      </c>
      <c r="P4">
        <f t="shared" ref="P4:P13" si="6">H4+L4</f>
        <v>59299</v>
      </c>
      <c r="Q4" s="5">
        <f t="shared" ref="Q4:Q13" si="7">L4/P4 *100</f>
        <v>9.1923978481930551</v>
      </c>
      <c r="R4" s="8">
        <f t="shared" ref="R4:R13" si="8">K4-O4</f>
        <v>6.960000000000008</v>
      </c>
      <c r="S4">
        <f t="shared" ref="S4:S13" si="9">ROUND(H4*K4/100,0)</f>
        <v>45792</v>
      </c>
      <c r="T4">
        <f>MIN(ROUND(S4/$T$17,0),ROUND(H4*$U$18,0))</f>
        <v>52634</v>
      </c>
      <c r="U4">
        <f t="shared" ref="U4:U13" si="10">T4-S4</f>
        <v>6842</v>
      </c>
      <c r="V4">
        <f t="shared" ref="V4:V13" si="11">ROUND(L4*O4/100,0)</f>
        <v>4256</v>
      </c>
      <c r="W4">
        <f>MIN(ROUND(V4/$W$17,0),ROUND(L4*$U$18,0))</f>
        <v>5320</v>
      </c>
      <c r="X4">
        <f t="shared" ref="X4:X13" si="12">W4-V4</f>
        <v>1064</v>
      </c>
      <c r="Z4">
        <f t="shared" ref="Z4:Z13" si="13">S4+V4</f>
        <v>50048</v>
      </c>
      <c r="AA4">
        <v>0</v>
      </c>
      <c r="AB4">
        <v>0</v>
      </c>
      <c r="AC4" s="11">
        <f t="shared" si="0"/>
        <v>8.5038363171355513</v>
      </c>
      <c r="AD4">
        <f t="shared" si="1"/>
        <v>7906</v>
      </c>
      <c r="AE4">
        <f t="shared" si="2"/>
        <v>1345</v>
      </c>
      <c r="AF4" s="13">
        <f t="shared" ref="AF4:AF13" si="14">AD4/(AD4+AE4) * 100</f>
        <v>85.46103123986596</v>
      </c>
      <c r="AG4" s="9">
        <f t="shared" ref="AG4:AG13" si="15">100-AF4</f>
        <v>14.53896876013404</v>
      </c>
      <c r="AH4" s="11">
        <f t="shared" si="3"/>
        <v>12.917522430007566</v>
      </c>
      <c r="AI4" s="9">
        <f t="shared" ref="AI4:AI13" si="16">AH4/AC4</f>
        <v>1.5190229383858518</v>
      </c>
      <c r="AJ4" s="9">
        <f t="shared" si="4"/>
        <v>13.641853884114989</v>
      </c>
      <c r="AK4" s="9">
        <f t="shared" si="5"/>
        <v>7.734375539220764</v>
      </c>
      <c r="AL4" s="1">
        <v>1930</v>
      </c>
      <c r="AM4" s="1">
        <v>1940</v>
      </c>
      <c r="AN4" s="1">
        <v>1</v>
      </c>
    </row>
    <row r="5" spans="1:40" x14ac:dyDescent="0.35">
      <c r="A5" s="1">
        <v>1940</v>
      </c>
      <c r="B5" s="1">
        <v>1950</v>
      </c>
      <c r="C5" s="1">
        <v>0</v>
      </c>
      <c r="D5">
        <v>1491819</v>
      </c>
      <c r="E5" t="s">
        <v>12</v>
      </c>
      <c r="F5" t="s">
        <v>11</v>
      </c>
      <c r="G5" t="s">
        <v>13</v>
      </c>
      <c r="H5">
        <v>1463402</v>
      </c>
      <c r="I5" t="s">
        <v>55</v>
      </c>
      <c r="J5" t="s">
        <v>56</v>
      </c>
      <c r="K5">
        <v>93.19</v>
      </c>
      <c r="L5">
        <v>28417</v>
      </c>
      <c r="M5" t="s">
        <v>57</v>
      </c>
      <c r="N5" t="s">
        <v>58</v>
      </c>
      <c r="O5">
        <v>88.3</v>
      </c>
      <c r="P5">
        <f t="shared" si="6"/>
        <v>1491819</v>
      </c>
      <c r="Q5" s="5">
        <f t="shared" si="7"/>
        <v>1.9048557499267673</v>
      </c>
      <c r="R5" s="8">
        <f t="shared" si="8"/>
        <v>4.8900000000000006</v>
      </c>
      <c r="S5">
        <f t="shared" si="9"/>
        <v>1363744</v>
      </c>
      <c r="T5">
        <f t="shared" ref="T5:T13" si="17">MIN(ROUND(S5/$T$16,0),ROUND(H5*$U$18,0))</f>
        <v>1448768</v>
      </c>
      <c r="U5">
        <f t="shared" si="10"/>
        <v>85024</v>
      </c>
      <c r="V5">
        <f t="shared" si="11"/>
        <v>25092</v>
      </c>
      <c r="W5">
        <f t="shared" ref="W5:W13" si="18">MIN(ROUND(V5/$W$16,0),ROUND(L5*$U$18,0))</f>
        <v>28133</v>
      </c>
      <c r="X5">
        <f t="shared" si="12"/>
        <v>3041</v>
      </c>
      <c r="Z5">
        <f t="shared" si="13"/>
        <v>1388836</v>
      </c>
      <c r="AA5">
        <v>0</v>
      </c>
      <c r="AB5">
        <v>0</v>
      </c>
      <c r="AC5" s="11">
        <f t="shared" si="0"/>
        <v>1.8066927988617805</v>
      </c>
      <c r="AD5">
        <f t="shared" si="1"/>
        <v>88065</v>
      </c>
      <c r="AE5">
        <f t="shared" si="2"/>
        <v>14918</v>
      </c>
      <c r="AF5" s="13">
        <f t="shared" si="14"/>
        <v>85.514113979977282</v>
      </c>
      <c r="AG5" s="9">
        <f t="shared" si="15"/>
        <v>14.485886020022718</v>
      </c>
      <c r="AH5" s="11">
        <f t="shared" si="3"/>
        <v>3.2286882300962292</v>
      </c>
      <c r="AI5" s="9">
        <f t="shared" si="16"/>
        <v>1.7870709575697143</v>
      </c>
      <c r="AJ5" s="9">
        <f t="shared" si="4"/>
        <v>5.9628235067888768</v>
      </c>
      <c r="AK5" s="9">
        <f t="shared" si="5"/>
        <v>7.1523893612367999</v>
      </c>
      <c r="AL5" s="1">
        <v>1940</v>
      </c>
      <c r="AM5" s="1">
        <v>1950</v>
      </c>
      <c r="AN5" s="1">
        <v>0</v>
      </c>
    </row>
    <row r="6" spans="1:40" x14ac:dyDescent="0.35">
      <c r="A6" s="1">
        <v>1940</v>
      </c>
      <c r="B6" s="1">
        <v>1950</v>
      </c>
      <c r="C6" s="1">
        <v>1</v>
      </c>
      <c r="D6">
        <v>32803</v>
      </c>
      <c r="E6" t="s">
        <v>15</v>
      </c>
      <c r="F6" t="s">
        <v>14</v>
      </c>
      <c r="G6" t="s">
        <v>16</v>
      </c>
      <c r="H6">
        <v>30311</v>
      </c>
      <c r="I6" t="s">
        <v>59</v>
      </c>
      <c r="J6" t="s">
        <v>60</v>
      </c>
      <c r="K6">
        <v>87.13</v>
      </c>
      <c r="L6">
        <v>2492</v>
      </c>
      <c r="M6" t="s">
        <v>61</v>
      </c>
      <c r="N6" t="s">
        <v>62</v>
      </c>
      <c r="O6">
        <v>81.260000000000005</v>
      </c>
      <c r="P6">
        <f t="shared" si="6"/>
        <v>32803</v>
      </c>
      <c r="Q6" s="5">
        <f t="shared" si="7"/>
        <v>7.5968661402920468</v>
      </c>
      <c r="R6" s="8">
        <f t="shared" si="8"/>
        <v>5.8699999999999903</v>
      </c>
      <c r="S6">
        <f t="shared" si="9"/>
        <v>26410</v>
      </c>
      <c r="T6">
        <f>MIN(ROUND(S6/$T$17,0),ROUND(H6*$U$18,0))</f>
        <v>30008</v>
      </c>
      <c r="U6">
        <f t="shared" si="10"/>
        <v>3598</v>
      </c>
      <c r="V6">
        <f t="shared" si="11"/>
        <v>2025</v>
      </c>
      <c r="W6">
        <f>MIN(ROUND(V6/$W$17,0),ROUND(L6*$U$18,0))</f>
        <v>2467</v>
      </c>
      <c r="X6">
        <f t="shared" si="12"/>
        <v>442</v>
      </c>
      <c r="Z6">
        <f t="shared" si="13"/>
        <v>28435</v>
      </c>
      <c r="AA6">
        <v>0</v>
      </c>
      <c r="AB6">
        <v>0</v>
      </c>
      <c r="AC6" s="11">
        <f t="shared" si="0"/>
        <v>7.1215051872692099</v>
      </c>
      <c r="AD6">
        <f t="shared" si="1"/>
        <v>4040</v>
      </c>
      <c r="AE6">
        <f t="shared" si="2"/>
        <v>328</v>
      </c>
      <c r="AF6" s="13">
        <f t="shared" si="14"/>
        <v>92.490842490842496</v>
      </c>
      <c r="AG6" s="9">
        <f t="shared" si="15"/>
        <v>7.5091575091575038</v>
      </c>
      <c r="AH6" s="11">
        <f t="shared" si="3"/>
        <v>10.691391941391942</v>
      </c>
      <c r="AI6" s="9">
        <f t="shared" si="16"/>
        <v>1.5012826165603945</v>
      </c>
      <c r="AJ6" s="9">
        <f t="shared" si="4"/>
        <v>12.440338722093919</v>
      </c>
      <c r="AK6" s="9">
        <f t="shared" si="5"/>
        <v>7.607729022324861</v>
      </c>
      <c r="AL6" s="1">
        <v>1940</v>
      </c>
      <c r="AM6" s="1">
        <v>1950</v>
      </c>
      <c r="AN6" s="1">
        <v>1</v>
      </c>
    </row>
    <row r="7" spans="1:40" x14ac:dyDescent="0.35">
      <c r="A7" s="1">
        <v>1950</v>
      </c>
      <c r="B7" s="1">
        <v>1960</v>
      </c>
      <c r="C7" s="1">
        <v>0</v>
      </c>
      <c r="D7">
        <v>2050030</v>
      </c>
      <c r="E7" t="s">
        <v>17</v>
      </c>
      <c r="F7" t="s">
        <v>18</v>
      </c>
      <c r="G7" t="s">
        <v>7</v>
      </c>
      <c r="H7">
        <v>2025306</v>
      </c>
      <c r="I7" t="s">
        <v>64</v>
      </c>
      <c r="J7" t="s">
        <v>65</v>
      </c>
      <c r="K7">
        <v>91.56</v>
      </c>
      <c r="L7">
        <v>24724</v>
      </c>
      <c r="M7" t="s">
        <v>66</v>
      </c>
      <c r="N7" t="s">
        <v>67</v>
      </c>
      <c r="O7">
        <v>87.81</v>
      </c>
      <c r="P7">
        <f t="shared" si="6"/>
        <v>2050030</v>
      </c>
      <c r="Q7" s="5">
        <f t="shared" si="7"/>
        <v>1.2060311312517378</v>
      </c>
      <c r="R7" s="8">
        <f t="shared" si="8"/>
        <v>3.75</v>
      </c>
      <c r="S7">
        <f t="shared" si="9"/>
        <v>1854370</v>
      </c>
      <c r="T7">
        <f t="shared" si="17"/>
        <v>1993946</v>
      </c>
      <c r="U7">
        <f t="shared" si="10"/>
        <v>139576</v>
      </c>
      <c r="V7">
        <f t="shared" si="11"/>
        <v>21710</v>
      </c>
      <c r="W7">
        <f t="shared" si="18"/>
        <v>24477</v>
      </c>
      <c r="X7">
        <f t="shared" si="12"/>
        <v>2767</v>
      </c>
      <c r="Z7">
        <f t="shared" si="13"/>
        <v>1876080</v>
      </c>
      <c r="AA7">
        <v>0</v>
      </c>
      <c r="AB7">
        <v>0</v>
      </c>
      <c r="AC7" s="11">
        <f t="shared" si="0"/>
        <v>1.1572001193978936</v>
      </c>
      <c r="AD7">
        <f t="shared" si="1"/>
        <v>142343</v>
      </c>
      <c r="AE7">
        <f t="shared" si="2"/>
        <v>31607</v>
      </c>
      <c r="AF7" s="13">
        <f t="shared" si="14"/>
        <v>81.82983615981604</v>
      </c>
      <c r="AG7" s="9">
        <f t="shared" si="15"/>
        <v>18.17016384018396</v>
      </c>
      <c r="AH7" s="11">
        <f t="shared" si="3"/>
        <v>1.732681805116413</v>
      </c>
      <c r="AI7" s="9">
        <f t="shared" si="16"/>
        <v>1.497305242258314</v>
      </c>
      <c r="AJ7" s="9">
        <f t="shared" si="4"/>
        <v>7.0521887632077114</v>
      </c>
      <c r="AK7" s="9">
        <f t="shared" si="5"/>
        <v>7.0970143522938542</v>
      </c>
      <c r="AL7" s="1">
        <v>1950</v>
      </c>
      <c r="AM7" s="1">
        <v>1960</v>
      </c>
      <c r="AN7" s="1">
        <v>0</v>
      </c>
    </row>
    <row r="8" spans="1:40" x14ac:dyDescent="0.35">
      <c r="A8" s="1">
        <v>1950</v>
      </c>
      <c r="B8" s="1">
        <v>1960</v>
      </c>
      <c r="C8" s="1">
        <v>1</v>
      </c>
      <c r="D8">
        <v>22672</v>
      </c>
      <c r="E8" t="s">
        <v>19</v>
      </c>
      <c r="F8" t="s">
        <v>20</v>
      </c>
      <c r="G8" t="s">
        <v>21</v>
      </c>
      <c r="H8">
        <v>21660</v>
      </c>
      <c r="I8" t="s">
        <v>68</v>
      </c>
      <c r="J8" t="s">
        <v>69</v>
      </c>
      <c r="K8">
        <v>90.49</v>
      </c>
      <c r="L8">
        <v>1012</v>
      </c>
      <c r="M8" t="s">
        <v>70</v>
      </c>
      <c r="N8" t="s">
        <v>71</v>
      </c>
      <c r="O8">
        <v>83.4</v>
      </c>
      <c r="P8">
        <f t="shared" si="6"/>
        <v>22672</v>
      </c>
      <c r="Q8" s="5">
        <f t="shared" si="7"/>
        <v>4.4636556104446017</v>
      </c>
      <c r="R8" s="8">
        <f t="shared" si="8"/>
        <v>7.0899999999999892</v>
      </c>
      <c r="S8">
        <f t="shared" si="9"/>
        <v>19600</v>
      </c>
      <c r="T8">
        <f>MIN(ROUND(S8/$T$17,0),ROUND(H8*$U$18,0))</f>
        <v>21443</v>
      </c>
      <c r="U8">
        <f t="shared" si="10"/>
        <v>1843</v>
      </c>
      <c r="V8">
        <f t="shared" si="11"/>
        <v>844</v>
      </c>
      <c r="W8">
        <f>MIN(ROUND(V8/$W$17,0),ROUND(L8*$U$18,0))</f>
        <v>1002</v>
      </c>
      <c r="X8">
        <f t="shared" si="12"/>
        <v>158</v>
      </c>
      <c r="Z8">
        <f t="shared" si="13"/>
        <v>20444</v>
      </c>
      <c r="AA8">
        <v>0</v>
      </c>
      <c r="AB8">
        <v>0</v>
      </c>
      <c r="AC8" s="11">
        <f t="shared" si="0"/>
        <v>4.1283506163177464</v>
      </c>
      <c r="AD8">
        <f t="shared" si="1"/>
        <v>2001</v>
      </c>
      <c r="AE8">
        <f t="shared" si="2"/>
        <v>227</v>
      </c>
      <c r="AF8" s="13">
        <f t="shared" si="14"/>
        <v>89.811490125673259</v>
      </c>
      <c r="AG8" s="9">
        <f t="shared" si="15"/>
        <v>10.188509874326741</v>
      </c>
      <c r="AH8" s="11">
        <f t="shared" si="3"/>
        <v>7.5403949730700175</v>
      </c>
      <c r="AI8" s="9">
        <f t="shared" si="16"/>
        <v>1.8264909339981448</v>
      </c>
      <c r="AJ8" s="9">
        <f t="shared" si="4"/>
        <v>8.9151258632212063</v>
      </c>
      <c r="AK8" s="9">
        <f t="shared" si="5"/>
        <v>7.3571396747605178</v>
      </c>
      <c r="AL8" s="1">
        <v>1950</v>
      </c>
      <c r="AM8" s="1">
        <v>1960</v>
      </c>
      <c r="AN8" s="1">
        <v>1</v>
      </c>
    </row>
    <row r="9" spans="1:40" x14ac:dyDescent="0.35">
      <c r="A9" s="1">
        <v>1960</v>
      </c>
      <c r="B9" s="1">
        <v>1980</v>
      </c>
      <c r="C9" s="1">
        <v>0</v>
      </c>
      <c r="D9">
        <v>4557160</v>
      </c>
      <c r="E9" t="s">
        <v>22</v>
      </c>
      <c r="F9" t="s">
        <v>23</v>
      </c>
      <c r="G9" t="s">
        <v>24</v>
      </c>
      <c r="H9">
        <v>4525349</v>
      </c>
      <c r="I9" t="s">
        <v>72</v>
      </c>
      <c r="J9" t="s">
        <v>73</v>
      </c>
      <c r="K9">
        <v>84.63</v>
      </c>
      <c r="L9">
        <v>31811</v>
      </c>
      <c r="M9" t="s">
        <v>74</v>
      </c>
      <c r="N9" t="s">
        <v>75</v>
      </c>
      <c r="O9">
        <v>81.87</v>
      </c>
      <c r="P9">
        <f t="shared" si="6"/>
        <v>4557160</v>
      </c>
      <c r="Q9" s="5">
        <f t="shared" si="7"/>
        <v>0.69804439607123736</v>
      </c>
      <c r="R9" s="8">
        <f t="shared" si="8"/>
        <v>2.7599999999999909</v>
      </c>
      <c r="S9">
        <f t="shared" si="9"/>
        <v>3829803</v>
      </c>
      <c r="T9">
        <f t="shared" si="17"/>
        <v>4118068</v>
      </c>
      <c r="U9">
        <f t="shared" si="10"/>
        <v>288265</v>
      </c>
      <c r="V9">
        <f t="shared" si="11"/>
        <v>26044</v>
      </c>
      <c r="W9">
        <f t="shared" si="18"/>
        <v>30640</v>
      </c>
      <c r="X9">
        <f t="shared" si="12"/>
        <v>4596</v>
      </c>
      <c r="Z9">
        <f t="shared" si="13"/>
        <v>3855847</v>
      </c>
      <c r="AA9">
        <v>0</v>
      </c>
      <c r="AB9">
        <v>0</v>
      </c>
      <c r="AC9" s="11">
        <f t="shared" si="0"/>
        <v>0.67544173822249687</v>
      </c>
      <c r="AD9">
        <f t="shared" si="1"/>
        <v>292861</v>
      </c>
      <c r="AE9">
        <f t="shared" si="2"/>
        <v>408452</v>
      </c>
      <c r="AF9" s="13">
        <f t="shared" si="14"/>
        <v>41.758957840507733</v>
      </c>
      <c r="AG9" s="9">
        <f t="shared" si="15"/>
        <v>58.241042159492267</v>
      </c>
      <c r="AH9" s="11">
        <f t="shared" si="3"/>
        <v>0.82231471539811751</v>
      </c>
      <c r="AI9" s="9">
        <f t="shared" si="16"/>
        <v>1.2174472924372928</v>
      </c>
      <c r="AJ9" s="9">
        <f t="shared" si="4"/>
        <v>7.059089239348733</v>
      </c>
      <c r="AK9" s="9">
        <f t="shared" si="5"/>
        <v>7.0590834544152017</v>
      </c>
      <c r="AL9" s="1">
        <v>1960</v>
      </c>
      <c r="AM9" s="1">
        <v>1980</v>
      </c>
      <c r="AN9" s="1">
        <v>0</v>
      </c>
    </row>
    <row r="10" spans="1:40" x14ac:dyDescent="0.35">
      <c r="A10" s="1">
        <v>1960</v>
      </c>
      <c r="B10" s="1">
        <v>1980</v>
      </c>
      <c r="C10" s="1">
        <v>1</v>
      </c>
      <c r="D10">
        <v>36721</v>
      </c>
      <c r="E10" t="s">
        <v>25</v>
      </c>
      <c r="F10" t="s">
        <v>26</v>
      </c>
      <c r="G10" t="s">
        <v>27</v>
      </c>
      <c r="H10">
        <v>35892</v>
      </c>
      <c r="I10" t="s">
        <v>76</v>
      </c>
      <c r="J10" t="s">
        <v>77</v>
      </c>
      <c r="K10">
        <v>91.45</v>
      </c>
      <c r="L10">
        <v>829</v>
      </c>
      <c r="M10" t="s">
        <v>78</v>
      </c>
      <c r="N10" t="s">
        <v>79</v>
      </c>
      <c r="O10">
        <v>84.8</v>
      </c>
      <c r="P10">
        <f t="shared" si="6"/>
        <v>36721</v>
      </c>
      <c r="Q10" s="5">
        <f t="shared" si="7"/>
        <v>2.2575637918357345</v>
      </c>
      <c r="R10" s="8">
        <f t="shared" si="8"/>
        <v>6.6500000000000057</v>
      </c>
      <c r="S10">
        <f t="shared" si="9"/>
        <v>32823</v>
      </c>
      <c r="T10">
        <f>MIN(ROUND(S10/$T$17,0),ROUND(H10*$U$18,0))</f>
        <v>35533</v>
      </c>
      <c r="U10">
        <f t="shared" si="10"/>
        <v>2710</v>
      </c>
      <c r="V10">
        <f t="shared" si="11"/>
        <v>703</v>
      </c>
      <c r="W10">
        <f>MIN(ROUND(V10/$W$17,0),ROUND(L10*$U$18,0))</f>
        <v>821</v>
      </c>
      <c r="X10">
        <f t="shared" si="12"/>
        <v>118</v>
      </c>
      <c r="Z10">
        <f>S10+V10</f>
        <v>33526</v>
      </c>
      <c r="AA10">
        <v>0</v>
      </c>
      <c r="AB10">
        <v>0</v>
      </c>
      <c r="AC10" s="11">
        <f t="shared" si="0"/>
        <v>2.096880033406908</v>
      </c>
      <c r="AD10">
        <f t="shared" si="1"/>
        <v>2828</v>
      </c>
      <c r="AE10">
        <f t="shared" si="2"/>
        <v>367</v>
      </c>
      <c r="AF10" s="13">
        <f t="shared" si="14"/>
        <v>88.513302034428804</v>
      </c>
      <c r="AG10" s="9">
        <f t="shared" si="15"/>
        <v>11.486697965571196</v>
      </c>
      <c r="AH10" s="11">
        <f t="shared" si="3"/>
        <v>3.943661971830986</v>
      </c>
      <c r="AI10" s="9">
        <f t="shared" si="16"/>
        <v>1.8807284675335083</v>
      </c>
      <c r="AJ10" s="9">
        <f t="shared" si="4"/>
        <v>7.7790614512845897</v>
      </c>
      <c r="AK10" s="9">
        <f t="shared" si="5"/>
        <v>7.1806678769873997</v>
      </c>
      <c r="AL10" s="1">
        <v>1960</v>
      </c>
      <c r="AM10" s="1">
        <v>1980</v>
      </c>
      <c r="AN10" s="1">
        <v>1</v>
      </c>
    </row>
    <row r="11" spans="1:40" x14ac:dyDescent="0.35">
      <c r="A11" s="1">
        <v>1980</v>
      </c>
      <c r="B11" s="1">
        <v>2000</v>
      </c>
      <c r="C11" s="1">
        <v>0</v>
      </c>
      <c r="D11">
        <v>3918329</v>
      </c>
      <c r="E11" t="s">
        <v>28</v>
      </c>
      <c r="F11" t="s">
        <v>29</v>
      </c>
      <c r="G11" t="s">
        <v>30</v>
      </c>
      <c r="H11">
        <v>3911189</v>
      </c>
      <c r="I11" t="s">
        <v>80</v>
      </c>
      <c r="J11" t="s">
        <v>81</v>
      </c>
      <c r="K11">
        <v>71.739999999999995</v>
      </c>
      <c r="L11">
        <v>7140</v>
      </c>
      <c r="M11" t="s">
        <v>82</v>
      </c>
      <c r="N11" t="s">
        <v>63</v>
      </c>
      <c r="O11">
        <v>68.819999999999993</v>
      </c>
      <c r="P11">
        <f t="shared" si="6"/>
        <v>3918329</v>
      </c>
      <c r="Q11" s="5">
        <f t="shared" si="7"/>
        <v>0.18222053329365656</v>
      </c>
      <c r="R11" s="8">
        <f t="shared" si="8"/>
        <v>2.9200000000000017</v>
      </c>
      <c r="S11">
        <f t="shared" si="9"/>
        <v>2805887</v>
      </c>
      <c r="T11">
        <f t="shared" si="17"/>
        <v>3017083</v>
      </c>
      <c r="U11">
        <f t="shared" si="10"/>
        <v>211196</v>
      </c>
      <c r="V11">
        <f t="shared" si="11"/>
        <v>4914</v>
      </c>
      <c r="W11">
        <f t="shared" si="18"/>
        <v>5781</v>
      </c>
      <c r="X11">
        <f t="shared" si="12"/>
        <v>867</v>
      </c>
      <c r="Z11">
        <f t="shared" si="13"/>
        <v>2810801</v>
      </c>
      <c r="AA11">
        <v>0</v>
      </c>
      <c r="AB11">
        <v>0</v>
      </c>
      <c r="AC11" s="11">
        <f t="shared" si="0"/>
        <v>0.17482561020862025</v>
      </c>
      <c r="AD11">
        <f t="shared" si="1"/>
        <v>212063</v>
      </c>
      <c r="AE11">
        <f t="shared" si="2"/>
        <v>895465</v>
      </c>
      <c r="AF11" s="13">
        <f t="shared" si="14"/>
        <v>19.14741658901626</v>
      </c>
      <c r="AG11" s="9">
        <f t="shared" si="15"/>
        <v>80.85258341098374</v>
      </c>
      <c r="AH11" s="11">
        <f t="shared" si="3"/>
        <v>0.2009881465750753</v>
      </c>
      <c r="AI11" s="9">
        <f t="shared" si="16"/>
        <v>1.1496493353304196</v>
      </c>
      <c r="AJ11" s="9">
        <f t="shared" si="4"/>
        <v>7.015300721435036</v>
      </c>
      <c r="AK11" s="9">
        <f t="shared" si="5"/>
        <v>7.0152993981866132</v>
      </c>
      <c r="AL11" s="1">
        <v>1980</v>
      </c>
      <c r="AM11" s="1">
        <v>2000</v>
      </c>
      <c r="AN11" s="1">
        <v>0</v>
      </c>
    </row>
    <row r="12" spans="1:40" x14ac:dyDescent="0.35">
      <c r="A12" s="1">
        <v>1980</v>
      </c>
      <c r="B12" s="1">
        <v>2000</v>
      </c>
      <c r="C12" s="1">
        <v>1</v>
      </c>
      <c r="D12">
        <v>44501</v>
      </c>
      <c r="E12" t="s">
        <v>31</v>
      </c>
      <c r="F12" t="s">
        <v>32</v>
      </c>
      <c r="G12" t="s">
        <v>33</v>
      </c>
      <c r="H12">
        <v>44184</v>
      </c>
      <c r="I12" t="s">
        <v>83</v>
      </c>
      <c r="J12" t="s">
        <v>23</v>
      </c>
      <c r="K12">
        <v>82.39</v>
      </c>
      <c r="L12">
        <v>317</v>
      </c>
      <c r="M12" t="s">
        <v>84</v>
      </c>
      <c r="N12" t="s">
        <v>85</v>
      </c>
      <c r="O12">
        <v>81.069999999999993</v>
      </c>
      <c r="P12">
        <f t="shared" si="6"/>
        <v>44501</v>
      </c>
      <c r="Q12" s="5">
        <f t="shared" si="7"/>
        <v>0.71234354284173385</v>
      </c>
      <c r="R12" s="8">
        <f t="shared" si="8"/>
        <v>1.3200000000000074</v>
      </c>
      <c r="S12">
        <f t="shared" si="9"/>
        <v>36403</v>
      </c>
      <c r="T12">
        <f>MIN(ROUND(S12/$T$17,0),ROUND(H12*$U$18,0))</f>
        <v>41843</v>
      </c>
      <c r="U12">
        <f t="shared" si="10"/>
        <v>5440</v>
      </c>
      <c r="V12">
        <f t="shared" si="11"/>
        <v>257</v>
      </c>
      <c r="W12">
        <f>MIN(ROUND(V12/$W$17,0),ROUND(L12*$U$18,0))</f>
        <v>314</v>
      </c>
      <c r="X12">
        <f t="shared" si="12"/>
        <v>57</v>
      </c>
      <c r="Z12">
        <f t="shared" si="13"/>
        <v>36660</v>
      </c>
      <c r="AA12">
        <v>0</v>
      </c>
      <c r="AB12">
        <v>0</v>
      </c>
      <c r="AC12" s="11">
        <f t="shared" si="0"/>
        <v>0.70103655210038196</v>
      </c>
      <c r="AD12">
        <f t="shared" si="1"/>
        <v>5497</v>
      </c>
      <c r="AE12">
        <f t="shared" si="2"/>
        <v>2344</v>
      </c>
      <c r="AF12" s="13">
        <f t="shared" si="14"/>
        <v>70.105853845172803</v>
      </c>
      <c r="AG12" s="9">
        <f t="shared" si="15"/>
        <v>29.894146154827197</v>
      </c>
      <c r="AH12" s="11">
        <f t="shared" si="3"/>
        <v>0.76520851932151512</v>
      </c>
      <c r="AI12" s="9">
        <f t="shared" si="16"/>
        <v>1.0915386894290562</v>
      </c>
      <c r="AJ12" s="9">
        <f t="shared" si="4"/>
        <v>13.03935289513011</v>
      </c>
      <c r="AK12" s="9">
        <f t="shared" si="5"/>
        <v>7.0595867827406948</v>
      </c>
      <c r="AL12" s="1">
        <v>1980</v>
      </c>
      <c r="AM12" s="1">
        <v>2000</v>
      </c>
      <c r="AN12" s="1">
        <v>1</v>
      </c>
    </row>
    <row r="13" spans="1:40" x14ac:dyDescent="0.35">
      <c r="A13" s="1">
        <v>2000</v>
      </c>
      <c r="B13" s="1">
        <v>2020</v>
      </c>
      <c r="C13" s="1">
        <v>0</v>
      </c>
      <c r="D13">
        <v>3131918</v>
      </c>
      <c r="E13" t="s">
        <v>34</v>
      </c>
      <c r="F13" t="s">
        <v>35</v>
      </c>
      <c r="G13" t="s">
        <v>36</v>
      </c>
      <c r="H13">
        <v>3131693</v>
      </c>
      <c r="I13" t="s">
        <v>34</v>
      </c>
      <c r="J13" t="s">
        <v>35</v>
      </c>
      <c r="K13">
        <v>45.54</v>
      </c>
      <c r="L13">
        <v>225</v>
      </c>
      <c r="M13" t="s">
        <v>86</v>
      </c>
      <c r="N13" t="s">
        <v>87</v>
      </c>
      <c r="O13">
        <v>67.56</v>
      </c>
      <c r="P13">
        <f t="shared" si="6"/>
        <v>3131918</v>
      </c>
      <c r="Q13" s="5">
        <f t="shared" si="7"/>
        <v>7.1840961353394316E-3</v>
      </c>
      <c r="R13" s="8">
        <f t="shared" si="8"/>
        <v>-22.020000000000003</v>
      </c>
      <c r="S13">
        <f t="shared" si="9"/>
        <v>1426173</v>
      </c>
      <c r="T13">
        <f t="shared" si="17"/>
        <v>1533519</v>
      </c>
      <c r="U13">
        <f t="shared" si="10"/>
        <v>107346</v>
      </c>
      <c r="V13">
        <f t="shared" si="11"/>
        <v>152</v>
      </c>
      <c r="W13">
        <f t="shared" si="18"/>
        <v>179</v>
      </c>
      <c r="X13">
        <f t="shared" si="12"/>
        <v>27</v>
      </c>
      <c r="Z13">
        <f t="shared" si="13"/>
        <v>1426325</v>
      </c>
      <c r="AA13">
        <v>0</v>
      </c>
      <c r="AB13">
        <v>0</v>
      </c>
      <c r="AC13" s="11">
        <f t="shared" si="0"/>
        <v>1.0656757751564334E-2</v>
      </c>
      <c r="AD13">
        <f>U13+X13</f>
        <v>107373</v>
      </c>
      <c r="AE13">
        <f t="shared" si="2"/>
        <v>1598220</v>
      </c>
      <c r="AF13" s="13">
        <f t="shared" si="14"/>
        <v>6.2953471314668858</v>
      </c>
      <c r="AG13" s="9">
        <f t="shared" si="15"/>
        <v>93.704652868533117</v>
      </c>
      <c r="AH13" s="11">
        <f t="shared" si="3"/>
        <v>4.280036327541213E-3</v>
      </c>
      <c r="AI13" s="9">
        <f t="shared" si="16"/>
        <v>0.40162650097896191</v>
      </c>
      <c r="AJ13" s="9">
        <f t="shared" si="4"/>
        <v>7.0009219546481773</v>
      </c>
      <c r="AK13" s="9">
        <f t="shared" si="5"/>
        <v>7.0009336909873952</v>
      </c>
      <c r="AL13" s="1">
        <v>2000</v>
      </c>
      <c r="AM13" s="1">
        <v>2020</v>
      </c>
      <c r="AN13" s="1">
        <v>0</v>
      </c>
    </row>
    <row r="14" spans="1:40" x14ac:dyDescent="0.35">
      <c r="A14" s="1">
        <v>2000</v>
      </c>
      <c r="B14" s="1">
        <v>2020</v>
      </c>
      <c r="C14" s="1">
        <v>1</v>
      </c>
      <c r="D14">
        <f>D16-D15</f>
        <v>6638</v>
      </c>
      <c r="E14" t="s">
        <v>37</v>
      </c>
      <c r="F14" t="s">
        <v>37</v>
      </c>
      <c r="G14" t="s">
        <v>37</v>
      </c>
      <c r="H14" s="3"/>
      <c r="I14" s="3"/>
      <c r="J14" s="3"/>
      <c r="K14" s="3"/>
      <c r="L14" s="3"/>
      <c r="M14" s="3"/>
      <c r="AL14" s="1">
        <v>2000</v>
      </c>
      <c r="AM14" s="1">
        <v>2020</v>
      </c>
      <c r="AN14" s="1">
        <v>1</v>
      </c>
    </row>
    <row r="15" spans="1:40" x14ac:dyDescent="0.35">
      <c r="D15">
        <f>SUM(D3:D13)</f>
        <v>15915865</v>
      </c>
      <c r="E15" t="s">
        <v>38</v>
      </c>
    </row>
    <row r="16" spans="1:40" ht="43.5" x14ac:dyDescent="0.35">
      <c r="D16">
        <v>15922503</v>
      </c>
      <c r="E16" t="s">
        <v>39</v>
      </c>
      <c r="H16">
        <f>D16-D15</f>
        <v>6638</v>
      </c>
      <c r="I16" t="s">
        <v>111</v>
      </c>
      <c r="S16" s="7" t="s">
        <v>107</v>
      </c>
      <c r="T16">
        <v>0.93</v>
      </c>
      <c r="V16" s="7" t="s">
        <v>108</v>
      </c>
      <c r="W16">
        <v>0.85</v>
      </c>
    </row>
    <row r="17" spans="5:23" ht="43.5" x14ac:dyDescent="0.35">
      <c r="S17" s="7" t="s">
        <v>109</v>
      </c>
      <c r="T17">
        <v>0.87</v>
      </c>
      <c r="V17" s="7" t="s">
        <v>110</v>
      </c>
      <c r="W17">
        <v>0.8</v>
      </c>
    </row>
    <row r="18" spans="5:23" ht="43.5" x14ac:dyDescent="0.35">
      <c r="T18" s="4" t="s">
        <v>100</v>
      </c>
      <c r="U18">
        <v>0.99</v>
      </c>
    </row>
    <row r="21" spans="5:23" x14ac:dyDescent="0.35">
      <c r="H21" s="2" t="s">
        <v>45</v>
      </c>
      <c r="J21" s="2" t="s">
        <v>46</v>
      </c>
    </row>
    <row r="22" spans="5:23" x14ac:dyDescent="0.35">
      <c r="G22" t="s">
        <v>0</v>
      </c>
      <c r="H22" t="s">
        <v>1</v>
      </c>
      <c r="I22" t="s">
        <v>41</v>
      </c>
      <c r="J22" t="s">
        <v>1</v>
      </c>
      <c r="K22" t="s">
        <v>41</v>
      </c>
      <c r="L22" t="s">
        <v>88</v>
      </c>
      <c r="M22" t="s">
        <v>90</v>
      </c>
    </row>
    <row r="23" spans="5:23" x14ac:dyDescent="0.35">
      <c r="E23" s="1">
        <v>1930</v>
      </c>
      <c r="F23" s="1">
        <v>1940</v>
      </c>
      <c r="G23" s="1">
        <v>0</v>
      </c>
      <c r="H23">
        <v>548757</v>
      </c>
      <c r="I23">
        <v>91.76</v>
      </c>
      <c r="J23">
        <v>21856</v>
      </c>
      <c r="K23">
        <v>85.59</v>
      </c>
      <c r="L23" s="5">
        <v>3.8302667482163919</v>
      </c>
      <c r="M23">
        <v>6.1700000000000017</v>
      </c>
    </row>
    <row r="24" spans="5:23" x14ac:dyDescent="0.35">
      <c r="E24" s="1">
        <v>1930</v>
      </c>
      <c r="F24" s="1">
        <v>1940</v>
      </c>
      <c r="G24" s="1">
        <v>1</v>
      </c>
      <c r="H24">
        <v>53848</v>
      </c>
      <c r="I24">
        <v>85.04</v>
      </c>
      <c r="J24">
        <v>5451</v>
      </c>
      <c r="K24">
        <v>78.08</v>
      </c>
      <c r="L24" s="5">
        <v>9.1923978481930551</v>
      </c>
      <c r="M24">
        <v>6.960000000000008</v>
      </c>
    </row>
    <row r="25" spans="5:23" x14ac:dyDescent="0.35">
      <c r="E25" s="1">
        <v>1940</v>
      </c>
      <c r="F25" s="1">
        <v>1950</v>
      </c>
      <c r="G25" s="1">
        <v>0</v>
      </c>
      <c r="H25">
        <v>1463402</v>
      </c>
      <c r="I25">
        <v>93.19</v>
      </c>
      <c r="J25">
        <v>28417</v>
      </c>
      <c r="K25">
        <v>88.3</v>
      </c>
      <c r="L25" s="5">
        <v>1.9048557499267673</v>
      </c>
      <c r="M25">
        <v>4.8900000000000006</v>
      </c>
    </row>
    <row r="26" spans="5:23" x14ac:dyDescent="0.35">
      <c r="E26" s="1">
        <v>1940</v>
      </c>
      <c r="F26" s="1">
        <v>1950</v>
      </c>
      <c r="G26" s="1">
        <v>1</v>
      </c>
      <c r="H26">
        <v>30311</v>
      </c>
      <c r="I26">
        <v>87.13</v>
      </c>
      <c r="J26">
        <v>2492</v>
      </c>
      <c r="K26">
        <v>81.260000000000005</v>
      </c>
      <c r="L26" s="5">
        <v>7.5968661402920468</v>
      </c>
      <c r="M26">
        <v>5.8699999999999903</v>
      </c>
    </row>
    <row r="27" spans="5:23" x14ac:dyDescent="0.35">
      <c r="E27" s="1">
        <v>1950</v>
      </c>
      <c r="F27" s="1">
        <v>1960</v>
      </c>
      <c r="G27" s="1">
        <v>0</v>
      </c>
      <c r="H27">
        <v>2025306</v>
      </c>
      <c r="I27">
        <v>91.56</v>
      </c>
      <c r="J27">
        <v>24724</v>
      </c>
      <c r="K27">
        <v>87.81</v>
      </c>
      <c r="L27" s="5">
        <v>1.2060311312517378</v>
      </c>
      <c r="M27">
        <v>3.75</v>
      </c>
    </row>
    <row r="28" spans="5:23" x14ac:dyDescent="0.35">
      <c r="E28" s="1">
        <v>1950</v>
      </c>
      <c r="F28" s="1">
        <v>1960</v>
      </c>
      <c r="G28" s="1">
        <v>1</v>
      </c>
      <c r="H28">
        <v>21660</v>
      </c>
      <c r="I28">
        <v>90.49</v>
      </c>
      <c r="J28">
        <v>1012</v>
      </c>
      <c r="K28">
        <v>83.4</v>
      </c>
      <c r="L28" s="5">
        <v>4.4636556104446017</v>
      </c>
      <c r="M28">
        <v>7.0899999999999892</v>
      </c>
    </row>
    <row r="29" spans="5:23" x14ac:dyDescent="0.35">
      <c r="E29" s="1">
        <v>1960</v>
      </c>
      <c r="F29" s="1">
        <v>1980</v>
      </c>
      <c r="G29" s="1">
        <v>0</v>
      </c>
      <c r="H29">
        <v>4525349</v>
      </c>
      <c r="I29">
        <v>84.63</v>
      </c>
      <c r="J29">
        <v>31811</v>
      </c>
      <c r="K29">
        <v>81.87</v>
      </c>
      <c r="L29" s="5">
        <v>0.69804439607123736</v>
      </c>
      <c r="M29">
        <v>2.7599999999999909</v>
      </c>
    </row>
    <row r="30" spans="5:23" x14ac:dyDescent="0.35">
      <c r="E30" s="1">
        <v>1960</v>
      </c>
      <c r="F30" s="1">
        <v>1980</v>
      </c>
      <c r="G30" s="1">
        <v>1</v>
      </c>
      <c r="H30">
        <v>35892</v>
      </c>
      <c r="I30">
        <v>91.45</v>
      </c>
      <c r="J30">
        <v>829</v>
      </c>
      <c r="K30">
        <v>84.8</v>
      </c>
      <c r="L30" s="5">
        <v>2.2575637918357345</v>
      </c>
      <c r="M30">
        <v>6.6500000000000057</v>
      </c>
    </row>
    <row r="31" spans="5:23" x14ac:dyDescent="0.35">
      <c r="E31" s="1">
        <v>1980</v>
      </c>
      <c r="F31" s="1">
        <v>2000</v>
      </c>
      <c r="G31" s="1">
        <v>0</v>
      </c>
      <c r="H31">
        <v>3911189</v>
      </c>
      <c r="I31">
        <v>71.739999999999995</v>
      </c>
      <c r="J31">
        <v>7140</v>
      </c>
      <c r="K31">
        <v>68.819999999999993</v>
      </c>
      <c r="L31" s="5">
        <v>0.18222053329365656</v>
      </c>
      <c r="M31">
        <v>2.9200000000000017</v>
      </c>
    </row>
    <row r="32" spans="5:23" x14ac:dyDescent="0.35">
      <c r="E32" s="1">
        <v>1980</v>
      </c>
      <c r="F32" s="1">
        <v>2000</v>
      </c>
      <c r="G32" s="1">
        <v>1</v>
      </c>
      <c r="H32">
        <v>44184</v>
      </c>
      <c r="I32">
        <v>82.39</v>
      </c>
      <c r="J32">
        <v>317</v>
      </c>
      <c r="K32">
        <v>81.069999999999993</v>
      </c>
      <c r="L32" s="5">
        <v>0.71234354284173385</v>
      </c>
      <c r="M32">
        <v>1.3200000000000074</v>
      </c>
    </row>
    <row r="33" spans="5:13" x14ac:dyDescent="0.35">
      <c r="E33" s="1">
        <v>2000</v>
      </c>
      <c r="F33" s="1">
        <v>2020</v>
      </c>
      <c r="G33" s="1">
        <v>0</v>
      </c>
      <c r="H33">
        <v>3131693</v>
      </c>
      <c r="I33">
        <v>45.54</v>
      </c>
      <c r="J33">
        <v>225</v>
      </c>
      <c r="K33">
        <v>67.56</v>
      </c>
      <c r="L33" s="5">
        <v>7.1840961353394316E-3</v>
      </c>
      <c r="M33">
        <v>-22.020000000000003</v>
      </c>
    </row>
    <row r="34" spans="5:13" x14ac:dyDescent="0.35">
      <c r="E34" s="1">
        <v>2000</v>
      </c>
      <c r="F34" s="1">
        <v>2020</v>
      </c>
      <c r="G34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523E-DE8C-4F0B-BDC9-7CD4CCACE185}">
  <dimension ref="A1:M15"/>
  <sheetViews>
    <sheetView workbookViewId="0">
      <selection activeCell="F20" sqref="F20"/>
    </sheetView>
  </sheetViews>
  <sheetFormatPr defaultRowHeight="14.5" x14ac:dyDescent="0.35"/>
  <cols>
    <col min="7" max="7" width="13.26953125" customWidth="1"/>
    <col min="8" max="8" width="11.54296875" bestFit="1" customWidth="1"/>
  </cols>
  <sheetData>
    <row r="1" spans="1:13" x14ac:dyDescent="0.35">
      <c r="H1" t="s">
        <v>43</v>
      </c>
      <c r="K1" t="s">
        <v>42</v>
      </c>
    </row>
    <row r="2" spans="1:13" x14ac:dyDescent="0.35">
      <c r="A2" s="2" t="s">
        <v>40</v>
      </c>
      <c r="C2" t="s">
        <v>0</v>
      </c>
      <c r="D2" t="s">
        <v>1</v>
      </c>
      <c r="E2" t="s">
        <v>2</v>
      </c>
      <c r="F2" t="s">
        <v>44</v>
      </c>
      <c r="G2" t="s">
        <v>41</v>
      </c>
      <c r="H2" t="s">
        <v>1</v>
      </c>
      <c r="I2" t="s">
        <v>2</v>
      </c>
      <c r="J2" t="s">
        <v>44</v>
      </c>
      <c r="K2" t="s">
        <v>1</v>
      </c>
      <c r="L2" t="s">
        <v>2</v>
      </c>
      <c r="M2" t="s">
        <v>44</v>
      </c>
    </row>
    <row r="3" spans="1:13" x14ac:dyDescent="0.35">
      <c r="A3" s="1">
        <v>1930</v>
      </c>
      <c r="B3" s="1">
        <v>1940</v>
      </c>
      <c r="C3" s="1">
        <v>0</v>
      </c>
      <c r="D3">
        <v>181604</v>
      </c>
      <c r="E3">
        <v>41.14</v>
      </c>
      <c r="F3">
        <v>5.62</v>
      </c>
      <c r="G3">
        <v>75</v>
      </c>
      <c r="H3">
        <v>136203</v>
      </c>
      <c r="I3">
        <v>41.14</v>
      </c>
      <c r="J3">
        <v>5.6</v>
      </c>
      <c r="K3">
        <v>45401</v>
      </c>
      <c r="L3">
        <v>41.14</v>
      </c>
      <c r="M3">
        <v>5.69</v>
      </c>
    </row>
    <row r="4" spans="1:13" x14ac:dyDescent="0.35">
      <c r="A4" s="1">
        <v>1930</v>
      </c>
      <c r="B4" s="1">
        <v>1940</v>
      </c>
      <c r="C4" s="1">
        <v>1</v>
      </c>
      <c r="D4">
        <v>30032</v>
      </c>
      <c r="E4">
        <v>29.85</v>
      </c>
      <c r="F4">
        <v>5.52</v>
      </c>
      <c r="G4">
        <v>75</v>
      </c>
      <c r="H4">
        <v>22524</v>
      </c>
      <c r="I4">
        <v>29.85</v>
      </c>
      <c r="J4">
        <v>5.16</v>
      </c>
      <c r="K4">
        <v>7508</v>
      </c>
      <c r="L4">
        <v>29.85</v>
      </c>
      <c r="M4">
        <v>6.58</v>
      </c>
    </row>
    <row r="5" spans="1:13" x14ac:dyDescent="0.35">
      <c r="A5" s="1">
        <v>1940</v>
      </c>
      <c r="B5" s="1">
        <v>1950</v>
      </c>
      <c r="C5" s="1">
        <v>0</v>
      </c>
      <c r="D5">
        <v>399116</v>
      </c>
      <c r="E5">
        <v>45.91</v>
      </c>
      <c r="F5">
        <v>3.58</v>
      </c>
      <c r="G5">
        <v>75</v>
      </c>
      <c r="H5">
        <v>299337</v>
      </c>
      <c r="I5">
        <v>45.91</v>
      </c>
      <c r="J5">
        <v>3.56</v>
      </c>
      <c r="K5">
        <v>99779</v>
      </c>
      <c r="L5">
        <v>45.91</v>
      </c>
      <c r="M5">
        <v>3.65</v>
      </c>
    </row>
    <row r="6" spans="1:13" x14ac:dyDescent="0.35">
      <c r="A6" s="1">
        <v>1940</v>
      </c>
      <c r="B6" s="1">
        <v>1950</v>
      </c>
      <c r="C6" s="1">
        <v>1</v>
      </c>
      <c r="D6">
        <v>14964</v>
      </c>
      <c r="E6">
        <v>43.73</v>
      </c>
      <c r="F6">
        <v>4.8099999999999996</v>
      </c>
      <c r="G6">
        <v>75</v>
      </c>
      <c r="H6">
        <v>11223</v>
      </c>
      <c r="I6">
        <v>43.73</v>
      </c>
      <c r="J6">
        <v>4.55</v>
      </c>
      <c r="K6">
        <v>3741</v>
      </c>
      <c r="L6">
        <v>43.73</v>
      </c>
      <c r="M6">
        <v>5.6</v>
      </c>
    </row>
    <row r="7" spans="1:13" x14ac:dyDescent="0.35">
      <c r="A7" s="1">
        <v>1950</v>
      </c>
      <c r="B7" s="1">
        <v>1960</v>
      </c>
      <c r="C7" s="1">
        <v>0</v>
      </c>
      <c r="D7">
        <v>690500</v>
      </c>
      <c r="E7">
        <v>46.43</v>
      </c>
      <c r="F7">
        <v>2.37</v>
      </c>
      <c r="G7">
        <v>75</v>
      </c>
      <c r="H7">
        <v>517875</v>
      </c>
      <c r="I7">
        <v>46.43</v>
      </c>
      <c r="J7">
        <v>2.35</v>
      </c>
      <c r="K7">
        <v>172625</v>
      </c>
      <c r="L7">
        <v>46.43</v>
      </c>
      <c r="M7">
        <v>2.44</v>
      </c>
    </row>
    <row r="8" spans="1:13" x14ac:dyDescent="0.35">
      <c r="A8" s="1">
        <v>1950</v>
      </c>
      <c r="B8" s="1">
        <v>1960</v>
      </c>
      <c r="C8" s="1">
        <v>1</v>
      </c>
      <c r="D8">
        <v>8112</v>
      </c>
      <c r="E8">
        <v>53.85</v>
      </c>
      <c r="F8">
        <v>3.53</v>
      </c>
      <c r="G8">
        <v>75</v>
      </c>
      <c r="H8">
        <v>6084</v>
      </c>
      <c r="I8">
        <v>53.85</v>
      </c>
      <c r="J8">
        <v>3.25</v>
      </c>
      <c r="K8">
        <v>2028</v>
      </c>
      <c r="L8">
        <v>53.85</v>
      </c>
      <c r="M8">
        <v>4.37</v>
      </c>
    </row>
    <row r="9" spans="1:13" x14ac:dyDescent="0.35">
      <c r="A9" s="1">
        <v>1960</v>
      </c>
      <c r="B9" s="1">
        <v>1980</v>
      </c>
      <c r="C9" s="1">
        <v>0</v>
      </c>
      <c r="D9">
        <v>2331120</v>
      </c>
      <c r="E9">
        <v>51.98</v>
      </c>
      <c r="F9">
        <v>0.81</v>
      </c>
      <c r="G9">
        <v>75</v>
      </c>
      <c r="H9">
        <v>1748340</v>
      </c>
      <c r="I9">
        <v>51.98</v>
      </c>
      <c r="J9">
        <v>0.8</v>
      </c>
      <c r="K9">
        <v>582780</v>
      </c>
      <c r="L9">
        <v>51.98</v>
      </c>
      <c r="M9">
        <v>0.86</v>
      </c>
    </row>
    <row r="10" spans="1:13" x14ac:dyDescent="0.35">
      <c r="A10" s="1">
        <v>1960</v>
      </c>
      <c r="B10" s="1">
        <v>1980</v>
      </c>
      <c r="C10" s="1">
        <v>1</v>
      </c>
      <c r="D10">
        <v>11796</v>
      </c>
      <c r="E10">
        <v>58.46</v>
      </c>
      <c r="F10">
        <v>2.36</v>
      </c>
      <c r="G10">
        <v>75</v>
      </c>
      <c r="H10">
        <v>8847</v>
      </c>
      <c r="I10">
        <v>58.46</v>
      </c>
      <c r="J10">
        <v>2.13</v>
      </c>
      <c r="K10">
        <v>2949</v>
      </c>
      <c r="L10">
        <v>58.46</v>
      </c>
      <c r="M10">
        <v>3.05</v>
      </c>
    </row>
    <row r="11" spans="1:13" x14ac:dyDescent="0.35">
      <c r="A11" s="1">
        <v>1980</v>
      </c>
      <c r="B11" s="1">
        <v>2000</v>
      </c>
      <c r="C11" s="1">
        <v>0</v>
      </c>
      <c r="D11">
        <v>3687600</v>
      </c>
      <c r="E11">
        <v>50.48</v>
      </c>
      <c r="F11">
        <v>0.57999999999999996</v>
      </c>
      <c r="G11">
        <v>75</v>
      </c>
      <c r="H11">
        <v>2765700</v>
      </c>
      <c r="I11">
        <v>50.48</v>
      </c>
      <c r="J11">
        <v>0.57999999999999996</v>
      </c>
      <c r="K11">
        <v>921900</v>
      </c>
      <c r="L11">
        <v>50.48</v>
      </c>
      <c r="M11">
        <v>0.6</v>
      </c>
    </row>
    <row r="12" spans="1:13" x14ac:dyDescent="0.35">
      <c r="A12" s="1">
        <v>1980</v>
      </c>
      <c r="B12" s="1">
        <v>2000</v>
      </c>
      <c r="C12" s="1">
        <v>1</v>
      </c>
      <c r="D12">
        <v>28852</v>
      </c>
      <c r="E12">
        <v>61.72</v>
      </c>
      <c r="F12">
        <v>1.47</v>
      </c>
      <c r="G12">
        <v>75</v>
      </c>
      <c r="H12">
        <v>21639</v>
      </c>
      <c r="I12">
        <v>61.72</v>
      </c>
      <c r="J12">
        <v>1.43</v>
      </c>
      <c r="K12">
        <v>7213</v>
      </c>
      <c r="L12">
        <v>61.72</v>
      </c>
      <c r="M12">
        <v>1.59</v>
      </c>
    </row>
    <row r="13" spans="1:13" x14ac:dyDescent="0.35">
      <c r="A13" s="1">
        <v>2000</v>
      </c>
      <c r="B13" s="1">
        <v>2020</v>
      </c>
      <c r="C13" s="1">
        <v>0</v>
      </c>
      <c r="D13">
        <v>1785384</v>
      </c>
      <c r="E13">
        <v>50.76</v>
      </c>
      <c r="F13">
        <v>0.2</v>
      </c>
      <c r="G13">
        <v>75</v>
      </c>
      <c r="H13">
        <v>1339038</v>
      </c>
      <c r="I13">
        <v>50.76</v>
      </c>
      <c r="J13">
        <v>0.19</v>
      </c>
      <c r="K13">
        <v>446346</v>
      </c>
      <c r="L13">
        <v>50.76</v>
      </c>
      <c r="M13">
        <v>0.21</v>
      </c>
    </row>
    <row r="14" spans="1:13" x14ac:dyDescent="0.35">
      <c r="A14" s="1">
        <v>2000</v>
      </c>
      <c r="B14" s="1">
        <v>2020</v>
      </c>
      <c r="C14" s="1">
        <v>1</v>
      </c>
      <c r="D14" s="3">
        <v>4588</v>
      </c>
      <c r="E14" s="3">
        <v>62.86</v>
      </c>
      <c r="F14" s="3">
        <v>1.31</v>
      </c>
      <c r="G14" s="3">
        <v>75</v>
      </c>
      <c r="H14" s="3">
        <v>3441</v>
      </c>
      <c r="I14" s="3">
        <v>62.86</v>
      </c>
      <c r="J14" s="3">
        <v>1.35</v>
      </c>
      <c r="K14" s="3">
        <v>1147</v>
      </c>
      <c r="L14" s="3">
        <v>62.86</v>
      </c>
      <c r="M14" s="3">
        <v>1.18</v>
      </c>
    </row>
    <row r="15" spans="1:13" x14ac:dyDescent="0.35">
      <c r="D15">
        <f>SUM(D3:D13)</f>
        <v>9169080</v>
      </c>
      <c r="E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Bakker</dc:creator>
  <cp:lastModifiedBy>Marlies Vink</cp:lastModifiedBy>
  <dcterms:created xsi:type="dcterms:W3CDTF">2025-01-04T14:03:53Z</dcterms:created>
  <dcterms:modified xsi:type="dcterms:W3CDTF">2026-10-02T13:35:59Z</dcterms:modified>
</cp:coreProperties>
</file>