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cygrepo\techrepo\projects\Oversterfte\excel\"/>
    </mc:Choice>
  </mc:AlternateContent>
  <xr:revisionPtr revIDLastSave="0" documentId="13_ncr:1_{AB354BD9-99DB-4504-BDAF-6E61AED0F2F6}" xr6:coauthVersionLast="47" xr6:coauthVersionMax="47" xr10:uidLastSave="{00000000-0000-0000-0000-000000000000}"/>
  <bookViews>
    <workbookView xWindow="14303" yWindow="-4433" windowWidth="28995" windowHeight="15675" xr2:uid="{8CC0E661-1EC4-4C2A-A28C-5BDCB9460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3" i="1" l="1"/>
  <c r="AE33" i="1"/>
  <c r="AD33" i="1"/>
  <c r="AC33" i="1"/>
  <c r="AB33" i="1"/>
  <c r="AA33" i="1"/>
  <c r="Z33" i="1"/>
  <c r="Y33" i="1"/>
  <c r="X33" i="1"/>
  <c r="W33" i="1"/>
  <c r="V33" i="1"/>
  <c r="U33" i="1"/>
  <c r="W30" i="1"/>
  <c r="W27" i="1"/>
  <c r="H31" i="1"/>
  <c r="J31" i="1"/>
  <c r="J28" i="1"/>
  <c r="U36" i="1"/>
  <c r="V36" i="1"/>
  <c r="W36" i="1"/>
  <c r="X36" i="1"/>
  <c r="Y36" i="1"/>
  <c r="Z36" i="1"/>
  <c r="AA36" i="1"/>
  <c r="AB36" i="1"/>
  <c r="AC36" i="1"/>
  <c r="AD36" i="1"/>
  <c r="AE36" i="1"/>
  <c r="AF36" i="1"/>
  <c r="Z30" i="1"/>
  <c r="Y30" i="1"/>
  <c r="X30" i="1"/>
  <c r="V30" i="1"/>
  <c r="U30" i="1"/>
  <c r="Z27" i="1"/>
  <c r="Y27" i="1"/>
  <c r="X27" i="1"/>
  <c r="V27" i="1"/>
  <c r="U27" i="1"/>
  <c r="Z24" i="1"/>
  <c r="Y24" i="1"/>
  <c r="X24" i="1"/>
  <c r="W24" i="1"/>
  <c r="V24" i="1"/>
  <c r="U24" i="1"/>
  <c r="AF21" i="1"/>
  <c r="AE21" i="1"/>
  <c r="AD21" i="1"/>
  <c r="AC21" i="1"/>
  <c r="AB21" i="1"/>
  <c r="AA21" i="1"/>
  <c r="Z21" i="1"/>
  <c r="Y21" i="1"/>
  <c r="X21" i="1"/>
  <c r="W21" i="1"/>
  <c r="V21" i="1"/>
  <c r="U21" i="1"/>
  <c r="AF18" i="1"/>
  <c r="AE18" i="1"/>
  <c r="AD18" i="1"/>
  <c r="AC18" i="1"/>
  <c r="AB18" i="1"/>
  <c r="AA18" i="1"/>
  <c r="Z18" i="1"/>
  <c r="Y18" i="1"/>
  <c r="X18" i="1"/>
  <c r="W18" i="1"/>
  <c r="V18" i="1"/>
  <c r="U18" i="1"/>
  <c r="AF15" i="1"/>
  <c r="AE15" i="1"/>
  <c r="AD15" i="1"/>
  <c r="AC15" i="1"/>
  <c r="AB15" i="1"/>
  <c r="AA15" i="1"/>
  <c r="Z15" i="1"/>
  <c r="Y15" i="1"/>
  <c r="X15" i="1"/>
  <c r="W15" i="1"/>
  <c r="V15" i="1"/>
  <c r="U15" i="1"/>
  <c r="AF12" i="1"/>
  <c r="AE12" i="1"/>
  <c r="AD12" i="1"/>
  <c r="AC12" i="1"/>
  <c r="AB12" i="1"/>
  <c r="AA12" i="1"/>
  <c r="Z12" i="1"/>
  <c r="Y12" i="1"/>
  <c r="X12" i="1"/>
  <c r="W12" i="1"/>
  <c r="V12" i="1"/>
  <c r="U12" i="1"/>
  <c r="AF9" i="1"/>
  <c r="AE9" i="1"/>
  <c r="AD9" i="1"/>
  <c r="AC9" i="1"/>
  <c r="AB9" i="1"/>
  <c r="AA9" i="1"/>
  <c r="Z9" i="1"/>
  <c r="Y9" i="1"/>
  <c r="X9" i="1"/>
  <c r="W9" i="1"/>
  <c r="V9" i="1"/>
  <c r="U9" i="1"/>
  <c r="AF6" i="1"/>
  <c r="AE6" i="1"/>
  <c r="AD6" i="1"/>
  <c r="AC6" i="1"/>
  <c r="AB6" i="1"/>
  <c r="AA6" i="1"/>
  <c r="Z6" i="1"/>
  <c r="Y6" i="1"/>
  <c r="X6" i="1"/>
  <c r="W6" i="1"/>
  <c r="V6" i="1"/>
  <c r="U6" i="1"/>
  <c r="Z3" i="1"/>
  <c r="Y3" i="1"/>
  <c r="X3" i="1"/>
  <c r="W3" i="1"/>
  <c r="V3" i="1"/>
  <c r="U3" i="1"/>
  <c r="T36" i="1"/>
  <c r="S36" i="1"/>
  <c r="R36" i="1"/>
  <c r="T33" i="1"/>
  <c r="S33" i="1"/>
  <c r="R33" i="1"/>
  <c r="T30" i="1"/>
  <c r="S30" i="1"/>
  <c r="R30" i="1"/>
  <c r="T27" i="1"/>
  <c r="S27" i="1"/>
  <c r="R27" i="1"/>
  <c r="T24" i="1"/>
  <c r="S24" i="1"/>
  <c r="R24" i="1"/>
  <c r="T21" i="1"/>
  <c r="S21" i="1"/>
  <c r="R21" i="1"/>
  <c r="T18" i="1"/>
  <c r="S18" i="1"/>
  <c r="R18" i="1"/>
  <c r="T15" i="1"/>
  <c r="S15" i="1"/>
  <c r="R15" i="1"/>
  <c r="T12" i="1"/>
  <c r="S12" i="1"/>
  <c r="R12" i="1"/>
  <c r="T9" i="1"/>
  <c r="S9" i="1"/>
  <c r="R9" i="1"/>
  <c r="T6" i="1"/>
  <c r="S6" i="1"/>
  <c r="R6" i="1"/>
  <c r="AF3" i="1"/>
  <c r="AE3" i="1"/>
  <c r="AD3" i="1"/>
  <c r="AC3" i="1"/>
  <c r="AB3" i="1"/>
  <c r="AA3" i="1"/>
  <c r="W1" i="1"/>
  <c r="V1" i="1"/>
  <c r="U1" i="1"/>
  <c r="T3" i="1"/>
  <c r="S3" i="1"/>
  <c r="R3" i="1"/>
  <c r="N37" i="1"/>
  <c r="L37" i="1"/>
  <c r="H37" i="1"/>
  <c r="J37" i="1" s="1"/>
  <c r="P37" i="1" s="1"/>
  <c r="L36" i="1"/>
  <c r="N36" i="1" s="1"/>
  <c r="O36" i="1" s="1"/>
  <c r="J36" i="1"/>
  <c r="P36" i="1" s="1"/>
  <c r="H36" i="1"/>
  <c r="N35" i="1"/>
  <c r="O35" i="1" s="1"/>
  <c r="J35" i="1"/>
  <c r="P35" i="1" s="1"/>
  <c r="L34" i="1"/>
  <c r="N34" i="1" s="1"/>
  <c r="H34" i="1"/>
  <c r="J34" i="1" s="1"/>
  <c r="L33" i="1"/>
  <c r="N33" i="1" s="1"/>
  <c r="H33" i="1"/>
  <c r="J33" i="1" s="1"/>
  <c r="N32" i="1"/>
  <c r="O32" i="1" s="1"/>
  <c r="J32" i="1"/>
  <c r="L31" i="1"/>
  <c r="N31" i="1" s="1"/>
  <c r="L30" i="1"/>
  <c r="N30" i="1" s="1"/>
  <c r="H30" i="1"/>
  <c r="J30" i="1" s="1"/>
  <c r="N29" i="1"/>
  <c r="J29" i="1"/>
  <c r="P29" i="1" s="1"/>
  <c r="AD30" i="1" s="1"/>
  <c r="L28" i="1"/>
  <c r="N28" i="1" s="1"/>
  <c r="H28" i="1"/>
  <c r="L27" i="1"/>
  <c r="N27" i="1" s="1"/>
  <c r="H27" i="1"/>
  <c r="J27" i="1" s="1"/>
  <c r="N26" i="1"/>
  <c r="J26" i="1"/>
  <c r="L25" i="1"/>
  <c r="N25" i="1" s="1"/>
  <c r="H25" i="1"/>
  <c r="J25" i="1" s="1"/>
  <c r="L24" i="1"/>
  <c r="N24" i="1" s="1"/>
  <c r="H24" i="1"/>
  <c r="J24" i="1" s="1"/>
  <c r="N23" i="1"/>
  <c r="J23" i="1"/>
  <c r="L22" i="1"/>
  <c r="N22" i="1" s="1"/>
  <c r="H22" i="1"/>
  <c r="J22" i="1" s="1"/>
  <c r="L21" i="1"/>
  <c r="N21" i="1" s="1"/>
  <c r="H21" i="1"/>
  <c r="J21" i="1" s="1"/>
  <c r="N20" i="1"/>
  <c r="J20" i="1"/>
  <c r="L7" i="1"/>
  <c r="N7" i="1" s="1"/>
  <c r="H7" i="1"/>
  <c r="J7" i="1" s="1"/>
  <c r="L6" i="1"/>
  <c r="N6" i="1" s="1"/>
  <c r="H6" i="1"/>
  <c r="J6" i="1" s="1"/>
  <c r="N5" i="1"/>
  <c r="J5" i="1"/>
  <c r="L4" i="1"/>
  <c r="N4" i="1" s="1"/>
  <c r="H4" i="1"/>
  <c r="J4" i="1" s="1"/>
  <c r="L3" i="1"/>
  <c r="N3" i="1" s="1"/>
  <c r="H3" i="1"/>
  <c r="J3" i="1" s="1"/>
  <c r="N2" i="1"/>
  <c r="O2" i="1" s="1"/>
  <c r="J2" i="1"/>
  <c r="L19" i="1"/>
  <c r="N19" i="1" s="1"/>
  <c r="H19" i="1"/>
  <c r="J19" i="1" s="1"/>
  <c r="L18" i="1"/>
  <c r="N18" i="1" s="1"/>
  <c r="H18" i="1"/>
  <c r="J18" i="1" s="1"/>
  <c r="N17" i="1"/>
  <c r="J17" i="1"/>
  <c r="L16" i="1"/>
  <c r="N16" i="1" s="1"/>
  <c r="H16" i="1"/>
  <c r="J16" i="1" s="1"/>
  <c r="L15" i="1"/>
  <c r="N15" i="1" s="1"/>
  <c r="H15" i="1"/>
  <c r="J15" i="1" s="1"/>
  <c r="N14" i="1"/>
  <c r="J14" i="1"/>
  <c r="L13" i="1"/>
  <c r="N13" i="1" s="1"/>
  <c r="H13" i="1"/>
  <c r="J13" i="1" s="1"/>
  <c r="L12" i="1"/>
  <c r="N12" i="1" s="1"/>
  <c r="H12" i="1"/>
  <c r="J12" i="1" s="1"/>
  <c r="N11" i="1"/>
  <c r="J11" i="1"/>
  <c r="L10" i="1"/>
  <c r="N10" i="1" s="1"/>
  <c r="H10" i="1"/>
  <c r="J10" i="1" s="1"/>
  <c r="L9" i="1"/>
  <c r="N9" i="1" s="1"/>
  <c r="H9" i="1"/>
  <c r="J9" i="1" s="1"/>
  <c r="N8" i="1"/>
  <c r="J8" i="1"/>
  <c r="P34" i="1" l="1"/>
  <c r="P32" i="1"/>
  <c r="O34" i="1"/>
  <c r="O33" i="1"/>
  <c r="P30" i="1"/>
  <c r="AE30" i="1" s="1"/>
  <c r="P31" i="1"/>
  <c r="AF30" i="1" s="1"/>
  <c r="O29" i="1"/>
  <c r="AA30" i="1" s="1"/>
  <c r="O30" i="1"/>
  <c r="AB30" i="1" s="1"/>
  <c r="P28" i="1"/>
  <c r="AF27" i="1" s="1"/>
  <c r="P26" i="1"/>
  <c r="AD27" i="1" s="1"/>
  <c r="P27" i="1"/>
  <c r="AE27" i="1" s="1"/>
  <c r="O27" i="1"/>
  <c r="AB27" i="1" s="1"/>
  <c r="O26" i="1"/>
  <c r="AA27" i="1" s="1"/>
  <c r="P25" i="1"/>
  <c r="AF24" i="1" s="1"/>
  <c r="O24" i="1"/>
  <c r="AB24" i="1" s="1"/>
  <c r="P22" i="1"/>
  <c r="P33" i="1"/>
  <c r="O37" i="1"/>
  <c r="O28" i="1"/>
  <c r="AC27" i="1" s="1"/>
  <c r="O31" i="1"/>
  <c r="AC30" i="1" s="1"/>
  <c r="P23" i="1"/>
  <c r="AD24" i="1" s="1"/>
  <c r="P20" i="1"/>
  <c r="P21" i="1"/>
  <c r="O20" i="1"/>
  <c r="O23" i="1"/>
  <c r="AA24" i="1" s="1"/>
  <c r="O22" i="1"/>
  <c r="O25" i="1"/>
  <c r="AC24" i="1" s="1"/>
  <c r="P24" i="1"/>
  <c r="AE24" i="1" s="1"/>
  <c r="O21" i="1"/>
  <c r="P2" i="1"/>
  <c r="P5" i="1"/>
  <c r="P4" i="1"/>
  <c r="P6" i="1"/>
  <c r="P7" i="1"/>
  <c r="O3" i="1"/>
  <c r="O6" i="1"/>
  <c r="O5" i="1"/>
  <c r="P3" i="1"/>
  <c r="O4" i="1"/>
  <c r="O7" i="1"/>
  <c r="P14" i="1"/>
  <c r="P17" i="1"/>
  <c r="P16" i="1"/>
  <c r="P19" i="1"/>
  <c r="O17" i="1"/>
  <c r="O14" i="1"/>
  <c r="O15" i="1"/>
  <c r="O18" i="1"/>
  <c r="O19" i="1"/>
  <c r="O16" i="1"/>
  <c r="P15" i="1"/>
  <c r="P18" i="1"/>
  <c r="P13" i="1"/>
  <c r="P12" i="1"/>
  <c r="P11" i="1"/>
  <c r="P10" i="1"/>
  <c r="O8" i="1"/>
  <c r="O12" i="1"/>
  <c r="O13" i="1"/>
  <c r="O11" i="1"/>
  <c r="P8" i="1"/>
  <c r="O10" i="1"/>
  <c r="P9" i="1"/>
  <c r="O9" i="1"/>
</calcChain>
</file>

<file path=xl/sharedStrings.xml><?xml version="1.0" encoding="utf-8"?>
<sst xmlns="http://schemas.openxmlformats.org/spreadsheetml/2006/main" count="76" uniqueCount="22">
  <si>
    <t>day_start</t>
  </si>
  <si>
    <t>day_end</t>
  </si>
  <si>
    <t>surv_start</t>
  </si>
  <si>
    <t>surv_end</t>
  </si>
  <si>
    <t>vaccinated</t>
  </si>
  <si>
    <t>death_rate_period</t>
  </si>
  <si>
    <t>0,9986169434450136</t>
  </si>
  <si>
    <t>VE_RRR</t>
  </si>
  <si>
    <t>VE_ARR</t>
  </si>
  <si>
    <t>period</t>
  </si>
  <si>
    <t>0,8417001573477388</t>
  </si>
  <si>
    <t>0,9746907331870104</t>
  </si>
  <si>
    <t>0,7808857575241284</t>
  </si>
  <si>
    <t>0,9218606453595788</t>
  </si>
  <si>
    <t>WLZ</t>
  </si>
  <si>
    <t>0,7834803528468327</t>
  </si>
  <si>
    <t>0,9867236924173572</t>
  </si>
  <si>
    <t>0,2919005613472336</t>
  </si>
  <si>
    <t>0,8037957765303392</t>
  </si>
  <si>
    <t>0,5241913926757545</t>
  </si>
  <si>
    <t>UNVACCINATED</t>
  </si>
  <si>
    <t>VACCINATED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</si>
</sst>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quotePrefix="1" applyFill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right"/>
    </xf>
    <xf numFmtId="165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86CC-B2CE-41ED-BA2B-F111D2FE9702}">
  <dimension ref="A1:AF50"/>
  <sheetViews>
    <sheetView tabSelected="1" topLeftCell="D1" zoomScale="90" zoomScaleNormal="90" workbookViewId="0">
      <selection activeCell="O7" sqref="O7"/>
    </sheetView>
  </sheetViews>
  <sheetFormatPr defaultRowHeight="14.5" x14ac:dyDescent="0.35"/>
  <cols>
    <col min="7" max="7" width="10.81640625" bestFit="1" customWidth="1"/>
    <col min="8" max="8" width="15.54296875" bestFit="1" customWidth="1"/>
    <col min="9" max="9" width="10.81640625" bestFit="1" customWidth="1"/>
    <col min="12" max="12" width="15.54296875" bestFit="1" customWidth="1"/>
    <col min="13" max="14" width="11.81640625" bestFit="1" customWidth="1"/>
    <col min="27" max="28" width="10.81640625" bestFit="1" customWidth="1"/>
    <col min="29" max="29" width="11.453125" bestFit="1" customWidth="1"/>
  </cols>
  <sheetData>
    <row r="1" spans="1:32" x14ac:dyDescent="0.35">
      <c r="C1" t="s">
        <v>14</v>
      </c>
      <c r="D1" t="s">
        <v>9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5</v>
      </c>
      <c r="K1" t="s">
        <v>4</v>
      </c>
      <c r="L1" t="s">
        <v>2</v>
      </c>
      <c r="M1" t="s">
        <v>3</v>
      </c>
      <c r="N1" t="s">
        <v>5</v>
      </c>
      <c r="O1" t="s">
        <v>7</v>
      </c>
      <c r="P1" t="s">
        <v>8</v>
      </c>
      <c r="U1">
        <f>G2</f>
        <v>28</v>
      </c>
      <c r="V1">
        <f>G3</f>
        <v>365</v>
      </c>
      <c r="W1">
        <f>G4</f>
        <v>1000</v>
      </c>
      <c r="X1">
        <v>28</v>
      </c>
      <c r="Y1">
        <v>365</v>
      </c>
      <c r="Z1">
        <v>1000</v>
      </c>
      <c r="AA1">
        <v>28</v>
      </c>
      <c r="AB1">
        <v>365</v>
      </c>
      <c r="AC1">
        <v>1000</v>
      </c>
      <c r="AD1">
        <v>28</v>
      </c>
      <c r="AE1">
        <v>365</v>
      </c>
      <c r="AF1">
        <v>1000</v>
      </c>
    </row>
    <row r="2" spans="1:32" x14ac:dyDescent="0.35">
      <c r="A2" s="1">
        <v>1930</v>
      </c>
      <c r="B2" s="1">
        <v>1940</v>
      </c>
      <c r="C2" s="1">
        <v>0</v>
      </c>
      <c r="D2">
        <v>1</v>
      </c>
      <c r="E2">
        <v>0</v>
      </c>
      <c r="F2">
        <v>0</v>
      </c>
      <c r="G2">
        <v>28</v>
      </c>
      <c r="H2">
        <v>1</v>
      </c>
      <c r="I2" s="1">
        <v>0.88673999999999997</v>
      </c>
      <c r="J2">
        <f t="shared" ref="J2:J29" si="0">H2-I2</f>
        <v>0.11326000000000003</v>
      </c>
      <c r="K2">
        <v>1</v>
      </c>
      <c r="L2">
        <v>1</v>
      </c>
      <c r="M2" s="2">
        <v>0.99643899999999996</v>
      </c>
      <c r="N2">
        <f t="shared" ref="N2:N37" si="1">L2-M2</f>
        <v>3.5610000000000364E-3</v>
      </c>
      <c r="O2">
        <f t="shared" ref="O2:O37" si="2">(1-N2/J2)*100</f>
        <v>96.855906763199684</v>
      </c>
      <c r="P2">
        <f t="shared" ref="P2:P37" si="3">(J2-N2)*100</f>
        <v>10.969899999999999</v>
      </c>
      <c r="U2" t="s">
        <v>20</v>
      </c>
      <c r="X2" t="s">
        <v>21</v>
      </c>
      <c r="AA2" t="s">
        <v>7</v>
      </c>
      <c r="AD2" t="s">
        <v>8</v>
      </c>
    </row>
    <row r="3" spans="1:32" x14ac:dyDescent="0.35">
      <c r="D3">
        <v>2</v>
      </c>
      <c r="F3">
        <v>28</v>
      </c>
      <c r="G3">
        <v>365</v>
      </c>
      <c r="H3">
        <f>I2</f>
        <v>0.88673999999999997</v>
      </c>
      <c r="I3" s="2">
        <v>0.68603999999999998</v>
      </c>
      <c r="J3">
        <f t="shared" si="0"/>
        <v>0.20069999999999999</v>
      </c>
      <c r="L3">
        <f>M2</f>
        <v>0.99643899999999996</v>
      </c>
      <c r="M3" s="2">
        <v>0.93</v>
      </c>
      <c r="N3">
        <f t="shared" si="1"/>
        <v>6.6438999999999915E-2</v>
      </c>
      <c r="O3">
        <f t="shared" si="2"/>
        <v>66.896362730443485</v>
      </c>
      <c r="P3">
        <f t="shared" si="3"/>
        <v>13.426100000000007</v>
      </c>
      <c r="R3">
        <f>A2</f>
        <v>1930</v>
      </c>
      <c r="S3">
        <f>B2</f>
        <v>1940</v>
      </c>
      <c r="T3">
        <f>C2</f>
        <v>0</v>
      </c>
      <c r="U3" s="3">
        <f>I2*100</f>
        <v>88.673999999999992</v>
      </c>
      <c r="V3" s="3">
        <f>I3*100</f>
        <v>68.603999999999999</v>
      </c>
      <c r="W3" s="3">
        <f>I4*100</f>
        <v>54.279999999999994</v>
      </c>
      <c r="X3" s="3">
        <f>M2*100</f>
        <v>99.643900000000002</v>
      </c>
      <c r="Y3" s="3">
        <f>M3*100</f>
        <v>93</v>
      </c>
      <c r="Z3" s="3">
        <f>M4*100</f>
        <v>78.24799999999999</v>
      </c>
      <c r="AA3" s="3">
        <f>O2</f>
        <v>96.855906763199684</v>
      </c>
      <c r="AB3" s="3">
        <f>O3</f>
        <v>66.896362730443485</v>
      </c>
      <c r="AC3" s="3">
        <f>O4</f>
        <v>-2.9879921809550902</v>
      </c>
      <c r="AD3" s="3">
        <f>P2</f>
        <v>10.969899999999999</v>
      </c>
      <c r="AE3" s="3">
        <f>P3</f>
        <v>13.426100000000007</v>
      </c>
      <c r="AF3" s="3">
        <f>P4</f>
        <v>-0.42800000000000615</v>
      </c>
    </row>
    <row r="4" spans="1:32" x14ac:dyDescent="0.35">
      <c r="D4">
        <v>3</v>
      </c>
      <c r="F4">
        <v>365</v>
      </c>
      <c r="G4">
        <v>1000</v>
      </c>
      <c r="H4">
        <f>I3</f>
        <v>0.68603999999999998</v>
      </c>
      <c r="I4" s="2">
        <v>0.54279999999999995</v>
      </c>
      <c r="J4">
        <f t="shared" si="0"/>
        <v>0.14324000000000003</v>
      </c>
      <c r="L4">
        <f>M3</f>
        <v>0.93</v>
      </c>
      <c r="M4" s="2">
        <v>0.78247999999999995</v>
      </c>
      <c r="N4">
        <f t="shared" si="1"/>
        <v>0.1475200000000001</v>
      </c>
      <c r="O4">
        <f t="shared" si="2"/>
        <v>-2.9879921809550902</v>
      </c>
      <c r="P4">
        <f t="shared" si="3"/>
        <v>-0.42800000000000615</v>
      </c>
    </row>
    <row r="5" spans="1:32" x14ac:dyDescent="0.35">
      <c r="A5" s="1">
        <v>1930</v>
      </c>
      <c r="B5" s="1">
        <v>1940</v>
      </c>
      <c r="C5" s="1">
        <v>1</v>
      </c>
      <c r="D5">
        <v>1</v>
      </c>
      <c r="E5">
        <v>0</v>
      </c>
      <c r="F5">
        <v>0</v>
      </c>
      <c r="G5">
        <v>28</v>
      </c>
      <c r="H5">
        <v>1</v>
      </c>
      <c r="I5" s="2">
        <v>0.71509999999999996</v>
      </c>
      <c r="J5">
        <f t="shared" si="0"/>
        <v>0.28490000000000004</v>
      </c>
      <c r="K5">
        <v>1</v>
      </c>
      <c r="L5">
        <v>1</v>
      </c>
      <c r="M5" s="2">
        <v>0.97970000000000002</v>
      </c>
      <c r="N5">
        <f t="shared" si="1"/>
        <v>2.0299999999999985E-2</v>
      </c>
      <c r="O5">
        <f t="shared" si="2"/>
        <v>92.874692874692883</v>
      </c>
      <c r="P5">
        <f t="shared" si="3"/>
        <v>26.460000000000004</v>
      </c>
      <c r="U5" t="s">
        <v>20</v>
      </c>
      <c r="X5" t="s">
        <v>21</v>
      </c>
      <c r="AA5" t="s">
        <v>7</v>
      </c>
      <c r="AD5" t="s">
        <v>8</v>
      </c>
    </row>
    <row r="6" spans="1:32" x14ac:dyDescent="0.35">
      <c r="D6">
        <v>2</v>
      </c>
      <c r="F6">
        <v>28</v>
      </c>
      <c r="G6">
        <v>365</v>
      </c>
      <c r="H6">
        <f>I5</f>
        <v>0.71509999999999996</v>
      </c>
      <c r="I6" s="1">
        <v>0.34039999999999998</v>
      </c>
      <c r="J6">
        <f t="shared" si="0"/>
        <v>0.37469999999999998</v>
      </c>
      <c r="L6">
        <f>M5</f>
        <v>0.97970000000000002</v>
      </c>
      <c r="M6" s="2">
        <v>0.72104999999999997</v>
      </c>
      <c r="N6">
        <f t="shared" si="1"/>
        <v>0.25865000000000005</v>
      </c>
      <c r="O6">
        <f t="shared" si="2"/>
        <v>30.97144382172403</v>
      </c>
      <c r="P6">
        <f t="shared" si="3"/>
        <v>11.604999999999993</v>
      </c>
      <c r="R6">
        <f>A5</f>
        <v>1930</v>
      </c>
      <c r="S6">
        <f>B5</f>
        <v>1940</v>
      </c>
      <c r="T6">
        <f>C5</f>
        <v>1</v>
      </c>
      <c r="U6" s="3">
        <f>I5*100</f>
        <v>71.509999999999991</v>
      </c>
      <c r="V6" s="3">
        <f>I6*100</f>
        <v>34.04</v>
      </c>
      <c r="W6" s="3">
        <f>I7*100</f>
        <v>17.16</v>
      </c>
      <c r="X6" s="3">
        <f>M5*100</f>
        <v>97.97</v>
      </c>
      <c r="Y6" s="3">
        <f>M6*100</f>
        <v>72.10499999999999</v>
      </c>
      <c r="Z6" s="3">
        <f>M7*100</f>
        <v>37.097999999999999</v>
      </c>
      <c r="AA6" s="3">
        <f>O5</f>
        <v>92.874692874692883</v>
      </c>
      <c r="AB6" s="3">
        <f>O6</f>
        <v>30.97144382172403</v>
      </c>
      <c r="AC6" s="3">
        <f>O7</f>
        <v>-107.38744075829385</v>
      </c>
      <c r="AD6" s="3">
        <f>P5</f>
        <v>26.460000000000004</v>
      </c>
      <c r="AE6" s="3">
        <f>P6</f>
        <v>11.604999999999993</v>
      </c>
      <c r="AF6" s="3">
        <f>P7</f>
        <v>-18.127000000000002</v>
      </c>
    </row>
    <row r="7" spans="1:32" x14ac:dyDescent="0.35">
      <c r="D7">
        <v>3</v>
      </c>
      <c r="F7">
        <v>365</v>
      </c>
      <c r="G7">
        <v>1000</v>
      </c>
      <c r="H7">
        <f>I6</f>
        <v>0.34039999999999998</v>
      </c>
      <c r="I7" s="2">
        <v>0.1716</v>
      </c>
      <c r="J7">
        <f t="shared" si="0"/>
        <v>0.16879999999999998</v>
      </c>
      <c r="L7">
        <f>M6</f>
        <v>0.72104999999999997</v>
      </c>
      <c r="M7" s="2">
        <v>0.37097999999999998</v>
      </c>
      <c r="N7">
        <f t="shared" si="1"/>
        <v>0.35006999999999999</v>
      </c>
      <c r="O7">
        <f t="shared" si="2"/>
        <v>-107.38744075829385</v>
      </c>
      <c r="P7">
        <f t="shared" si="3"/>
        <v>-18.127000000000002</v>
      </c>
    </row>
    <row r="8" spans="1:32" x14ac:dyDescent="0.35">
      <c r="A8" s="1">
        <v>1940</v>
      </c>
      <c r="B8" s="1">
        <v>1950</v>
      </c>
      <c r="C8" s="1">
        <v>0</v>
      </c>
      <c r="D8">
        <v>1</v>
      </c>
      <c r="E8">
        <v>0</v>
      </c>
      <c r="F8">
        <v>0</v>
      </c>
      <c r="G8">
        <v>28</v>
      </c>
      <c r="H8">
        <v>1</v>
      </c>
      <c r="I8" s="1">
        <v>0.91412020565449603</v>
      </c>
      <c r="J8">
        <f t="shared" si="0"/>
        <v>8.5879794345503968E-2</v>
      </c>
      <c r="K8">
        <v>1</v>
      </c>
      <c r="L8">
        <v>1</v>
      </c>
      <c r="M8" s="2" t="s">
        <v>6</v>
      </c>
      <c r="N8">
        <f t="shared" si="1"/>
        <v>1.3830565549870499E-3</v>
      </c>
      <c r="O8">
        <f t="shared" si="2"/>
        <v>98.389543704048876</v>
      </c>
      <c r="P8">
        <f t="shared" si="3"/>
        <v>8.4496737790516914</v>
      </c>
      <c r="U8" t="s">
        <v>20</v>
      </c>
      <c r="X8" t="s">
        <v>21</v>
      </c>
      <c r="AA8" t="s">
        <v>7</v>
      </c>
      <c r="AD8" t="s">
        <v>8</v>
      </c>
    </row>
    <row r="9" spans="1:32" x14ac:dyDescent="0.35">
      <c r="D9">
        <v>2</v>
      </c>
      <c r="F9">
        <v>28</v>
      </c>
      <c r="G9">
        <v>365</v>
      </c>
      <c r="H9">
        <f>I8</f>
        <v>0.91412020565449603</v>
      </c>
      <c r="I9" s="2" t="s">
        <v>10</v>
      </c>
      <c r="J9">
        <f t="shared" si="0"/>
        <v>7.2420048306758078E-2</v>
      </c>
      <c r="L9" t="str">
        <f>M8</f>
        <v>0,9986169434450136</v>
      </c>
      <c r="M9" s="2" t="s">
        <v>11</v>
      </c>
      <c r="N9">
        <f t="shared" si="1"/>
        <v>2.39262102580029E-2</v>
      </c>
      <c r="O9">
        <f t="shared" si="2"/>
        <v>66.961896853954244</v>
      </c>
      <c r="P9">
        <f t="shared" si="3"/>
        <v>4.8493838048755178</v>
      </c>
      <c r="R9">
        <f>A8</f>
        <v>1940</v>
      </c>
      <c r="S9">
        <f>B8</f>
        <v>1950</v>
      </c>
      <c r="T9">
        <f>C8</f>
        <v>0</v>
      </c>
      <c r="U9" s="3">
        <f>I8*100</f>
        <v>91.412020565449609</v>
      </c>
      <c r="V9" s="3">
        <f>I9*100</f>
        <v>84.170015734773798</v>
      </c>
      <c r="W9" s="3">
        <f>I10*100</f>
        <v>78.088575752412808</v>
      </c>
      <c r="X9" s="3">
        <f>M8*100</f>
        <v>99.861694344501302</v>
      </c>
      <c r="Y9" s="3">
        <f>M9*100</f>
        <v>97.469073318701007</v>
      </c>
      <c r="Z9" s="3">
        <f>M10*100</f>
        <v>92.186064535957797</v>
      </c>
      <c r="AA9" s="3">
        <f>O8</f>
        <v>98.389543704048876</v>
      </c>
      <c r="AB9" s="3">
        <f>O9</f>
        <v>66.961896853954244</v>
      </c>
      <c r="AC9" s="3">
        <f>O10</f>
        <v>13.128982641177267</v>
      </c>
      <c r="AD9" s="3">
        <f>P8</f>
        <v>8.4496737790516914</v>
      </c>
      <c r="AE9" s="3">
        <f>P9</f>
        <v>4.8493838048755178</v>
      </c>
      <c r="AF9" s="3">
        <f>P10</f>
        <v>0.79843119961778841</v>
      </c>
    </row>
    <row r="10" spans="1:32" x14ac:dyDescent="0.35">
      <c r="D10">
        <v>3</v>
      </c>
      <c r="F10">
        <v>365</v>
      </c>
      <c r="G10">
        <v>1000</v>
      </c>
      <c r="H10" t="str">
        <f>I9</f>
        <v>0,8417001573477388</v>
      </c>
      <c r="I10" s="2" t="s">
        <v>12</v>
      </c>
      <c r="J10">
        <f t="shared" si="0"/>
        <v>6.0814399823609921E-2</v>
      </c>
      <c r="L10" t="str">
        <f>M9</f>
        <v>0,9746907331870104</v>
      </c>
      <c r="M10" s="2" t="s">
        <v>13</v>
      </c>
      <c r="N10">
        <f t="shared" si="1"/>
        <v>5.2830087827432037E-2</v>
      </c>
      <c r="O10">
        <f t="shared" si="2"/>
        <v>13.128982641177267</v>
      </c>
      <c r="P10">
        <f t="shared" si="3"/>
        <v>0.79843119961778841</v>
      </c>
    </row>
    <row r="11" spans="1:32" x14ac:dyDescent="0.35">
      <c r="A11" s="1">
        <v>1940</v>
      </c>
      <c r="B11" s="1">
        <v>1950</v>
      </c>
      <c r="C11" s="1">
        <v>1</v>
      </c>
      <c r="D11">
        <v>1</v>
      </c>
      <c r="E11">
        <v>0</v>
      </c>
      <c r="F11">
        <v>0</v>
      </c>
      <c r="G11">
        <v>28</v>
      </c>
      <c r="H11">
        <v>1</v>
      </c>
      <c r="I11" s="2" t="s">
        <v>15</v>
      </c>
      <c r="J11">
        <f t="shared" si="0"/>
        <v>0.21651964715316796</v>
      </c>
      <c r="K11">
        <v>1</v>
      </c>
      <c r="L11">
        <v>1</v>
      </c>
      <c r="M11" s="2" t="s">
        <v>16</v>
      </c>
      <c r="N11">
        <f t="shared" si="1"/>
        <v>1.3276307582642977E-2</v>
      </c>
      <c r="O11">
        <f t="shared" si="2"/>
        <v>93.868312757201565</v>
      </c>
      <c r="P11">
        <f t="shared" si="3"/>
        <v>20.324333957052499</v>
      </c>
      <c r="U11" t="s">
        <v>20</v>
      </c>
      <c r="X11" t="s">
        <v>21</v>
      </c>
      <c r="AA11" t="s">
        <v>7</v>
      </c>
      <c r="AD11" t="s">
        <v>8</v>
      </c>
    </row>
    <row r="12" spans="1:32" x14ac:dyDescent="0.35">
      <c r="D12">
        <v>2</v>
      </c>
      <c r="F12">
        <v>28</v>
      </c>
      <c r="G12">
        <v>365</v>
      </c>
      <c r="H12" t="str">
        <f>I11</f>
        <v>0,7834803528468327</v>
      </c>
      <c r="I12" s="1">
        <v>0.44747393744988001</v>
      </c>
      <c r="J12">
        <f t="shared" si="0"/>
        <v>0.33600641539695203</v>
      </c>
      <c r="L12" t="str">
        <f>M11</f>
        <v>0,9867236924173572</v>
      </c>
      <c r="M12" s="2" t="s">
        <v>18</v>
      </c>
      <c r="N12">
        <f t="shared" si="1"/>
        <v>0.18292791588701807</v>
      </c>
      <c r="O12">
        <f t="shared" si="2"/>
        <v>45.558207372049651</v>
      </c>
      <c r="P12">
        <f t="shared" si="3"/>
        <v>15.307849950993397</v>
      </c>
      <c r="R12">
        <f>A11</f>
        <v>1940</v>
      </c>
      <c r="S12">
        <f>B11</f>
        <v>1950</v>
      </c>
      <c r="T12">
        <f>C11</f>
        <v>1</v>
      </c>
      <c r="U12" s="3">
        <f>I11*100</f>
        <v>78.348035284683206</v>
      </c>
      <c r="V12" s="3">
        <f>I12*100</f>
        <v>44.747393744988003</v>
      </c>
      <c r="W12" s="3">
        <f>I13*100</f>
        <v>29.190056134723303</v>
      </c>
      <c r="X12" s="3">
        <f>M11*100</f>
        <v>98.672369241735709</v>
      </c>
      <c r="Y12" s="3">
        <f>M12*100</f>
        <v>80.379577653033891</v>
      </c>
      <c r="Z12" s="3">
        <f>M13*100</f>
        <v>52.419139267575396</v>
      </c>
      <c r="AA12" s="3">
        <f>O11</f>
        <v>93.868312757201565</v>
      </c>
      <c r="AB12" s="3">
        <f>O12</f>
        <v>45.558207372049651</v>
      </c>
      <c r="AC12" s="3">
        <f>O13</f>
        <v>-79.725085910652595</v>
      </c>
      <c r="AD12" s="3">
        <f>P11</f>
        <v>20.324333957052499</v>
      </c>
      <c r="AE12" s="3">
        <f>P12</f>
        <v>15.307849950993397</v>
      </c>
      <c r="AF12" s="3">
        <f>P13</f>
        <v>-12.403100775193799</v>
      </c>
    </row>
    <row r="13" spans="1:32" x14ac:dyDescent="0.35">
      <c r="D13">
        <v>3</v>
      </c>
      <c r="F13">
        <v>365</v>
      </c>
      <c r="G13">
        <v>1000</v>
      </c>
      <c r="H13">
        <f>I12</f>
        <v>0.44747393744988001</v>
      </c>
      <c r="I13" s="2" t="s">
        <v>17</v>
      </c>
      <c r="J13">
        <f t="shared" si="0"/>
        <v>0.15557337610264699</v>
      </c>
      <c r="L13" t="str">
        <f>M12</f>
        <v>0,8037957765303392</v>
      </c>
      <c r="M13" s="2" t="s">
        <v>19</v>
      </c>
      <c r="N13">
        <f t="shared" si="1"/>
        <v>0.27960438385458497</v>
      </c>
      <c r="O13">
        <f t="shared" si="2"/>
        <v>-79.725085910652595</v>
      </c>
      <c r="P13">
        <f t="shared" si="3"/>
        <v>-12.403100775193799</v>
      </c>
    </row>
    <row r="14" spans="1:32" x14ac:dyDescent="0.35">
      <c r="A14" s="1">
        <v>1950</v>
      </c>
      <c r="B14" s="1">
        <v>1960</v>
      </c>
      <c r="C14" s="1">
        <v>0</v>
      </c>
      <c r="D14">
        <v>1</v>
      </c>
      <c r="E14">
        <v>0</v>
      </c>
      <c r="F14">
        <v>0</v>
      </c>
      <c r="G14">
        <v>28</v>
      </c>
      <c r="H14">
        <v>1</v>
      </c>
      <c r="I14" s="1">
        <v>0.96577550000000001</v>
      </c>
      <c r="J14">
        <f t="shared" si="0"/>
        <v>3.4224499999999991E-2</v>
      </c>
      <c r="K14">
        <v>1</v>
      </c>
      <c r="L14">
        <v>1</v>
      </c>
      <c r="M14" s="2">
        <v>0.99956160000000005</v>
      </c>
      <c r="N14">
        <f t="shared" si="1"/>
        <v>4.3839999999994994E-4</v>
      </c>
      <c r="O14">
        <f t="shared" si="2"/>
        <v>98.719046297243352</v>
      </c>
      <c r="P14">
        <f t="shared" si="3"/>
        <v>3.3786100000000041</v>
      </c>
      <c r="U14" t="s">
        <v>20</v>
      </c>
      <c r="X14" t="s">
        <v>21</v>
      </c>
      <c r="AA14" t="s">
        <v>7</v>
      </c>
      <c r="AD14" t="s">
        <v>8</v>
      </c>
    </row>
    <row r="15" spans="1:32" x14ac:dyDescent="0.35">
      <c r="D15">
        <v>2</v>
      </c>
      <c r="F15">
        <v>28</v>
      </c>
      <c r="G15">
        <v>365</v>
      </c>
      <c r="H15">
        <f>I14</f>
        <v>0.96577550000000001</v>
      </c>
      <c r="I15" s="2">
        <v>0.93853699999999995</v>
      </c>
      <c r="J15">
        <f t="shared" si="0"/>
        <v>2.7238500000000054E-2</v>
      </c>
      <c r="L15">
        <f>M14</f>
        <v>0.99956160000000005</v>
      </c>
      <c r="M15" s="2">
        <v>0.99110980000000004</v>
      </c>
      <c r="N15">
        <f t="shared" si="1"/>
        <v>8.4518000000000093E-3</v>
      </c>
      <c r="O15">
        <f t="shared" si="2"/>
        <v>68.971125429080189</v>
      </c>
      <c r="P15">
        <f t="shared" si="3"/>
        <v>1.8786700000000045</v>
      </c>
      <c r="R15">
        <f>A14</f>
        <v>1950</v>
      </c>
      <c r="S15">
        <f>B14</f>
        <v>1960</v>
      </c>
      <c r="T15">
        <f>C14</f>
        <v>0</v>
      </c>
      <c r="U15" s="3">
        <f>I14*100</f>
        <v>96.577550000000002</v>
      </c>
      <c r="V15" s="3">
        <f>I15*100</f>
        <v>93.853699999999989</v>
      </c>
      <c r="W15" s="3">
        <f>I16*100</f>
        <v>91.271799999999999</v>
      </c>
      <c r="X15" s="3">
        <f>M14*100</f>
        <v>99.956160000000011</v>
      </c>
      <c r="Y15" s="3">
        <f>M15*100</f>
        <v>99.110979999999998</v>
      </c>
      <c r="Z15" s="3">
        <f>M16*100</f>
        <v>97.220100000000002</v>
      </c>
      <c r="AA15" s="3">
        <f>O14</f>
        <v>98.719046297243352</v>
      </c>
      <c r="AB15" s="3">
        <f>O15</f>
        <v>68.971125429080189</v>
      </c>
      <c r="AC15" s="3">
        <f>O16</f>
        <v>26.764010999650978</v>
      </c>
      <c r="AD15" s="3">
        <f>P14</f>
        <v>3.3786100000000041</v>
      </c>
      <c r="AE15" s="3">
        <f>P15</f>
        <v>1.8786700000000045</v>
      </c>
      <c r="AF15" s="3">
        <f>P16</f>
        <v>0.69101999999998664</v>
      </c>
    </row>
    <row r="16" spans="1:32" x14ac:dyDescent="0.35">
      <c r="D16">
        <v>3</v>
      </c>
      <c r="F16">
        <v>365</v>
      </c>
      <c r="G16">
        <v>1000</v>
      </c>
      <c r="H16">
        <f>I15</f>
        <v>0.93853699999999995</v>
      </c>
      <c r="I16" s="2">
        <v>0.91271800000000003</v>
      </c>
      <c r="J16">
        <f t="shared" si="0"/>
        <v>2.5818999999999925E-2</v>
      </c>
      <c r="L16">
        <f>M15</f>
        <v>0.99110980000000004</v>
      </c>
      <c r="M16" s="2">
        <v>0.97220099999999998</v>
      </c>
      <c r="N16">
        <f t="shared" si="1"/>
        <v>1.8908800000000059E-2</v>
      </c>
      <c r="O16">
        <f t="shared" si="2"/>
        <v>26.764010999650978</v>
      </c>
      <c r="P16">
        <f t="shared" si="3"/>
        <v>0.69101999999998664</v>
      </c>
    </row>
    <row r="17" spans="1:32" x14ac:dyDescent="0.35">
      <c r="A17" s="1">
        <v>1950</v>
      </c>
      <c r="B17" s="1">
        <v>1960</v>
      </c>
      <c r="C17" s="1">
        <v>1</v>
      </c>
      <c r="D17">
        <v>1</v>
      </c>
      <c r="E17">
        <v>0</v>
      </c>
      <c r="F17">
        <v>0</v>
      </c>
      <c r="G17">
        <v>28</v>
      </c>
      <c r="H17">
        <v>1</v>
      </c>
      <c r="I17" s="2">
        <v>0.86982000000000004</v>
      </c>
      <c r="J17">
        <f t="shared" si="0"/>
        <v>0.13017999999999996</v>
      </c>
      <c r="K17">
        <v>1</v>
      </c>
      <c r="L17">
        <v>1</v>
      </c>
      <c r="M17" s="2">
        <v>0.99360000000000004</v>
      </c>
      <c r="N17">
        <f t="shared" si="1"/>
        <v>6.3999999999999613E-3</v>
      </c>
      <c r="O17">
        <f t="shared" si="2"/>
        <v>95.083730219695838</v>
      </c>
      <c r="P17">
        <f t="shared" si="3"/>
        <v>12.378</v>
      </c>
      <c r="U17" t="s">
        <v>20</v>
      </c>
      <c r="X17" t="s">
        <v>21</v>
      </c>
      <c r="AA17" t="s">
        <v>7</v>
      </c>
      <c r="AD17" t="s">
        <v>8</v>
      </c>
    </row>
    <row r="18" spans="1:32" x14ac:dyDescent="0.35">
      <c r="D18">
        <v>2</v>
      </c>
      <c r="F18">
        <v>28</v>
      </c>
      <c r="G18">
        <v>365</v>
      </c>
      <c r="H18">
        <f>I17</f>
        <v>0.86982000000000004</v>
      </c>
      <c r="I18" s="1">
        <v>0.64890999999999999</v>
      </c>
      <c r="J18">
        <f t="shared" si="0"/>
        <v>0.22091000000000005</v>
      </c>
      <c r="L18">
        <f>M17</f>
        <v>0.99360000000000004</v>
      </c>
      <c r="M18" s="2">
        <v>0.90170899999999998</v>
      </c>
      <c r="N18">
        <f t="shared" si="1"/>
        <v>9.1891000000000056E-2</v>
      </c>
      <c r="O18">
        <f t="shared" si="2"/>
        <v>58.403422208139041</v>
      </c>
      <c r="P18">
        <f t="shared" si="3"/>
        <v>12.901899999999999</v>
      </c>
      <c r="R18">
        <f>A17</f>
        <v>1950</v>
      </c>
      <c r="S18">
        <f>B17</f>
        <v>1960</v>
      </c>
      <c r="T18">
        <f>C17</f>
        <v>1</v>
      </c>
      <c r="U18" s="3">
        <f>I17*100</f>
        <v>86.981999999999999</v>
      </c>
      <c r="V18" s="3">
        <f>I18*100</f>
        <v>64.891000000000005</v>
      </c>
      <c r="W18" s="3">
        <f>I19*100</f>
        <v>51.800000000000004</v>
      </c>
      <c r="X18" s="3">
        <f>M17*100</f>
        <v>99.36</v>
      </c>
      <c r="Y18" s="3">
        <f>M18*100</f>
        <v>90.170900000000003</v>
      </c>
      <c r="Z18" s="3">
        <f>M19*100</f>
        <v>72.780999999999992</v>
      </c>
      <c r="AA18" s="3">
        <f>O17</f>
        <v>95.083730219695838</v>
      </c>
      <c r="AB18" s="3">
        <f>O18</f>
        <v>58.403422208139041</v>
      </c>
      <c r="AC18" s="3">
        <f>O19</f>
        <v>-32.838591398670893</v>
      </c>
      <c r="AD18" s="3">
        <f>P17</f>
        <v>12.378</v>
      </c>
      <c r="AE18" s="3">
        <f>P18</f>
        <v>12.901899999999999</v>
      </c>
      <c r="AF18" s="3">
        <f>P19</f>
        <v>-4.2989000000000051</v>
      </c>
    </row>
    <row r="19" spans="1:32" x14ac:dyDescent="0.35">
      <c r="D19">
        <v>3</v>
      </c>
      <c r="F19">
        <v>365</v>
      </c>
      <c r="G19">
        <v>1000</v>
      </c>
      <c r="H19">
        <f>I18</f>
        <v>0.64890999999999999</v>
      </c>
      <c r="I19" s="2">
        <v>0.51800000000000002</v>
      </c>
      <c r="J19">
        <f t="shared" si="0"/>
        <v>0.13090999999999997</v>
      </c>
      <c r="L19">
        <f>M18</f>
        <v>0.90170899999999998</v>
      </c>
      <c r="M19" s="2">
        <v>0.72780999999999996</v>
      </c>
      <c r="N19">
        <f t="shared" si="1"/>
        <v>0.17389900000000003</v>
      </c>
      <c r="O19">
        <f t="shared" si="2"/>
        <v>-32.838591398670893</v>
      </c>
      <c r="P19">
        <f t="shared" si="3"/>
        <v>-4.2989000000000051</v>
      </c>
    </row>
    <row r="20" spans="1:32" x14ac:dyDescent="0.35">
      <c r="A20" s="1">
        <v>1960</v>
      </c>
      <c r="B20" s="1">
        <v>1980</v>
      </c>
      <c r="C20" s="1">
        <v>0</v>
      </c>
      <c r="D20">
        <v>1</v>
      </c>
      <c r="E20">
        <v>0</v>
      </c>
      <c r="F20">
        <v>0</v>
      </c>
      <c r="G20">
        <v>28</v>
      </c>
      <c r="H20">
        <v>1</v>
      </c>
      <c r="I20" s="1">
        <v>0.99511799999999995</v>
      </c>
      <c r="J20">
        <f t="shared" si="0"/>
        <v>4.882000000000053E-3</v>
      </c>
      <c r="K20">
        <v>1</v>
      </c>
      <c r="L20">
        <v>1</v>
      </c>
      <c r="M20" s="2">
        <v>0.99990800000000002</v>
      </c>
      <c r="N20">
        <f t="shared" si="1"/>
        <v>9.1999999999980986E-5</v>
      </c>
      <c r="O20">
        <f t="shared" si="2"/>
        <v>98.115526423597302</v>
      </c>
      <c r="P20">
        <f t="shared" si="3"/>
        <v>0.4790000000000072</v>
      </c>
      <c r="U20" t="s">
        <v>20</v>
      </c>
      <c r="X20" t="s">
        <v>21</v>
      </c>
      <c r="AA20" t="s">
        <v>7</v>
      </c>
      <c r="AD20" t="s">
        <v>8</v>
      </c>
    </row>
    <row r="21" spans="1:32" x14ac:dyDescent="0.35">
      <c r="D21">
        <v>2</v>
      </c>
      <c r="F21">
        <v>28</v>
      </c>
      <c r="G21">
        <v>365</v>
      </c>
      <c r="H21">
        <f>I20</f>
        <v>0.99511799999999995</v>
      </c>
      <c r="I21" s="2">
        <v>0.98847759999999996</v>
      </c>
      <c r="J21">
        <f t="shared" si="0"/>
        <v>6.6403999999999908E-3</v>
      </c>
      <c r="L21">
        <f>M20</f>
        <v>0.99990800000000002</v>
      </c>
      <c r="M21" s="2">
        <v>0.99785000000000001</v>
      </c>
      <c r="N21">
        <f t="shared" si="1"/>
        <v>2.0580000000000043E-3</v>
      </c>
      <c r="O21">
        <f t="shared" si="2"/>
        <v>69.007891090898028</v>
      </c>
      <c r="P21">
        <f t="shared" si="3"/>
        <v>0.45823999999999865</v>
      </c>
      <c r="R21">
        <f>A20</f>
        <v>1960</v>
      </c>
      <c r="S21">
        <f>B20</f>
        <v>1980</v>
      </c>
      <c r="T21">
        <f>C20</f>
        <v>0</v>
      </c>
      <c r="U21" s="3">
        <f>I20*100</f>
        <v>99.511799999999994</v>
      </c>
      <c r="V21" s="3">
        <f>I21*100</f>
        <v>98.847759999999994</v>
      </c>
      <c r="W21" s="3">
        <f>I22*100</f>
        <v>98.230890000000002</v>
      </c>
      <c r="X21" s="3">
        <f>M20*100</f>
        <v>99.990800000000007</v>
      </c>
      <c r="Y21" s="3">
        <f>M21*100</f>
        <v>99.784999999999997</v>
      </c>
      <c r="Z21" s="3">
        <f>M22*100</f>
        <v>99.334599999999995</v>
      </c>
      <c r="AA21" s="3">
        <f>O20</f>
        <v>98.115526423597302</v>
      </c>
      <c r="AB21" s="3">
        <f>O21</f>
        <v>69.007891090898028</v>
      </c>
      <c r="AC21" s="3">
        <f>O22</f>
        <v>26.986236970510401</v>
      </c>
      <c r="AD21" s="3">
        <f>P20</f>
        <v>0.4790000000000072</v>
      </c>
      <c r="AE21" s="3">
        <f>P21</f>
        <v>0.45823999999999865</v>
      </c>
      <c r="AF21" s="3">
        <f>P22</f>
        <v>0.16646999999998524</v>
      </c>
    </row>
    <row r="22" spans="1:32" x14ac:dyDescent="0.35">
      <c r="D22">
        <v>3</v>
      </c>
      <c r="F22">
        <v>365</v>
      </c>
      <c r="G22">
        <v>1000</v>
      </c>
      <c r="H22">
        <f>I21</f>
        <v>0.98847759999999996</v>
      </c>
      <c r="I22" s="2">
        <v>0.98230890000000004</v>
      </c>
      <c r="J22">
        <f t="shared" si="0"/>
        <v>6.1686999999999159E-3</v>
      </c>
      <c r="L22">
        <f>M21</f>
        <v>0.99785000000000001</v>
      </c>
      <c r="M22" s="2">
        <v>0.99334599999999995</v>
      </c>
      <c r="N22">
        <f t="shared" si="1"/>
        <v>4.5040000000000635E-3</v>
      </c>
      <c r="O22">
        <f t="shared" si="2"/>
        <v>26.986236970510401</v>
      </c>
      <c r="P22">
        <f t="shared" si="3"/>
        <v>0.16646999999998524</v>
      </c>
    </row>
    <row r="23" spans="1:32" x14ac:dyDescent="0.35">
      <c r="A23" s="1">
        <v>1960</v>
      </c>
      <c r="B23" s="1">
        <v>1980</v>
      </c>
      <c r="C23" s="1">
        <v>1</v>
      </c>
      <c r="D23">
        <v>1</v>
      </c>
      <c r="E23">
        <v>0</v>
      </c>
      <c r="F23">
        <v>0</v>
      </c>
      <c r="G23">
        <v>28</v>
      </c>
      <c r="H23">
        <v>1</v>
      </c>
      <c r="I23" s="2">
        <v>0.96299999999999997</v>
      </c>
      <c r="J23">
        <f t="shared" si="0"/>
        <v>3.7000000000000033E-2</v>
      </c>
      <c r="K23">
        <v>1</v>
      </c>
      <c r="L23">
        <v>1</v>
      </c>
      <c r="M23" s="2">
        <v>0.99938000000000005</v>
      </c>
      <c r="N23">
        <f t="shared" si="1"/>
        <v>6.1999999999995392E-4</v>
      </c>
      <c r="O23">
        <f t="shared" si="2"/>
        <v>98.324324324324451</v>
      </c>
      <c r="P23">
        <f t="shared" si="3"/>
        <v>3.6380000000000079</v>
      </c>
      <c r="U23" t="s">
        <v>20</v>
      </c>
      <c r="X23" t="s">
        <v>21</v>
      </c>
      <c r="AA23" t="s">
        <v>7</v>
      </c>
      <c r="AD23" t="s">
        <v>8</v>
      </c>
    </row>
    <row r="24" spans="1:32" x14ac:dyDescent="0.35">
      <c r="D24">
        <v>2</v>
      </c>
      <c r="F24">
        <v>28</v>
      </c>
      <c r="G24">
        <v>365</v>
      </c>
      <c r="H24">
        <f>I23</f>
        <v>0.96299999999999997</v>
      </c>
      <c r="I24" s="1">
        <v>0.86819999999999997</v>
      </c>
      <c r="J24">
        <f t="shared" si="0"/>
        <v>9.4799999999999995E-2</v>
      </c>
      <c r="L24">
        <f>M23</f>
        <v>0.99938000000000005</v>
      </c>
      <c r="M24" s="2">
        <v>0.97038500000000005</v>
      </c>
      <c r="N24">
        <f t="shared" si="1"/>
        <v>2.8994999999999993E-2</v>
      </c>
      <c r="O24">
        <f t="shared" si="2"/>
        <v>69.414556962025316</v>
      </c>
      <c r="P24">
        <f t="shared" si="3"/>
        <v>6.5805000000000007</v>
      </c>
      <c r="R24">
        <f>A23</f>
        <v>1960</v>
      </c>
      <c r="S24">
        <f>B23</f>
        <v>1980</v>
      </c>
      <c r="T24">
        <f>C23</f>
        <v>1</v>
      </c>
      <c r="U24" s="3">
        <f>I23*100</f>
        <v>96.3</v>
      </c>
      <c r="V24" s="3">
        <f>I24*100</f>
        <v>86.82</v>
      </c>
      <c r="W24" s="3">
        <f>I25*100</f>
        <v>81.450999999999993</v>
      </c>
      <c r="X24" s="3">
        <f>M23*100</f>
        <v>99.938000000000002</v>
      </c>
      <c r="Y24" s="3">
        <f>M24*100</f>
        <v>97.038499999999999</v>
      </c>
      <c r="Z24" s="3">
        <f>M25*100</f>
        <v>90.96</v>
      </c>
      <c r="AA24" s="3">
        <f>O23</f>
        <v>98.324324324324451</v>
      </c>
      <c r="AB24" s="3">
        <f>O24</f>
        <v>69.414556962025316</v>
      </c>
      <c r="AC24" s="3">
        <f>O25</f>
        <v>-13.214751350344711</v>
      </c>
      <c r="AD24" s="3">
        <f>P23</f>
        <v>3.6380000000000079</v>
      </c>
      <c r="AE24" s="3">
        <f>P24</f>
        <v>6.5805000000000007</v>
      </c>
      <c r="AF24" s="3">
        <f>P25</f>
        <v>-0.70950000000000735</v>
      </c>
    </row>
    <row r="25" spans="1:32" x14ac:dyDescent="0.35">
      <c r="D25">
        <v>3</v>
      </c>
      <c r="F25">
        <v>365</v>
      </c>
      <c r="G25">
        <v>1000</v>
      </c>
      <c r="H25">
        <f>I24</f>
        <v>0.86819999999999997</v>
      </c>
      <c r="I25" s="2">
        <v>0.81450999999999996</v>
      </c>
      <c r="J25">
        <f t="shared" si="0"/>
        <v>5.3690000000000015E-2</v>
      </c>
      <c r="L25">
        <f>M24</f>
        <v>0.97038500000000005</v>
      </c>
      <c r="M25" s="2">
        <v>0.90959999999999996</v>
      </c>
      <c r="N25">
        <f t="shared" si="1"/>
        <v>6.0785000000000089E-2</v>
      </c>
      <c r="O25">
        <f t="shared" si="2"/>
        <v>-13.214751350344711</v>
      </c>
      <c r="P25">
        <f t="shared" si="3"/>
        <v>-0.70950000000000735</v>
      </c>
    </row>
    <row r="26" spans="1:32" x14ac:dyDescent="0.35">
      <c r="A26" s="1">
        <v>1980</v>
      </c>
      <c r="B26" s="1">
        <v>2000</v>
      </c>
      <c r="C26" s="1">
        <v>0</v>
      </c>
      <c r="D26">
        <v>1</v>
      </c>
      <c r="E26">
        <v>0</v>
      </c>
      <c r="F26">
        <v>0</v>
      </c>
      <c r="G26">
        <v>28</v>
      </c>
      <c r="H26">
        <v>1</v>
      </c>
      <c r="I26" s="1">
        <v>0.99962249999999997</v>
      </c>
      <c r="J26">
        <f t="shared" si="0"/>
        <v>3.7750000000003059E-4</v>
      </c>
      <c r="K26">
        <v>1</v>
      </c>
      <c r="L26">
        <v>1</v>
      </c>
      <c r="M26" s="2">
        <v>0.999976859</v>
      </c>
      <c r="N26">
        <f t="shared" si="1"/>
        <v>2.3141000000004297E-5</v>
      </c>
      <c r="O26">
        <f t="shared" si="2"/>
        <v>93.869933774833797</v>
      </c>
      <c r="P26">
        <f t="shared" si="3"/>
        <v>3.5435900000002629E-2</v>
      </c>
      <c r="U26" t="s">
        <v>20</v>
      </c>
      <c r="X26" t="s">
        <v>21</v>
      </c>
      <c r="AA26" t="s">
        <v>7</v>
      </c>
      <c r="AD26" t="s">
        <v>8</v>
      </c>
    </row>
    <row r="27" spans="1:32" x14ac:dyDescent="0.35">
      <c r="D27">
        <v>2</v>
      </c>
      <c r="F27">
        <v>28</v>
      </c>
      <c r="G27">
        <v>365</v>
      </c>
      <c r="H27">
        <f>I26</f>
        <v>0.99962249999999997</v>
      </c>
      <c r="I27" s="2">
        <v>0.99875365999999999</v>
      </c>
      <c r="J27">
        <f t="shared" si="0"/>
        <v>8.6883999999998185E-4</v>
      </c>
      <c r="L27">
        <f>M26</f>
        <v>0.999976859</v>
      </c>
      <c r="M27" s="2">
        <v>0.99960552000000003</v>
      </c>
      <c r="N27">
        <f t="shared" si="1"/>
        <v>3.7133899999997055E-4</v>
      </c>
      <c r="O27">
        <f t="shared" si="2"/>
        <v>57.260370148706507</v>
      </c>
      <c r="P27">
        <f t="shared" si="3"/>
        <v>4.975010000000113E-2</v>
      </c>
      <c r="R27">
        <f>A26</f>
        <v>1980</v>
      </c>
      <c r="S27">
        <f>B26</f>
        <v>2000</v>
      </c>
      <c r="T27">
        <f>C26</f>
        <v>0</v>
      </c>
      <c r="U27" s="3">
        <f>I26*100</f>
        <v>99.962249999999997</v>
      </c>
      <c r="V27" s="3">
        <f>I27*100</f>
        <v>99.875366</v>
      </c>
      <c r="W27" s="3">
        <f>I28*100</f>
        <v>99.780799999999999</v>
      </c>
      <c r="X27" s="3">
        <f>M26*100</f>
        <v>99.997685899999993</v>
      </c>
      <c r="Y27" s="3">
        <f>M27*100</f>
        <v>99.960552000000007</v>
      </c>
      <c r="Z27" s="3">
        <f>M28*100</f>
        <v>99.889576000000005</v>
      </c>
      <c r="AA27" s="3">
        <f>O26</f>
        <v>93.869933774833797</v>
      </c>
      <c r="AB27" s="3">
        <f>O27</f>
        <v>57.260370148706507</v>
      </c>
      <c r="AC27" s="3">
        <f>O28</f>
        <v>24.945540680579249</v>
      </c>
      <c r="AD27" s="3">
        <f>P26</f>
        <v>3.5435900000002629E-2</v>
      </c>
      <c r="AE27" s="3">
        <f>P27</f>
        <v>4.975010000000113E-2</v>
      </c>
      <c r="AF27" s="5">
        <f>P28</f>
        <v>2.3589999999995559E-2</v>
      </c>
    </row>
    <row r="28" spans="1:32" x14ac:dyDescent="0.35">
      <c r="D28">
        <v>3</v>
      </c>
      <c r="F28">
        <v>365</v>
      </c>
      <c r="G28">
        <v>1000</v>
      </c>
      <c r="H28">
        <f>I27</f>
        <v>0.99875365999999999</v>
      </c>
      <c r="I28" s="2">
        <v>0.99780800000000003</v>
      </c>
      <c r="J28">
        <f t="shared" si="0"/>
        <v>9.4565999999995931E-4</v>
      </c>
      <c r="L28">
        <f>M27</f>
        <v>0.99960552000000003</v>
      </c>
      <c r="M28" s="2">
        <v>0.99889576000000002</v>
      </c>
      <c r="N28">
        <f t="shared" si="1"/>
        <v>7.0976000000000372E-4</v>
      </c>
      <c r="O28">
        <f t="shared" si="2"/>
        <v>24.945540680579249</v>
      </c>
      <c r="P28">
        <f t="shared" si="3"/>
        <v>2.3589999999995559E-2</v>
      </c>
    </row>
    <row r="29" spans="1:32" x14ac:dyDescent="0.35">
      <c r="A29" s="1">
        <v>1980</v>
      </c>
      <c r="B29" s="1">
        <v>2000</v>
      </c>
      <c r="C29" s="1">
        <v>1</v>
      </c>
      <c r="D29">
        <v>1</v>
      </c>
      <c r="E29">
        <v>0</v>
      </c>
      <c r="F29">
        <v>0</v>
      </c>
      <c r="G29">
        <v>28</v>
      </c>
      <c r="H29">
        <v>1</v>
      </c>
      <c r="I29" s="2">
        <v>0.997</v>
      </c>
      <c r="J29">
        <f t="shared" si="0"/>
        <v>3.0000000000000027E-3</v>
      </c>
      <c r="K29">
        <v>1</v>
      </c>
      <c r="L29">
        <v>1</v>
      </c>
      <c r="M29" s="2">
        <v>0.99983999999999995</v>
      </c>
      <c r="N29">
        <f t="shared" si="1"/>
        <v>1.6000000000004899E-4</v>
      </c>
      <c r="O29">
        <f t="shared" si="2"/>
        <v>94.666666666665037</v>
      </c>
      <c r="P29">
        <f t="shared" si="3"/>
        <v>0.28399999999999537</v>
      </c>
      <c r="U29" t="s">
        <v>20</v>
      </c>
      <c r="X29" t="s">
        <v>21</v>
      </c>
      <c r="AA29" t="s">
        <v>7</v>
      </c>
      <c r="AD29" t="s">
        <v>8</v>
      </c>
    </row>
    <row r="30" spans="1:32" x14ac:dyDescent="0.35">
      <c r="D30">
        <v>2</v>
      </c>
      <c r="F30">
        <v>28</v>
      </c>
      <c r="G30">
        <v>365</v>
      </c>
      <c r="H30">
        <f>I29</f>
        <v>0.997</v>
      </c>
      <c r="I30" s="1">
        <v>0.98655000000000004</v>
      </c>
      <c r="J30">
        <f>H30-I31</f>
        <v>1.7299999999999982E-2</v>
      </c>
      <c r="L30">
        <f>M29</f>
        <v>0.99983999999999995</v>
      </c>
      <c r="M30" s="2">
        <v>0.99639999999999995</v>
      </c>
      <c r="N30">
        <f t="shared" si="1"/>
        <v>3.4399999999999986E-3</v>
      </c>
      <c r="O30">
        <f t="shared" si="2"/>
        <v>80.115606936416171</v>
      </c>
      <c r="P30">
        <f t="shared" si="3"/>
        <v>1.3859999999999983</v>
      </c>
      <c r="R30">
        <f>A29</f>
        <v>1980</v>
      </c>
      <c r="S30">
        <f>B29</f>
        <v>2000</v>
      </c>
      <c r="T30">
        <f>C29</f>
        <v>1</v>
      </c>
      <c r="U30" s="3">
        <f>I29*100</f>
        <v>99.7</v>
      </c>
      <c r="V30" s="3">
        <f>I31*100</f>
        <v>97.97</v>
      </c>
      <c r="W30" s="3">
        <f>I31*100</f>
        <v>97.97</v>
      </c>
      <c r="X30" s="3">
        <f>M29*100</f>
        <v>99.983999999999995</v>
      </c>
      <c r="Y30" s="3">
        <f>M30*100</f>
        <v>99.64</v>
      </c>
      <c r="Z30" s="3">
        <f>M31*100</f>
        <v>98.9833</v>
      </c>
      <c r="AA30" s="3">
        <f>O29</f>
        <v>94.666666666665037</v>
      </c>
      <c r="AB30" s="3">
        <f>O30</f>
        <v>80.115606936416171</v>
      </c>
      <c r="AC30" s="3">
        <f>O31</f>
        <v>4.1313868613143345</v>
      </c>
      <c r="AD30" s="3">
        <f>P29</f>
        <v>0.28399999999999537</v>
      </c>
      <c r="AE30" s="3">
        <f>P30</f>
        <v>1.3859999999999983</v>
      </c>
      <c r="AF30" s="3">
        <f>P31</f>
        <v>2.8300000000003322E-2</v>
      </c>
    </row>
    <row r="31" spans="1:32" x14ac:dyDescent="0.35">
      <c r="D31">
        <v>3</v>
      </c>
      <c r="F31">
        <v>365</v>
      </c>
      <c r="G31">
        <v>1000</v>
      </c>
      <c r="H31">
        <f>I30</f>
        <v>0.98655000000000004</v>
      </c>
      <c r="I31" s="1">
        <v>0.97970000000000002</v>
      </c>
      <c r="J31">
        <f t="shared" ref="J31:J37" si="4">H31-I31</f>
        <v>6.8500000000000227E-3</v>
      </c>
      <c r="L31">
        <f>M30</f>
        <v>0.99639999999999995</v>
      </c>
      <c r="M31" s="2">
        <v>0.98983299999999996</v>
      </c>
      <c r="N31">
        <f t="shared" si="1"/>
        <v>6.5669999999999895E-3</v>
      </c>
      <c r="O31">
        <f t="shared" si="2"/>
        <v>4.1313868613143345</v>
      </c>
      <c r="P31">
        <f t="shared" si="3"/>
        <v>2.8300000000003322E-2</v>
      </c>
    </row>
    <row r="32" spans="1:32" x14ac:dyDescent="0.35">
      <c r="A32" s="1">
        <v>2000</v>
      </c>
      <c r="B32" s="1">
        <v>2020</v>
      </c>
      <c r="C32" s="1">
        <v>0</v>
      </c>
      <c r="D32">
        <v>1</v>
      </c>
      <c r="E32">
        <v>0</v>
      </c>
      <c r="F32">
        <v>0</v>
      </c>
      <c r="G32">
        <v>28</v>
      </c>
      <c r="H32">
        <v>1</v>
      </c>
      <c r="I32" s="1">
        <v>0.99984799999999996</v>
      </c>
      <c r="J32">
        <f t="shared" si="4"/>
        <v>1.5200000000004099E-4</v>
      </c>
      <c r="K32">
        <v>1</v>
      </c>
      <c r="L32">
        <v>1</v>
      </c>
      <c r="M32" s="2">
        <v>0.99999260000000001</v>
      </c>
      <c r="N32">
        <f t="shared" si="1"/>
        <v>7.3999999999907473E-6</v>
      </c>
      <c r="O32">
        <f t="shared" si="2"/>
        <v>95.131578947375814</v>
      </c>
      <c r="P32">
        <f t="shared" si="3"/>
        <v>1.4460000000005024E-2</v>
      </c>
      <c r="U32" t="s">
        <v>20</v>
      </c>
      <c r="X32" t="s">
        <v>21</v>
      </c>
      <c r="AA32" t="s">
        <v>7</v>
      </c>
      <c r="AD32" t="s">
        <v>8</v>
      </c>
    </row>
    <row r="33" spans="1:32" x14ac:dyDescent="0.35">
      <c r="D33">
        <v>2</v>
      </c>
      <c r="F33">
        <v>28</v>
      </c>
      <c r="G33">
        <v>365</v>
      </c>
      <c r="H33">
        <f>I32</f>
        <v>0.99984799999999996</v>
      </c>
      <c r="I33" s="2">
        <v>0.99950399999999995</v>
      </c>
      <c r="J33">
        <f t="shared" si="4"/>
        <v>3.4400000000001096E-4</v>
      </c>
      <c r="L33">
        <f>M32</f>
        <v>0.99999260000000001</v>
      </c>
      <c r="M33" s="2">
        <v>0.99981777999999999</v>
      </c>
      <c r="N33">
        <f t="shared" si="1"/>
        <v>1.7482000000001996E-4</v>
      </c>
      <c r="O33">
        <f t="shared" si="2"/>
        <v>49.180232558135351</v>
      </c>
      <c r="P33">
        <f t="shared" si="3"/>
        <v>1.69179999999991E-2</v>
      </c>
      <c r="R33">
        <f>A32</f>
        <v>2000</v>
      </c>
      <c r="S33">
        <f>B32</f>
        <v>2020</v>
      </c>
      <c r="T33">
        <f>C32</f>
        <v>0</v>
      </c>
      <c r="U33" s="3">
        <f>I32*100</f>
        <v>99.984799999999993</v>
      </c>
      <c r="V33" s="3">
        <f>I34*100</f>
        <v>99.9131</v>
      </c>
      <c r="W33" s="3">
        <f>I34*100</f>
        <v>99.9131</v>
      </c>
      <c r="X33" s="3">
        <f>M32*100</f>
        <v>99.999260000000007</v>
      </c>
      <c r="Y33" s="3">
        <f>M33*100</f>
        <v>99.981778000000006</v>
      </c>
      <c r="Z33" s="3">
        <f>M34*100</f>
        <v>99.950680000000006</v>
      </c>
      <c r="AA33" s="3">
        <f>O32</f>
        <v>95.131578947375814</v>
      </c>
      <c r="AB33" s="3">
        <f>O33</f>
        <v>49.180232558135351</v>
      </c>
      <c r="AC33" s="3">
        <f>O34</f>
        <v>16.62734584450487</v>
      </c>
      <c r="AD33" s="3">
        <f>P32</f>
        <v>1.4460000000005024E-2</v>
      </c>
      <c r="AE33" s="3">
        <f>P33</f>
        <v>1.69179999999991E-2</v>
      </c>
      <c r="AF33" s="3">
        <f>P34</f>
        <v>6.2019999999995967E-3</v>
      </c>
    </row>
    <row r="34" spans="1:32" x14ac:dyDescent="0.35">
      <c r="D34">
        <v>3</v>
      </c>
      <c r="F34">
        <v>365</v>
      </c>
      <c r="G34">
        <v>1000</v>
      </c>
      <c r="H34">
        <f>I33</f>
        <v>0.99950399999999995</v>
      </c>
      <c r="I34" s="2">
        <v>0.99913099999999999</v>
      </c>
      <c r="J34">
        <f t="shared" si="4"/>
        <v>3.729999999999567E-4</v>
      </c>
      <c r="L34">
        <f>M33</f>
        <v>0.99981777999999999</v>
      </c>
      <c r="M34" s="2">
        <v>0.99950680000000003</v>
      </c>
      <c r="N34">
        <f t="shared" si="1"/>
        <v>3.1097999999996073E-4</v>
      </c>
      <c r="O34">
        <f t="shared" si="2"/>
        <v>16.62734584450487</v>
      </c>
      <c r="P34">
        <f t="shared" si="3"/>
        <v>6.2019999999995967E-3</v>
      </c>
    </row>
    <row r="35" spans="1:32" x14ac:dyDescent="0.35">
      <c r="A35" s="1">
        <v>2000</v>
      </c>
      <c r="B35" s="1">
        <v>2020</v>
      </c>
      <c r="C35" s="1">
        <v>1</v>
      </c>
      <c r="D35">
        <v>1</v>
      </c>
      <c r="E35">
        <v>0</v>
      </c>
      <c r="F35">
        <v>0</v>
      </c>
      <c r="G35">
        <v>28</v>
      </c>
      <c r="H35">
        <v>1</v>
      </c>
      <c r="I35" s="2"/>
      <c r="J35">
        <f t="shared" si="4"/>
        <v>1</v>
      </c>
      <c r="K35">
        <v>1</v>
      </c>
      <c r="L35">
        <v>1</v>
      </c>
      <c r="M35" s="2"/>
      <c r="N35">
        <f t="shared" si="1"/>
        <v>1</v>
      </c>
      <c r="O35">
        <f t="shared" si="2"/>
        <v>0</v>
      </c>
      <c r="P35">
        <f t="shared" si="3"/>
        <v>0</v>
      </c>
      <c r="R35" s="4"/>
      <c r="S35" s="4"/>
      <c r="T35" s="4"/>
      <c r="U35" s="4" t="s">
        <v>20</v>
      </c>
      <c r="V35" s="4"/>
      <c r="W35" s="4"/>
      <c r="X35" s="4" t="s">
        <v>21</v>
      </c>
      <c r="Y35" s="4"/>
      <c r="Z35" s="4"/>
      <c r="AA35" s="4" t="s">
        <v>7</v>
      </c>
      <c r="AB35" s="4"/>
      <c r="AC35" s="4"/>
      <c r="AD35" s="4" t="s">
        <v>8</v>
      </c>
      <c r="AE35" s="4"/>
      <c r="AF35" s="4"/>
    </row>
    <row r="36" spans="1:32" x14ac:dyDescent="0.35">
      <c r="D36">
        <v>2</v>
      </c>
      <c r="F36">
        <v>28</v>
      </c>
      <c r="G36">
        <v>365</v>
      </c>
      <c r="H36">
        <f>I35</f>
        <v>0</v>
      </c>
      <c r="I36" s="1"/>
      <c r="J36">
        <f t="shared" si="4"/>
        <v>0</v>
      </c>
      <c r="L36">
        <f>M35</f>
        <v>0</v>
      </c>
      <c r="M36" s="2"/>
      <c r="N36">
        <f t="shared" si="1"/>
        <v>0</v>
      </c>
      <c r="O36" t="e">
        <f t="shared" si="2"/>
        <v>#DIV/0!</v>
      </c>
      <c r="P36">
        <f t="shared" si="3"/>
        <v>0</v>
      </c>
      <c r="R36" s="4">
        <f>A35</f>
        <v>2000</v>
      </c>
      <c r="S36" s="4">
        <f>B35</f>
        <v>2020</v>
      </c>
      <c r="T36" s="4">
        <f>C35</f>
        <v>1</v>
      </c>
      <c r="U36" s="4">
        <f>I35</f>
        <v>0</v>
      </c>
      <c r="V36" s="4">
        <f>I36</f>
        <v>0</v>
      </c>
      <c r="W36" s="4">
        <f>I37</f>
        <v>0</v>
      </c>
      <c r="X36" s="4">
        <f>M35</f>
        <v>0</v>
      </c>
      <c r="Y36" s="4">
        <f>M36</f>
        <v>0</v>
      </c>
      <c r="Z36" s="4">
        <f>M37</f>
        <v>0</v>
      </c>
      <c r="AA36" s="4">
        <f>O35</f>
        <v>0</v>
      </c>
      <c r="AB36" s="4" t="e">
        <f>O36</f>
        <v>#DIV/0!</v>
      </c>
      <c r="AC36" s="4" t="e">
        <f>O37</f>
        <v>#DIV/0!</v>
      </c>
      <c r="AD36" s="4">
        <f>P35</f>
        <v>0</v>
      </c>
      <c r="AE36" s="4">
        <f>P36</f>
        <v>0</v>
      </c>
      <c r="AF36" s="4">
        <f>P37</f>
        <v>0</v>
      </c>
    </row>
    <row r="37" spans="1:32" x14ac:dyDescent="0.35">
      <c r="D37">
        <v>3</v>
      </c>
      <c r="F37">
        <v>365</v>
      </c>
      <c r="G37">
        <v>1000</v>
      </c>
      <c r="H37">
        <f>I36</f>
        <v>0</v>
      </c>
      <c r="I37" s="2"/>
      <c r="J37">
        <f t="shared" si="4"/>
        <v>0</v>
      </c>
      <c r="L37">
        <f>M36</f>
        <v>0</v>
      </c>
      <c r="M37" s="2"/>
      <c r="N37">
        <f t="shared" si="1"/>
        <v>0</v>
      </c>
      <c r="O37" t="e">
        <f t="shared" si="2"/>
        <v>#DIV/0!</v>
      </c>
      <c r="P37">
        <f t="shared" si="3"/>
        <v>0</v>
      </c>
    </row>
    <row r="38" spans="1:32" x14ac:dyDescent="0.35">
      <c r="U38">
        <v>28</v>
      </c>
      <c r="V38">
        <v>365</v>
      </c>
      <c r="W38">
        <v>1000</v>
      </c>
      <c r="X38">
        <v>28</v>
      </c>
      <c r="Y38">
        <v>365</v>
      </c>
      <c r="Z38">
        <v>1000</v>
      </c>
      <c r="AA38">
        <v>28</v>
      </c>
      <c r="AB38">
        <v>365</v>
      </c>
      <c r="AC38">
        <v>1000</v>
      </c>
      <c r="AD38">
        <v>28</v>
      </c>
      <c r="AE38">
        <v>365</v>
      </c>
      <c r="AF38">
        <v>1000</v>
      </c>
    </row>
    <row r="39" spans="1:32" x14ac:dyDescent="0.35">
      <c r="U39" t="s">
        <v>20</v>
      </c>
      <c r="X39" t="s">
        <v>21</v>
      </c>
      <c r="AA39" s="6" t="s">
        <v>7</v>
      </c>
      <c r="AD39" s="6" t="s">
        <v>8</v>
      </c>
    </row>
    <row r="40" spans="1:32" x14ac:dyDescent="0.35">
      <c r="R40">
        <v>1930</v>
      </c>
      <c r="S40">
        <v>1940</v>
      </c>
      <c r="T40">
        <v>0</v>
      </c>
      <c r="U40" s="5">
        <v>88.673999999999992</v>
      </c>
      <c r="V40" s="5">
        <v>68.603999999999999</v>
      </c>
      <c r="W40" s="5">
        <v>54.279999999999994</v>
      </c>
      <c r="X40" s="5">
        <v>99.643900000000002</v>
      </c>
      <c r="Y40" s="5">
        <v>93</v>
      </c>
      <c r="Z40" s="5">
        <v>78.24799999999999</v>
      </c>
      <c r="AA40" s="3">
        <v>96.855906763199684</v>
      </c>
      <c r="AB40" s="3">
        <v>66.896362730443485</v>
      </c>
      <c r="AC40" s="3">
        <v>-2.9879921809550902</v>
      </c>
      <c r="AD40" s="3">
        <v>10.969899999999999</v>
      </c>
      <c r="AE40" s="3">
        <v>13.426100000000007</v>
      </c>
      <c r="AF40" s="3">
        <v>-0.42800000000000615</v>
      </c>
    </row>
    <row r="41" spans="1:32" x14ac:dyDescent="0.35">
      <c r="R41">
        <v>1930</v>
      </c>
      <c r="S41">
        <v>1940</v>
      </c>
      <c r="T41">
        <v>1</v>
      </c>
      <c r="U41" s="5">
        <v>71.509999999999991</v>
      </c>
      <c r="V41" s="5">
        <v>34.04</v>
      </c>
      <c r="W41" s="5">
        <v>17.16</v>
      </c>
      <c r="X41" s="5">
        <v>97.97</v>
      </c>
      <c r="Y41" s="5">
        <v>72.10499999999999</v>
      </c>
      <c r="Z41" s="5">
        <v>37.097999999999999</v>
      </c>
      <c r="AA41" s="3">
        <v>92.874692874692883</v>
      </c>
      <c r="AB41" s="3">
        <v>30.97144382172403</v>
      </c>
      <c r="AC41" s="3">
        <v>-107.38744075829385</v>
      </c>
      <c r="AD41" s="3">
        <v>26.460000000000004</v>
      </c>
      <c r="AE41" s="3">
        <v>11.604999999999993</v>
      </c>
      <c r="AF41" s="3">
        <v>-18.127000000000002</v>
      </c>
    </row>
    <row r="42" spans="1:32" x14ac:dyDescent="0.35">
      <c r="R42">
        <v>1940</v>
      </c>
      <c r="S42">
        <v>1950</v>
      </c>
      <c r="T42">
        <v>0</v>
      </c>
      <c r="U42" s="5">
        <v>91.412020565449609</v>
      </c>
      <c r="V42" s="5">
        <v>84.170015734773798</v>
      </c>
      <c r="W42" s="5">
        <v>78.088575752412808</v>
      </c>
      <c r="X42" s="5">
        <v>99.861694344501302</v>
      </c>
      <c r="Y42" s="5">
        <v>97.469073318701007</v>
      </c>
      <c r="Z42" s="5">
        <v>92.186064535957797</v>
      </c>
      <c r="AA42" s="3">
        <v>98.389543704048876</v>
      </c>
      <c r="AB42" s="3">
        <v>66.961896853954244</v>
      </c>
      <c r="AC42" s="3">
        <v>13.128982641177267</v>
      </c>
      <c r="AD42" s="3">
        <v>8.4496737790516914</v>
      </c>
      <c r="AE42" s="3">
        <v>4.8493838048755178</v>
      </c>
      <c r="AF42" s="3">
        <v>0.79843119961778841</v>
      </c>
    </row>
    <row r="43" spans="1:32" x14ac:dyDescent="0.35">
      <c r="R43">
        <v>1940</v>
      </c>
      <c r="S43">
        <v>1950</v>
      </c>
      <c r="T43">
        <v>1</v>
      </c>
      <c r="U43" s="5">
        <v>78.348035284683206</v>
      </c>
      <c r="V43" s="5">
        <v>44.747393744988003</v>
      </c>
      <c r="W43" s="5">
        <v>29.190056134723303</v>
      </c>
      <c r="X43" s="5">
        <v>98.672369241735709</v>
      </c>
      <c r="Y43" s="5">
        <v>80.379577653033891</v>
      </c>
      <c r="Z43" s="5">
        <v>52.419139267575396</v>
      </c>
      <c r="AA43" s="3">
        <v>93.868312757201565</v>
      </c>
      <c r="AB43" s="3">
        <v>45.558207372049651</v>
      </c>
      <c r="AC43" s="3">
        <v>-79.725085910652595</v>
      </c>
      <c r="AD43" s="3">
        <v>20.324333957052499</v>
      </c>
      <c r="AE43" s="3">
        <v>15.307849950993397</v>
      </c>
      <c r="AF43" s="3">
        <v>-12.403100775193799</v>
      </c>
    </row>
    <row r="44" spans="1:32" x14ac:dyDescent="0.35">
      <c r="R44">
        <v>1950</v>
      </c>
      <c r="S44">
        <v>1960</v>
      </c>
      <c r="T44">
        <v>0</v>
      </c>
      <c r="U44" s="5">
        <v>96.577550000000002</v>
      </c>
      <c r="V44" s="5">
        <v>93.853699999999989</v>
      </c>
      <c r="W44" s="5">
        <v>91.271799999999999</v>
      </c>
      <c r="X44" s="5">
        <v>99.956160000000011</v>
      </c>
      <c r="Y44" s="5">
        <v>99.110979999999998</v>
      </c>
      <c r="Z44" s="5">
        <v>97.220100000000002</v>
      </c>
      <c r="AA44" s="3">
        <v>98.719046297243352</v>
      </c>
      <c r="AB44" s="3">
        <v>68.971125429080189</v>
      </c>
      <c r="AC44" s="3">
        <v>26.764010999650978</v>
      </c>
      <c r="AD44" s="3">
        <v>3.3786100000000041</v>
      </c>
      <c r="AE44" s="3">
        <v>1.8786700000000045</v>
      </c>
      <c r="AF44" s="3">
        <v>0.69101999999998664</v>
      </c>
    </row>
    <row r="45" spans="1:32" x14ac:dyDescent="0.35">
      <c r="R45">
        <v>1950</v>
      </c>
      <c r="S45">
        <v>1960</v>
      </c>
      <c r="T45">
        <v>1</v>
      </c>
      <c r="U45" s="5">
        <v>86.981999999999999</v>
      </c>
      <c r="V45" s="5">
        <v>64.891000000000005</v>
      </c>
      <c r="W45" s="5">
        <v>51.800000000000004</v>
      </c>
      <c r="X45" s="5">
        <v>99.36</v>
      </c>
      <c r="Y45" s="5">
        <v>90.170900000000003</v>
      </c>
      <c r="Z45" s="5">
        <v>72.780999999999992</v>
      </c>
      <c r="AA45" s="3">
        <v>95.083730219695838</v>
      </c>
      <c r="AB45" s="3">
        <v>58.403422208139041</v>
      </c>
      <c r="AC45" s="3">
        <v>-32.838591398670893</v>
      </c>
      <c r="AD45" s="3">
        <v>12.378</v>
      </c>
      <c r="AE45" s="3">
        <v>12.901899999999999</v>
      </c>
      <c r="AF45" s="3">
        <v>-4.2989000000000051</v>
      </c>
    </row>
    <row r="46" spans="1:32" x14ac:dyDescent="0.35">
      <c r="R46">
        <v>1960</v>
      </c>
      <c r="S46">
        <v>1980</v>
      </c>
      <c r="T46">
        <v>0</v>
      </c>
      <c r="U46" s="5">
        <v>99.511799999999994</v>
      </c>
      <c r="V46" s="5">
        <v>98.847759999999994</v>
      </c>
      <c r="W46" s="5">
        <v>98.230890000000002</v>
      </c>
      <c r="X46" s="5">
        <v>99.990800000000007</v>
      </c>
      <c r="Y46" s="5">
        <v>99.784999999999997</v>
      </c>
      <c r="Z46" s="5">
        <v>99.334599999999995</v>
      </c>
      <c r="AA46" s="3">
        <v>98.115526423597302</v>
      </c>
      <c r="AB46" s="3">
        <v>69.007891090898028</v>
      </c>
      <c r="AC46" s="3">
        <v>26.986236970510401</v>
      </c>
      <c r="AD46" s="3">
        <v>0.4790000000000072</v>
      </c>
      <c r="AE46" s="3">
        <v>0.45823999999999865</v>
      </c>
      <c r="AF46" s="3">
        <v>0.16646999999998524</v>
      </c>
    </row>
    <row r="47" spans="1:32" x14ac:dyDescent="0.35">
      <c r="R47">
        <v>1960</v>
      </c>
      <c r="S47">
        <v>1980</v>
      </c>
      <c r="T47">
        <v>1</v>
      </c>
      <c r="U47" s="5">
        <v>96.3</v>
      </c>
      <c r="V47" s="5">
        <v>86.82</v>
      </c>
      <c r="W47" s="5">
        <v>81.450999999999993</v>
      </c>
      <c r="X47" s="5">
        <v>99.938000000000002</v>
      </c>
      <c r="Y47" s="5">
        <v>97.038499999999999</v>
      </c>
      <c r="Z47" s="5">
        <v>90.96</v>
      </c>
      <c r="AA47" s="3">
        <v>98.324324324324451</v>
      </c>
      <c r="AB47" s="3">
        <v>69.414556962025316</v>
      </c>
      <c r="AC47" s="3">
        <v>-13.214751350344711</v>
      </c>
      <c r="AD47" s="3">
        <v>3.6380000000000079</v>
      </c>
      <c r="AE47" s="3">
        <v>6.5805000000000007</v>
      </c>
      <c r="AF47" s="3">
        <v>-0.70950000000000735</v>
      </c>
    </row>
    <row r="48" spans="1:32" x14ac:dyDescent="0.35">
      <c r="R48">
        <v>1980</v>
      </c>
      <c r="S48">
        <v>2000</v>
      </c>
      <c r="T48">
        <v>0</v>
      </c>
      <c r="U48" s="5">
        <v>99.962249999999997</v>
      </c>
      <c r="V48" s="5">
        <v>99.875366</v>
      </c>
      <c r="W48" s="5">
        <v>99.780799999999999</v>
      </c>
      <c r="X48" s="5">
        <v>99.997685899999993</v>
      </c>
      <c r="Y48" s="5">
        <v>99.960552000000007</v>
      </c>
      <c r="Z48" s="5">
        <v>99.889576000000005</v>
      </c>
      <c r="AA48" s="3">
        <v>93.869933774833797</v>
      </c>
      <c r="AB48" s="3">
        <v>57.260370148706507</v>
      </c>
      <c r="AC48" s="3">
        <v>24.945540680579249</v>
      </c>
      <c r="AD48" s="3">
        <v>3.5435900000002629E-2</v>
      </c>
      <c r="AE48" s="3">
        <v>4.975010000000113E-2</v>
      </c>
      <c r="AF48" s="3">
        <v>2.3589999999995559E-2</v>
      </c>
    </row>
    <row r="49" spans="18:32" x14ac:dyDescent="0.35">
      <c r="R49">
        <v>1980</v>
      </c>
      <c r="S49">
        <v>2000</v>
      </c>
      <c r="T49">
        <v>1</v>
      </c>
      <c r="U49" s="5">
        <v>99.7</v>
      </c>
      <c r="V49" s="1">
        <v>98.655000000000001</v>
      </c>
      <c r="W49" s="5">
        <v>97.97</v>
      </c>
      <c r="X49" s="5">
        <v>99.983999999999995</v>
      </c>
      <c r="Y49" s="5">
        <v>99.64</v>
      </c>
      <c r="Z49" s="5">
        <v>98.9833</v>
      </c>
      <c r="AA49" s="3">
        <v>94.666666666665037</v>
      </c>
      <c r="AB49" s="3">
        <v>80.115606936416171</v>
      </c>
      <c r="AC49" s="3">
        <v>4.1313868613143345</v>
      </c>
      <c r="AD49" s="3">
        <v>0.28399999999999537</v>
      </c>
      <c r="AE49" s="3">
        <v>1.3859999999999983</v>
      </c>
      <c r="AF49" s="3">
        <v>2.8300000000003322E-2</v>
      </c>
    </row>
    <row r="50" spans="18:32" x14ac:dyDescent="0.35">
      <c r="R50">
        <v>2000</v>
      </c>
      <c r="S50">
        <v>2020</v>
      </c>
      <c r="T50">
        <v>0</v>
      </c>
      <c r="U50" s="5">
        <v>99.984799999999993</v>
      </c>
      <c r="V50" s="7">
        <v>99.950400000000002</v>
      </c>
      <c r="W50" s="5">
        <v>99.9131</v>
      </c>
      <c r="X50" s="5">
        <v>99.999260000000007</v>
      </c>
      <c r="Y50" s="5">
        <v>99.981778000000006</v>
      </c>
      <c r="Z50" s="5">
        <v>99.950680000000006</v>
      </c>
      <c r="AA50" s="3">
        <v>95.131578947375814</v>
      </c>
      <c r="AB50" s="3">
        <v>49.180232558135351</v>
      </c>
      <c r="AC50" s="3">
        <v>16.62734584450487</v>
      </c>
      <c r="AD50" s="3">
        <v>1.4460000000005024E-2</v>
      </c>
      <c r="AE50" s="3">
        <v>1.69179999999991E-2</v>
      </c>
      <c r="AF50" s="3">
        <v>6.2019999999995967E-3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Bakker</dc:creator>
  <cp:lastModifiedBy>Bram Bakker</cp:lastModifiedBy>
  <dcterms:created xsi:type="dcterms:W3CDTF">2024-12-30T12:10:52Z</dcterms:created>
  <dcterms:modified xsi:type="dcterms:W3CDTF">2025-07-02T12:40:03Z</dcterms:modified>
</cp:coreProperties>
</file>