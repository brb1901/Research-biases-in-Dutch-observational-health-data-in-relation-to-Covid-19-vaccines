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Documents\"/>
    </mc:Choice>
  </mc:AlternateContent>
  <xr:revisionPtr revIDLastSave="0" documentId="13_ncr:1_{2DDD9D30-7788-4C46-BBF2-45534E05A3DE}" xr6:coauthVersionLast="47" xr6:coauthVersionMax="47" xr10:uidLastSave="{00000000-0000-0000-0000-000000000000}"/>
  <bookViews>
    <workbookView xWindow="14303" yWindow="-4433" windowWidth="28995" windowHeight="15675" xr2:uid="{675F64F1-575D-4B54-B763-A05D3C951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D41" i="1"/>
  <c r="AD40" i="1"/>
  <c r="AD39" i="1"/>
  <c r="AD38" i="1"/>
  <c r="AD37" i="1"/>
  <c r="AD36" i="1"/>
  <c r="AD35" i="1"/>
  <c r="AG35" i="1" s="1"/>
  <c r="AD34" i="1"/>
  <c r="AD33" i="1"/>
  <c r="AD32" i="1"/>
  <c r="AD31" i="1"/>
  <c r="AD30" i="1"/>
  <c r="AD29" i="1"/>
  <c r="AD28" i="1"/>
  <c r="AD27" i="1"/>
  <c r="AG27" i="1" s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G11" i="1" s="1"/>
  <c r="AD10" i="1"/>
  <c r="AD9" i="1"/>
  <c r="AD8" i="1"/>
  <c r="AD7" i="1"/>
  <c r="AG39" i="1"/>
  <c r="AG20" i="1"/>
  <c r="AG15" i="1"/>
  <c r="AG36" i="1"/>
  <c r="AG28" i="1"/>
  <c r="AG12" i="1"/>
  <c r="AG40" i="1"/>
  <c r="AG32" i="1"/>
  <c r="AG31" i="1"/>
  <c r="AG19" i="1"/>
  <c r="AG16" i="1"/>
  <c r="AG8" i="1"/>
  <c r="Z40" i="1"/>
  <c r="Z39" i="1"/>
  <c r="Z36" i="1"/>
  <c r="Z35" i="1"/>
  <c r="Z32" i="1"/>
  <c r="Z31" i="1"/>
  <c r="Z28" i="1"/>
  <c r="Z27" i="1"/>
  <c r="Z20" i="1"/>
  <c r="Z19" i="1"/>
  <c r="Z16" i="1"/>
  <c r="Z15" i="1"/>
  <c r="Z12" i="1"/>
  <c r="Z11" i="1"/>
  <c r="Z8" i="1"/>
  <c r="Y40" i="1"/>
  <c r="Y39" i="1"/>
  <c r="Y36" i="1"/>
  <c r="Y35" i="1"/>
  <c r="Y32" i="1"/>
  <c r="Y31" i="1"/>
  <c r="Y28" i="1"/>
  <c r="Y27" i="1"/>
  <c r="Y20" i="1"/>
  <c r="Y19" i="1"/>
  <c r="Y16" i="1"/>
  <c r="Y15" i="1"/>
  <c r="Y12" i="1"/>
  <c r="Y11" i="1"/>
  <c r="Y8" i="1"/>
  <c r="H6" i="1"/>
  <c r="M6" i="1" s="1"/>
  <c r="Q6" i="1" s="1"/>
  <c r="G6" i="1"/>
  <c r="E40" i="1"/>
  <c r="E39" i="1"/>
  <c r="E36" i="1"/>
  <c r="E35" i="1"/>
  <c r="E34" i="1"/>
  <c r="Y34" i="1" s="1"/>
  <c r="Z34" i="1" s="1"/>
  <c r="E32" i="1"/>
  <c r="E31" i="1"/>
  <c r="E28" i="1"/>
  <c r="E27" i="1"/>
  <c r="E24" i="1"/>
  <c r="Y24" i="1" s="1"/>
  <c r="E23" i="1"/>
  <c r="Y23" i="1" s="1"/>
  <c r="E21" i="1"/>
  <c r="Y21" i="1" s="1"/>
  <c r="E20" i="1"/>
  <c r="E19" i="1"/>
  <c r="E16" i="1"/>
  <c r="E15" i="1"/>
  <c r="E12" i="1"/>
  <c r="E11" i="1"/>
  <c r="E8" i="1"/>
  <c r="F6" i="1"/>
  <c r="D2" i="1"/>
  <c r="D6" i="1"/>
  <c r="E7" i="1" s="1"/>
  <c r="Y7" i="1" s="1"/>
  <c r="D9" i="1"/>
  <c r="E9" i="1" s="1"/>
  <c r="Y9" i="1" s="1"/>
  <c r="D13" i="1"/>
  <c r="E14" i="1" s="1"/>
  <c r="Y14" i="1" s="1"/>
  <c r="D17" i="1"/>
  <c r="E17" i="1" s="1"/>
  <c r="Y17" i="1" s="1"/>
  <c r="D21" i="1"/>
  <c r="E22" i="1" s="1"/>
  <c r="Y22" i="1" s="1"/>
  <c r="D25" i="1"/>
  <c r="E25" i="1" s="1"/>
  <c r="Y25" i="1" s="1"/>
  <c r="D29" i="1"/>
  <c r="E29" i="1" s="1"/>
  <c r="Y29" i="1" s="1"/>
  <c r="D33" i="1"/>
  <c r="E33" i="1" s="1"/>
  <c r="Y33" i="1" s="1"/>
  <c r="D37" i="1"/>
  <c r="E38" i="1" s="1"/>
  <c r="Y38" i="1" s="1"/>
  <c r="D41" i="1"/>
  <c r="E41" i="1" s="1"/>
  <c r="Y41" i="1" s="1"/>
  <c r="B37" i="1"/>
  <c r="B38" i="1" s="1"/>
  <c r="B39" i="1" s="1"/>
  <c r="B40" i="1" s="1"/>
  <c r="B41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7" i="1"/>
  <c r="E26" i="1" l="1"/>
  <c r="Y26" i="1" s="1"/>
  <c r="Z26" i="1" s="1"/>
  <c r="E13" i="1"/>
  <c r="Y13" i="1" s="1"/>
  <c r="E18" i="1"/>
  <c r="Y18" i="1" s="1"/>
  <c r="Z18" i="1" s="1"/>
  <c r="E10" i="1"/>
  <c r="Y10" i="1" s="1"/>
  <c r="Z10" i="1" s="1"/>
  <c r="AG17" i="1"/>
  <c r="Z17" i="1"/>
  <c r="AG21" i="1"/>
  <c r="Z21" i="1"/>
  <c r="Z14" i="1"/>
  <c r="AG14" i="1"/>
  <c r="Z41" i="1"/>
  <c r="AG41" i="1"/>
  <c r="AG9" i="1"/>
  <c r="Z9" i="1"/>
  <c r="Z13" i="1"/>
  <c r="AG13" i="1"/>
  <c r="AG7" i="1"/>
  <c r="Z7" i="1"/>
  <c r="Z33" i="1"/>
  <c r="AG33" i="1"/>
  <c r="I6" i="1"/>
  <c r="J6" i="1" s="1"/>
  <c r="G7" i="1" s="1"/>
  <c r="Z38" i="1"/>
  <c r="AG38" i="1"/>
  <c r="AG29" i="1"/>
  <c r="Z29" i="1"/>
  <c r="Z22" i="1"/>
  <c r="AG22" i="1"/>
  <c r="L6" i="1"/>
  <c r="V6" i="1" s="1"/>
  <c r="E37" i="1"/>
  <c r="Y37" i="1" s="1"/>
  <c r="E6" i="1"/>
  <c r="Y6" i="1" s="1"/>
  <c r="E30" i="1"/>
  <c r="Y30" i="1" s="1"/>
  <c r="AG26" i="1"/>
  <c r="AG34" i="1"/>
  <c r="Z25" i="1"/>
  <c r="AG25" i="1"/>
  <c r="Z23" i="1"/>
  <c r="AG23" i="1"/>
  <c r="AG24" i="1"/>
  <c r="Z24" i="1"/>
  <c r="S6" i="1"/>
  <c r="H7" i="1"/>
  <c r="AG10" i="1" l="1"/>
  <c r="AG18" i="1"/>
  <c r="AG30" i="1"/>
  <c r="Z30" i="1"/>
  <c r="Y42" i="1"/>
  <c r="K6" i="1"/>
  <c r="Z6" i="1"/>
  <c r="AG6" i="1"/>
  <c r="Z37" i="1"/>
  <c r="AG37" i="1"/>
  <c r="M7" i="1"/>
  <c r="Q7" i="1" s="1"/>
  <c r="AG42" i="1" l="1"/>
  <c r="AG43" i="1" s="1"/>
  <c r="N6" i="1"/>
  <c r="O6" i="1" s="1"/>
  <c r="P6" i="1"/>
  <c r="U6" i="1"/>
  <c r="S7" i="1"/>
  <c r="H8" i="1"/>
  <c r="I7" i="1" l="1"/>
  <c r="R6" i="1"/>
  <c r="M8" i="1"/>
  <c r="Q8" i="1" s="1"/>
  <c r="K7" i="1" l="1"/>
  <c r="S8" i="1"/>
  <c r="H9" i="1"/>
  <c r="U7" i="1" l="1"/>
  <c r="N7" i="1"/>
  <c r="O7" i="1" s="1"/>
  <c r="M9" i="1"/>
  <c r="Q9" i="1" s="1"/>
  <c r="S9" i="1" l="1"/>
  <c r="H10" i="1"/>
  <c r="M10" i="1" l="1"/>
  <c r="Q10" i="1" s="1"/>
  <c r="H11" i="1" l="1"/>
  <c r="M11" i="1" s="1"/>
  <c r="S11" i="1" s="1"/>
  <c r="S10" i="1"/>
  <c r="H12" i="1" l="1"/>
  <c r="Q11" i="1"/>
  <c r="M12" i="1" l="1"/>
  <c r="H13" i="1" s="1"/>
  <c r="M13" i="1" l="1"/>
  <c r="S13" i="1" s="1"/>
  <c r="S12" i="1"/>
  <c r="Q12" i="1"/>
  <c r="Q13" i="1" l="1"/>
  <c r="H14" i="1"/>
  <c r="M14" i="1" l="1"/>
  <c r="Q14" i="1" s="1"/>
  <c r="S14" i="1" l="1"/>
  <c r="H15" i="1"/>
  <c r="M15" i="1" l="1"/>
  <c r="Q15" i="1" s="1"/>
  <c r="H16" i="1" l="1"/>
  <c r="S15" i="1"/>
  <c r="M16" i="1" l="1"/>
  <c r="H17" i="1" l="1"/>
  <c r="Q16" i="1"/>
  <c r="S16" i="1"/>
  <c r="M17" i="1" l="1"/>
  <c r="S17" i="1" s="1"/>
  <c r="H18" i="1" l="1"/>
  <c r="M18" i="1" s="1"/>
  <c r="H19" i="1" s="1"/>
  <c r="Q17" i="1"/>
  <c r="S18" i="1" l="1"/>
  <c r="M19" i="1"/>
  <c r="H20" i="1" s="1"/>
  <c r="Q18" i="1"/>
  <c r="Q19" i="1" l="1"/>
  <c r="M20" i="1"/>
  <c r="H21" i="1" s="1"/>
  <c r="S19" i="1"/>
  <c r="S20" i="1" l="1"/>
  <c r="M21" i="1"/>
  <c r="H22" i="1" s="1"/>
  <c r="Q20" i="1"/>
  <c r="M22" i="1" l="1"/>
  <c r="H23" i="1" s="1"/>
  <c r="S21" i="1"/>
  <c r="Q21" i="1"/>
  <c r="Q22" i="1" s="1"/>
  <c r="S22" i="1" l="1"/>
  <c r="M23" i="1"/>
  <c r="H24" i="1" s="1"/>
  <c r="Q23" i="1"/>
  <c r="S23" i="1" l="1"/>
  <c r="M24" i="1"/>
  <c r="S24" i="1" s="1"/>
  <c r="Q24" i="1" l="1"/>
  <c r="H25" i="1"/>
  <c r="M25" i="1"/>
  <c r="S25" i="1" s="1"/>
  <c r="Q25" i="1" l="1"/>
  <c r="H26" i="1"/>
  <c r="M26" i="1" l="1"/>
  <c r="Q26" i="1" s="1"/>
  <c r="H27" i="1" l="1"/>
  <c r="S26" i="1"/>
  <c r="L7" i="1"/>
  <c r="F7" i="1"/>
  <c r="J7" i="1"/>
  <c r="V7" i="1" l="1"/>
  <c r="P7" i="1"/>
  <c r="R7" i="1" s="1"/>
  <c r="M27" i="1"/>
  <c r="S27" i="1" s="1"/>
  <c r="G8" i="1"/>
  <c r="F8" i="1" s="1"/>
  <c r="H28" i="1" l="1"/>
  <c r="Q27" i="1"/>
  <c r="I8" i="1"/>
  <c r="K8" i="1" s="1"/>
  <c r="L8" i="1"/>
  <c r="V8" i="1" s="1"/>
  <c r="N8" i="1" l="1"/>
  <c r="O8" i="1" s="1"/>
  <c r="U8" i="1"/>
  <c r="M28" i="1"/>
  <c r="H29" i="1" s="1"/>
  <c r="J8" i="1"/>
  <c r="P8" i="1"/>
  <c r="G9" i="1"/>
  <c r="L9" i="1" s="1"/>
  <c r="V9" i="1" s="1"/>
  <c r="F9" i="1" l="1"/>
  <c r="I9" i="1"/>
  <c r="K9" i="1" s="1"/>
  <c r="R8" i="1"/>
  <c r="M29" i="1"/>
  <c r="S29" i="1" s="1"/>
  <c r="S28" i="1"/>
  <c r="Q28" i="1"/>
  <c r="N9" i="1" l="1"/>
  <c r="O9" i="1" s="1"/>
  <c r="P9" i="1"/>
  <c r="I10" i="1" s="1"/>
  <c r="J10" i="1" s="1"/>
  <c r="U9" i="1"/>
  <c r="J9" i="1"/>
  <c r="G10" i="1" s="1"/>
  <c r="F10" i="1" s="1"/>
  <c r="R9" i="1"/>
  <c r="Q29" i="1"/>
  <c r="H30" i="1"/>
  <c r="L10" i="1"/>
  <c r="V10" i="1" s="1"/>
  <c r="G11" i="1" l="1"/>
  <c r="M30" i="1"/>
  <c r="Q30" i="1" s="1"/>
  <c r="K10" i="1"/>
  <c r="U10" i="1" s="1"/>
  <c r="L11" i="1"/>
  <c r="V11" i="1" s="1"/>
  <c r="H31" i="1" l="1"/>
  <c r="S30" i="1"/>
  <c r="N10" i="1"/>
  <c r="O10" i="1" s="1"/>
  <c r="F11" i="1" s="1"/>
  <c r="P10" i="1"/>
  <c r="I11" i="1" l="1"/>
  <c r="K11" i="1" s="1"/>
  <c r="P11" i="1" s="1"/>
  <c r="R10" i="1"/>
  <c r="M31" i="1"/>
  <c r="J11" i="1"/>
  <c r="G12" i="1" s="1"/>
  <c r="I12" i="1" l="1"/>
  <c r="R11" i="1"/>
  <c r="L12" i="1"/>
  <c r="V12" i="1" s="1"/>
  <c r="N11" i="1"/>
  <c r="O11" i="1" s="1"/>
  <c r="F12" i="1" s="1"/>
  <c r="U11" i="1"/>
  <c r="U12" i="1" s="1"/>
  <c r="H32" i="1"/>
  <c r="Q31" i="1"/>
  <c r="S31" i="1"/>
  <c r="K12" i="1"/>
  <c r="J12" i="1"/>
  <c r="G13" i="1" l="1"/>
  <c r="M32" i="1"/>
  <c r="H33" i="1" s="1"/>
  <c r="N12" i="1"/>
  <c r="O12" i="1" s="1"/>
  <c r="P12" i="1"/>
  <c r="I13" i="1" s="1"/>
  <c r="L13" i="1" l="1"/>
  <c r="V13" i="1" s="1"/>
  <c r="F13" i="1"/>
  <c r="R12" i="1"/>
  <c r="Q32" i="1"/>
  <c r="M33" i="1"/>
  <c r="S33" i="1" s="1"/>
  <c r="S32" i="1"/>
  <c r="K13" i="1"/>
  <c r="J13" i="1"/>
  <c r="G14" i="1" s="1"/>
  <c r="N13" i="1" l="1"/>
  <c r="O13" i="1" s="1"/>
  <c r="F14" i="1" s="1"/>
  <c r="U13" i="1"/>
  <c r="H34" i="1"/>
  <c r="Q33" i="1"/>
  <c r="P13" i="1"/>
  <c r="R13" i="1" s="1"/>
  <c r="L14" i="1"/>
  <c r="V14" i="1" s="1"/>
  <c r="M34" i="1" l="1"/>
  <c r="H35" i="1" s="1"/>
  <c r="I14" i="1"/>
  <c r="K14" i="1" s="1"/>
  <c r="U14" i="1" s="1"/>
  <c r="S34" i="1" l="1"/>
  <c r="M35" i="1"/>
  <c r="H36" i="1" s="1"/>
  <c r="Q34" i="1"/>
  <c r="N14" i="1"/>
  <c r="O14" i="1" s="1"/>
  <c r="P14" i="1"/>
  <c r="J14" i="1"/>
  <c r="G15" i="1" s="1"/>
  <c r="F15" i="1" s="1"/>
  <c r="L15" i="1" l="1"/>
  <c r="V15" i="1" s="1"/>
  <c r="I15" i="1"/>
  <c r="K15" i="1" s="1"/>
  <c r="P15" i="1" s="1"/>
  <c r="R15" i="1" s="1"/>
  <c r="R14" i="1"/>
  <c r="Q35" i="1"/>
  <c r="M36" i="1"/>
  <c r="H37" i="1" s="1"/>
  <c r="S35" i="1"/>
  <c r="N15" i="1" l="1"/>
  <c r="O15" i="1" s="1"/>
  <c r="U15" i="1"/>
  <c r="J15" i="1"/>
  <c r="G16" i="1" s="1"/>
  <c r="F16" i="1" s="1"/>
  <c r="S36" i="1"/>
  <c r="M37" i="1"/>
  <c r="H38" i="1" s="1"/>
  <c r="Q36" i="1"/>
  <c r="I16" i="1"/>
  <c r="K16" i="1" s="1"/>
  <c r="N16" i="1" s="1"/>
  <c r="O16" i="1" s="1"/>
  <c r="L16" i="1"/>
  <c r="V16" i="1" s="1"/>
  <c r="U16" i="1" l="1"/>
  <c r="M38" i="1"/>
  <c r="H39" i="1" s="1"/>
  <c r="S37" i="1"/>
  <c r="Q37" i="1"/>
  <c r="P16" i="1"/>
  <c r="J16" i="1"/>
  <c r="G17" i="1" s="1"/>
  <c r="F17" i="1" s="1"/>
  <c r="I17" i="1" l="1"/>
  <c r="R16" i="1"/>
  <c r="M39" i="1"/>
  <c r="S39" i="1" s="1"/>
  <c r="S38" i="1"/>
  <c r="Q38" i="1"/>
  <c r="K17" i="1"/>
  <c r="N17" i="1" s="1"/>
  <c r="O17" i="1" s="1"/>
  <c r="L17" i="1"/>
  <c r="P17" i="1" l="1"/>
  <c r="R17" i="1" s="1"/>
  <c r="V17" i="1"/>
  <c r="U17" i="1"/>
  <c r="H40" i="1"/>
  <c r="Q39" i="1"/>
  <c r="J17" i="1"/>
  <c r="G18" i="1" s="1"/>
  <c r="I18" i="1" l="1"/>
  <c r="K18" i="1" s="1"/>
  <c r="N18" i="1" s="1"/>
  <c r="O18" i="1" s="1"/>
  <c r="F18" i="1"/>
  <c r="M40" i="1"/>
  <c r="H41" i="1" s="1"/>
  <c r="L18" i="1"/>
  <c r="P18" i="1" l="1"/>
  <c r="V18" i="1"/>
  <c r="R18" i="1"/>
  <c r="U18" i="1"/>
  <c r="M41" i="1"/>
  <c r="S41" i="1" s="1"/>
  <c r="S40" i="1"/>
  <c r="Q40" i="1"/>
  <c r="I19" i="1"/>
  <c r="J18" i="1"/>
  <c r="G19" i="1" s="1"/>
  <c r="F19" i="1" s="1"/>
  <c r="Q41" i="1" l="1"/>
  <c r="K19" i="1"/>
  <c r="N19" i="1" s="1"/>
  <c r="O19" i="1" s="1"/>
  <c r="L19" i="1"/>
  <c r="P19" i="1" s="1"/>
  <c r="R19" i="1" s="1"/>
  <c r="V19" i="1" l="1"/>
  <c r="U19" i="1"/>
  <c r="J19" i="1"/>
  <c r="G20" i="1" s="1"/>
  <c r="I20" i="1" l="1"/>
  <c r="K20" i="1" s="1"/>
  <c r="F20" i="1"/>
  <c r="L20" i="1"/>
  <c r="V20" i="1" s="1"/>
  <c r="N20" i="1" l="1"/>
  <c r="O20" i="1" s="1"/>
  <c r="U20" i="1"/>
  <c r="P20" i="1"/>
  <c r="R20" i="1" s="1"/>
  <c r="J20" i="1"/>
  <c r="G21" i="1" s="1"/>
  <c r="I21" i="1" l="1"/>
  <c r="K21" i="1" s="1"/>
  <c r="F21" i="1"/>
  <c r="L21" i="1"/>
  <c r="N21" i="1" l="1"/>
  <c r="O21" i="1" s="1"/>
  <c r="U21" i="1"/>
  <c r="J21" i="1"/>
  <c r="P21" i="1"/>
  <c r="R21" i="1" s="1"/>
  <c r="V21" i="1"/>
  <c r="G22" i="1"/>
  <c r="F22" i="1" l="1"/>
  <c r="L22" i="1"/>
  <c r="V22" i="1" s="1"/>
  <c r="I22" i="1"/>
  <c r="K22" i="1" l="1"/>
  <c r="U22" i="1" s="1"/>
  <c r="J22" i="1"/>
  <c r="G23" i="1" s="1"/>
  <c r="L23" i="1" l="1"/>
  <c r="V23" i="1" s="1"/>
  <c r="N22" i="1"/>
  <c r="O22" i="1" s="1"/>
  <c r="F23" i="1" s="1"/>
  <c r="P22" i="1"/>
  <c r="I23" i="1" l="1"/>
  <c r="J23" i="1" s="1"/>
  <c r="G24" i="1" s="1"/>
  <c r="L24" i="1" s="1"/>
  <c r="R22" i="1"/>
  <c r="K23" i="1" l="1"/>
  <c r="N23" i="1" s="1"/>
  <c r="O23" i="1" s="1"/>
  <c r="F24" i="1" s="1"/>
  <c r="V24" i="1"/>
  <c r="U23" i="1"/>
  <c r="P23" i="1"/>
  <c r="I24" i="1" l="1"/>
  <c r="J24" i="1" s="1"/>
  <c r="G25" i="1" s="1"/>
  <c r="R23" i="1"/>
  <c r="K24" i="1" l="1"/>
  <c r="L25" i="1"/>
  <c r="V25" i="1" l="1"/>
  <c r="N24" i="1"/>
  <c r="O24" i="1" s="1"/>
  <c r="F25" i="1" s="1"/>
  <c r="U24" i="1"/>
  <c r="P24" i="1"/>
  <c r="I25" i="1" l="1"/>
  <c r="R24" i="1"/>
  <c r="K25" i="1" l="1"/>
  <c r="J25" i="1"/>
  <c r="G26" i="1" s="1"/>
  <c r="L26" i="1" l="1"/>
  <c r="N25" i="1"/>
  <c r="O25" i="1" s="1"/>
  <c r="F26" i="1" s="1"/>
  <c r="U25" i="1"/>
  <c r="P25" i="1"/>
  <c r="V26" i="1" l="1"/>
  <c r="I26" i="1"/>
  <c r="R25" i="1"/>
  <c r="K26" i="1" l="1"/>
  <c r="J26" i="1"/>
  <c r="G27" i="1" s="1"/>
  <c r="L27" i="1" l="1"/>
  <c r="N26" i="1"/>
  <c r="O26" i="1" s="1"/>
  <c r="F27" i="1" s="1"/>
  <c r="P26" i="1"/>
  <c r="U26" i="1"/>
  <c r="I27" i="1" l="1"/>
  <c r="R26" i="1"/>
  <c r="V27" i="1"/>
  <c r="K27" i="1" l="1"/>
  <c r="J27" i="1"/>
  <c r="G28" i="1" s="1"/>
  <c r="L28" i="1" l="1"/>
  <c r="N27" i="1"/>
  <c r="O27" i="1" s="1"/>
  <c r="F28" i="1" s="1"/>
  <c r="U27" i="1"/>
  <c r="P27" i="1"/>
  <c r="I28" i="1" l="1"/>
  <c r="R27" i="1"/>
  <c r="V28" i="1"/>
  <c r="K28" i="1" l="1"/>
  <c r="J28" i="1"/>
  <c r="G29" i="1" s="1"/>
  <c r="L29" i="1" l="1"/>
  <c r="N28" i="1"/>
  <c r="O28" i="1" s="1"/>
  <c r="F29" i="1" s="1"/>
  <c r="U28" i="1"/>
  <c r="P28" i="1"/>
  <c r="R28" i="1" l="1"/>
  <c r="V29" i="1"/>
  <c r="I29" i="1"/>
  <c r="K29" i="1" l="1"/>
  <c r="J29" i="1"/>
  <c r="G30" i="1" s="1"/>
  <c r="L30" i="1" l="1"/>
  <c r="N29" i="1"/>
  <c r="O29" i="1" s="1"/>
  <c r="F30" i="1" s="1"/>
  <c r="P29" i="1"/>
  <c r="U29" i="1"/>
  <c r="I30" i="1" l="1"/>
  <c r="R29" i="1"/>
  <c r="V30" i="1"/>
  <c r="K30" i="1" l="1"/>
  <c r="J30" i="1"/>
  <c r="G31" i="1" s="1"/>
  <c r="L31" i="1" l="1"/>
  <c r="N30" i="1"/>
  <c r="O30" i="1" s="1"/>
  <c r="F31" i="1" s="1"/>
  <c r="U30" i="1"/>
  <c r="P30" i="1"/>
  <c r="R30" i="1" s="1"/>
  <c r="V31" i="1" l="1"/>
  <c r="I31" i="1"/>
  <c r="K31" i="1" l="1"/>
  <c r="J31" i="1"/>
  <c r="G32" i="1" s="1"/>
  <c r="L32" i="1" l="1"/>
  <c r="N31" i="1"/>
  <c r="O31" i="1" s="1"/>
  <c r="F32" i="1" s="1"/>
  <c r="P31" i="1"/>
  <c r="R31" i="1" s="1"/>
  <c r="U31" i="1"/>
  <c r="V32" i="1" l="1"/>
  <c r="I32" i="1"/>
  <c r="K32" i="1" l="1"/>
  <c r="J32" i="1"/>
  <c r="G33" i="1" s="1"/>
  <c r="L33" i="1" l="1"/>
  <c r="N32" i="1"/>
  <c r="O32" i="1" s="1"/>
  <c r="F33" i="1" s="1"/>
  <c r="P32" i="1"/>
  <c r="R32" i="1" s="1"/>
  <c r="U32" i="1"/>
  <c r="V33" i="1" l="1"/>
  <c r="I33" i="1"/>
  <c r="K33" i="1" l="1"/>
  <c r="J33" i="1"/>
  <c r="G34" i="1" s="1"/>
  <c r="L34" i="1" l="1"/>
  <c r="N33" i="1"/>
  <c r="O33" i="1" s="1"/>
  <c r="F34" i="1" s="1"/>
  <c r="U33" i="1"/>
  <c r="P33" i="1"/>
  <c r="I34" i="1" l="1"/>
  <c r="R33" i="1"/>
  <c r="V34" i="1"/>
  <c r="K34" i="1" l="1"/>
  <c r="J34" i="1"/>
  <c r="G35" i="1" s="1"/>
  <c r="N34" i="1" l="1"/>
  <c r="O34" i="1" s="1"/>
  <c r="P34" i="1"/>
  <c r="R34" i="1" s="1"/>
  <c r="U34" i="1"/>
  <c r="F35" i="1"/>
  <c r="L35" i="1"/>
  <c r="I35" i="1" l="1"/>
  <c r="K35" i="1" s="1"/>
  <c r="N35" i="1" s="1"/>
  <c r="O35" i="1" s="1"/>
  <c r="V35" i="1"/>
  <c r="P35" i="1" l="1"/>
  <c r="R35" i="1" s="1"/>
  <c r="U35" i="1"/>
  <c r="J35" i="1"/>
  <c r="G36" i="1" s="1"/>
  <c r="I36" i="1"/>
  <c r="K36" i="1" s="1"/>
  <c r="N36" i="1" s="1"/>
  <c r="O36" i="1" s="1"/>
  <c r="F36" i="1"/>
  <c r="L36" i="1"/>
  <c r="V36" i="1" s="1"/>
  <c r="P36" i="1" l="1"/>
  <c r="I37" i="1" s="1"/>
  <c r="K37" i="1" s="1"/>
  <c r="N37" i="1" s="1"/>
  <c r="O37" i="1" s="1"/>
  <c r="J36" i="1"/>
  <c r="G37" i="1" s="1"/>
  <c r="F37" i="1"/>
  <c r="L37" i="1"/>
  <c r="J37" i="1"/>
  <c r="R36" i="1"/>
  <c r="U36" i="1"/>
  <c r="U37" i="1" s="1"/>
  <c r="P37" i="1" l="1"/>
  <c r="G38" i="1"/>
  <c r="R37" i="1"/>
  <c r="V37" i="1"/>
  <c r="L38" i="1" l="1"/>
  <c r="V38" i="1" s="1"/>
  <c r="F38" i="1"/>
  <c r="I38" i="1"/>
  <c r="J38" i="1" s="1"/>
  <c r="G39" i="1" s="1"/>
  <c r="L39" i="1" l="1"/>
  <c r="V39" i="1" s="1"/>
  <c r="K38" i="1"/>
  <c r="U38" i="1" l="1"/>
  <c r="P38" i="1"/>
  <c r="N38" i="1"/>
  <c r="O38" i="1" s="1"/>
  <c r="F39" i="1" s="1"/>
  <c r="I39" i="1" l="1"/>
  <c r="R38" i="1"/>
  <c r="K39" i="1" l="1"/>
  <c r="J39" i="1"/>
  <c r="G40" i="1" s="1"/>
  <c r="L40" i="1" l="1"/>
  <c r="N39" i="1"/>
  <c r="O39" i="1" s="1"/>
  <c r="F40" i="1" s="1"/>
  <c r="P39" i="1"/>
  <c r="U39" i="1"/>
  <c r="I40" i="1" l="1"/>
  <c r="R39" i="1"/>
  <c r="V40" i="1"/>
  <c r="K40" i="1" l="1"/>
  <c r="J40" i="1"/>
  <c r="G41" i="1" s="1"/>
  <c r="L41" i="1" l="1"/>
  <c r="N40" i="1"/>
  <c r="O40" i="1" s="1"/>
  <c r="F41" i="1" s="1"/>
  <c r="U40" i="1"/>
  <c r="P40" i="1"/>
  <c r="I41" i="1" l="1"/>
  <c r="R40" i="1"/>
  <c r="T40" i="1"/>
  <c r="AA40" i="1" s="1"/>
  <c r="T41" i="1"/>
  <c r="AA41" i="1" s="1"/>
  <c r="T21" i="1"/>
  <c r="AA21" i="1" s="1"/>
  <c r="T9" i="1"/>
  <c r="AA9" i="1" s="1"/>
  <c r="T12" i="1"/>
  <c r="AA12" i="1" s="1"/>
  <c r="T17" i="1"/>
  <c r="AA17" i="1" s="1"/>
  <c r="T18" i="1"/>
  <c r="AA18" i="1" s="1"/>
  <c r="T20" i="1"/>
  <c r="AA20" i="1" s="1"/>
  <c r="T10" i="1"/>
  <c r="AA10" i="1" s="1"/>
  <c r="T19" i="1"/>
  <c r="AA19" i="1" s="1"/>
  <c r="T6" i="1"/>
  <c r="AA6" i="1" s="1"/>
  <c r="T23" i="1"/>
  <c r="AA23" i="1" s="1"/>
  <c r="T13" i="1"/>
  <c r="AA13" i="1" s="1"/>
  <c r="T16" i="1"/>
  <c r="AA16" i="1" s="1"/>
  <c r="T8" i="1"/>
  <c r="AA8" i="1" s="1"/>
  <c r="T15" i="1"/>
  <c r="AA15" i="1" s="1"/>
  <c r="T11" i="1"/>
  <c r="AA11" i="1" s="1"/>
  <c r="T22" i="1"/>
  <c r="AA22" i="1" s="1"/>
  <c r="T7" i="1"/>
  <c r="AA7" i="1" s="1"/>
  <c r="T14" i="1"/>
  <c r="AA14" i="1" s="1"/>
  <c r="T24" i="1"/>
  <c r="AA24" i="1" s="1"/>
  <c r="T25" i="1"/>
  <c r="AA25" i="1" s="1"/>
  <c r="T26" i="1"/>
  <c r="AA26" i="1" s="1"/>
  <c r="T27" i="1"/>
  <c r="AA27" i="1" s="1"/>
  <c r="T28" i="1"/>
  <c r="AA28" i="1" s="1"/>
  <c r="T29" i="1"/>
  <c r="AA29" i="1" s="1"/>
  <c r="T30" i="1"/>
  <c r="AA30" i="1" s="1"/>
  <c r="T31" i="1"/>
  <c r="AA31" i="1" s="1"/>
  <c r="T32" i="1"/>
  <c r="AA32" i="1" s="1"/>
  <c r="T33" i="1"/>
  <c r="AA33" i="1" s="1"/>
  <c r="T34" i="1"/>
  <c r="AA34" i="1" s="1"/>
  <c r="T38" i="1"/>
  <c r="AA38" i="1" s="1"/>
  <c r="T37" i="1"/>
  <c r="AA37" i="1" s="1"/>
  <c r="T36" i="1"/>
  <c r="AA36" i="1" s="1"/>
  <c r="T35" i="1"/>
  <c r="AA35" i="1" s="1"/>
  <c r="T39" i="1"/>
  <c r="AA39" i="1" s="1"/>
  <c r="V41" i="1"/>
  <c r="AB21" i="1" l="1"/>
  <c r="AI21" i="1" s="1"/>
  <c r="AH21" i="1"/>
  <c r="AB11" i="1"/>
  <c r="AI11" i="1" s="1"/>
  <c r="AH11" i="1"/>
  <c r="AJ11" i="1" s="1"/>
  <c r="AB40" i="1"/>
  <c r="AI40" i="1" s="1"/>
  <c r="AH40" i="1"/>
  <c r="AJ40" i="1" s="1"/>
  <c r="AH38" i="1"/>
  <c r="AB38" i="1"/>
  <c r="AI38" i="1" s="1"/>
  <c r="AH27" i="1"/>
  <c r="AB27" i="1"/>
  <c r="AI27" i="1" s="1"/>
  <c r="AB15" i="1"/>
  <c r="AI15" i="1" s="1"/>
  <c r="AH15" i="1"/>
  <c r="AJ15" i="1" s="1"/>
  <c r="AH20" i="1"/>
  <c r="AB20" i="1"/>
  <c r="AI20" i="1" s="1"/>
  <c r="AB6" i="1"/>
  <c r="AH6" i="1"/>
  <c r="AA42" i="1"/>
  <c r="AH22" i="1"/>
  <c r="AB22" i="1"/>
  <c r="AI22" i="1" s="1"/>
  <c r="AB28" i="1"/>
  <c r="AI28" i="1" s="1"/>
  <c r="AH28" i="1"/>
  <c r="AJ28" i="1" s="1"/>
  <c r="AB26" i="1"/>
  <c r="AI26" i="1" s="1"/>
  <c r="AH26" i="1"/>
  <c r="AB8" i="1"/>
  <c r="AI8" i="1" s="1"/>
  <c r="AH8" i="1"/>
  <c r="AB18" i="1"/>
  <c r="AI18" i="1" s="1"/>
  <c r="AH18" i="1"/>
  <c r="AH30" i="1"/>
  <c r="AB30" i="1"/>
  <c r="AI30" i="1" s="1"/>
  <c r="AB36" i="1"/>
  <c r="AI36" i="1" s="1"/>
  <c r="AH36" i="1"/>
  <c r="AH37" i="1"/>
  <c r="AJ37" i="1" s="1"/>
  <c r="AB37" i="1"/>
  <c r="AI37" i="1" s="1"/>
  <c r="AB34" i="1"/>
  <c r="AI34" i="1" s="1"/>
  <c r="AH34" i="1"/>
  <c r="AH33" i="1"/>
  <c r="AB33" i="1"/>
  <c r="AI33" i="1" s="1"/>
  <c r="AH25" i="1"/>
  <c r="AB25" i="1"/>
  <c r="AI25" i="1" s="1"/>
  <c r="AB16" i="1"/>
  <c r="AI16" i="1" s="1"/>
  <c r="AH16" i="1"/>
  <c r="AB17" i="1"/>
  <c r="AI17" i="1" s="1"/>
  <c r="AH17" i="1"/>
  <c r="K41" i="1"/>
  <c r="I42" i="1"/>
  <c r="N41" i="1"/>
  <c r="O41" i="1" s="1"/>
  <c r="J41" i="1"/>
  <c r="AH7" i="1"/>
  <c r="AJ7" i="1" s="1"/>
  <c r="AB7" i="1"/>
  <c r="AI7" i="1" s="1"/>
  <c r="AB29" i="1"/>
  <c r="AI29" i="1" s="1"/>
  <c r="AH29" i="1"/>
  <c r="AB10" i="1"/>
  <c r="AI10" i="1" s="1"/>
  <c r="AH10" i="1"/>
  <c r="AH24" i="1"/>
  <c r="AB24" i="1"/>
  <c r="AI24" i="1" s="1"/>
  <c r="AH13" i="1"/>
  <c r="AJ13" i="1" s="1"/>
  <c r="AB13" i="1"/>
  <c r="AI13" i="1" s="1"/>
  <c r="AB12" i="1"/>
  <c r="AI12" i="1" s="1"/>
  <c r="AH12" i="1"/>
  <c r="AB35" i="1"/>
  <c r="AI35" i="1" s="1"/>
  <c r="AH35" i="1"/>
  <c r="AJ35" i="1" s="1"/>
  <c r="AB19" i="1"/>
  <c r="AI19" i="1" s="1"/>
  <c r="AH19" i="1"/>
  <c r="AH41" i="1"/>
  <c r="AJ41" i="1" s="1"/>
  <c r="AB41" i="1"/>
  <c r="AI41" i="1" s="1"/>
  <c r="AB32" i="1"/>
  <c r="AI32" i="1" s="1"/>
  <c r="AH32" i="1"/>
  <c r="AH39" i="1"/>
  <c r="AB39" i="1"/>
  <c r="AI39" i="1" s="1"/>
  <c r="AB31" i="1"/>
  <c r="AI31" i="1" s="1"/>
  <c r="AH31" i="1"/>
  <c r="AB14" i="1"/>
  <c r="AI14" i="1" s="1"/>
  <c r="AH14" i="1"/>
  <c r="AB23" i="1"/>
  <c r="AI23" i="1" s="1"/>
  <c r="AH23" i="1"/>
  <c r="AB9" i="1"/>
  <c r="AI9" i="1" s="1"/>
  <c r="AH9" i="1"/>
  <c r="AJ9" i="1" s="1"/>
  <c r="AJ25" i="1" l="1"/>
  <c r="AJ24" i="1"/>
  <c r="AJ27" i="1"/>
  <c r="AJ23" i="1"/>
  <c r="AJ32" i="1"/>
  <c r="AJ29" i="1"/>
  <c r="AJ17" i="1"/>
  <c r="AJ34" i="1"/>
  <c r="AJ18" i="1"/>
  <c r="AJ21" i="1"/>
  <c r="AH42" i="1"/>
  <c r="AH43" i="1" s="1"/>
  <c r="AJ31" i="1"/>
  <c r="AJ19" i="1"/>
  <c r="AJ36" i="1"/>
  <c r="AJ26" i="1"/>
  <c r="AI6" i="1"/>
  <c r="AJ6" i="1" s="1"/>
  <c r="AB42" i="1"/>
  <c r="AB43" i="1" s="1"/>
  <c r="AJ38" i="1"/>
  <c r="K42" i="1"/>
  <c r="N42" i="1" s="1"/>
  <c r="AJ39" i="1"/>
  <c r="AJ10" i="1"/>
  <c r="U41" i="1"/>
  <c r="P41" i="1"/>
  <c r="R41" i="1" s="1"/>
  <c r="AJ33" i="1"/>
  <c r="AJ30" i="1"/>
  <c r="AJ20" i="1"/>
  <c r="AJ12" i="1"/>
  <c r="AJ22" i="1"/>
  <c r="AJ14" i="1"/>
  <c r="AJ16" i="1"/>
  <c r="AJ8" i="1"/>
  <c r="AJ42" i="1" l="1"/>
  <c r="AJ43" i="1" s="1"/>
  <c r="AJ45" i="1" s="1"/>
  <c r="AI42" i="1"/>
  <c r="AI43" i="1" s="1"/>
  <c r="AA43" i="1"/>
  <c r="AC43" i="1" s="1"/>
  <c r="AJ46" i="1" l="1"/>
</calcChain>
</file>

<file path=xl/sharedStrings.xml><?xml version="1.0" encoding="utf-8"?>
<sst xmlns="http://schemas.openxmlformats.org/spreadsheetml/2006/main" count="44" uniqueCount="44">
  <si>
    <t>nr_people</t>
  </si>
  <si>
    <t>vax_rate_total</t>
  </si>
  <si>
    <t>week_nr</t>
  </si>
  <si>
    <t>cumul_vax_rate_real</t>
  </si>
  <si>
    <t>cumul_vax_rate_of_vaccinated</t>
  </si>
  <si>
    <t>nr_people_vaccinated</t>
  </si>
  <si>
    <t>nr_people_alive_before</t>
  </si>
  <si>
    <t>intend_to_vaccinate</t>
  </si>
  <si>
    <t>dont_intend_to_vaccinate</t>
  </si>
  <si>
    <t>death_rate_intend</t>
  </si>
  <si>
    <t>death_rate_dont_intend</t>
  </si>
  <si>
    <t>this_week_vaccinated</t>
  </si>
  <si>
    <t>future_intend_to_vaccinate</t>
  </si>
  <si>
    <t>died_this_week_vaccinated</t>
  </si>
  <si>
    <t>died_thisweek_future_intend_to_vaccinate</t>
  </si>
  <si>
    <t>died_this_week_dont_intend_to_vaccinate</t>
  </si>
  <si>
    <t>this_week_vacc_alive_after</t>
  </si>
  <si>
    <t>cumul_vacc_alive_after</t>
  </si>
  <si>
    <t>vax_rate_thisweek_vaccinated</t>
  </si>
  <si>
    <t>cumul_vaccinated_and_intendedvacc_dead</t>
  </si>
  <si>
    <t>cumul_dont_intend_dead</t>
  </si>
  <si>
    <t>sanity_checl</t>
  </si>
  <si>
    <t>vaccinated_matched</t>
  </si>
  <si>
    <t>unvaccinated_matched</t>
  </si>
  <si>
    <t>nr_vaccinated_matches_this_startweek</t>
  </si>
  <si>
    <t>nr_unvaccinated_matches_this_startweek</t>
  </si>
  <si>
    <t>cumul_dont_intend_alive_after</t>
  </si>
  <si>
    <t>ratio_dont_intend_future_intend_alive</t>
  </si>
  <si>
    <t>nr_unvac_dont_intend</t>
  </si>
  <si>
    <t>nr_unvac_intend</t>
  </si>
  <si>
    <t>cumul_vaccinated_dead</t>
  </si>
  <si>
    <t>cumul_future_intended_vacc_dead</t>
  </si>
  <si>
    <t>vaccinated_expected_deaths</t>
  </si>
  <si>
    <t>unvaccinated_dontintend_expected_deaths</t>
  </si>
  <si>
    <t>unvaccinated_intend_expected_deaths</t>
  </si>
  <si>
    <t>unvaccinated_total_expected_deaths</t>
  </si>
  <si>
    <t>cumul prob of death (exp.):</t>
  </si>
  <si>
    <t>additional prob:</t>
  </si>
  <si>
    <t>cumul_prob_death_vaccinated_period_36W</t>
  </si>
  <si>
    <t>cumul_prob_death_unvaccinated_dontintend_period_36W</t>
  </si>
  <si>
    <t>cumul_prob_death_unvaccinated_intend_period_36W</t>
  </si>
  <si>
    <t>relative increase:</t>
  </si>
  <si>
    <t>MATCHING PROCESS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</si>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</sst>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cumul_vax_rate_of_vaccinated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Sheet1!$D$6:$D$41</c:f>
              <c:numCache>
                <c:formatCode>General</c:formatCode>
                <c:ptCount val="36"/>
                <c:pt idx="0">
                  <c:v>1.0905125408942203E-4</c:v>
                </c:pt>
                <c:pt idx="1">
                  <c:v>4.0000000000000002E-4</c:v>
                </c:pt>
                <c:pt idx="2">
                  <c:v>2E-3</c:v>
                </c:pt>
                <c:pt idx="3">
                  <c:v>3.2715376226826608E-3</c:v>
                </c:pt>
                <c:pt idx="4">
                  <c:v>5.0000000000000001E-3</c:v>
                </c:pt>
                <c:pt idx="5">
                  <c:v>8.0000000000000002E-3</c:v>
                </c:pt>
                <c:pt idx="6">
                  <c:v>1.7999999999999999E-2</c:v>
                </c:pt>
                <c:pt idx="7">
                  <c:v>2.7262813522355506E-2</c:v>
                </c:pt>
                <c:pt idx="8">
                  <c:v>0.05</c:v>
                </c:pt>
                <c:pt idx="9">
                  <c:v>0.09</c:v>
                </c:pt>
                <c:pt idx="10">
                  <c:v>0.13</c:v>
                </c:pt>
                <c:pt idx="11">
                  <c:v>0.17666303162486369</c:v>
                </c:pt>
                <c:pt idx="12">
                  <c:v>0.3</c:v>
                </c:pt>
                <c:pt idx="13">
                  <c:v>0.68</c:v>
                </c:pt>
                <c:pt idx="14">
                  <c:v>0.8</c:v>
                </c:pt>
                <c:pt idx="15">
                  <c:v>0.85278080697928027</c:v>
                </c:pt>
                <c:pt idx="16">
                  <c:v>0.9</c:v>
                </c:pt>
                <c:pt idx="17">
                  <c:v>0.94</c:v>
                </c:pt>
                <c:pt idx="18">
                  <c:v>0.97</c:v>
                </c:pt>
                <c:pt idx="19">
                  <c:v>0.97928026172300975</c:v>
                </c:pt>
                <c:pt idx="20">
                  <c:v>0.98</c:v>
                </c:pt>
                <c:pt idx="21">
                  <c:v>0.98199999999999998</c:v>
                </c:pt>
                <c:pt idx="22">
                  <c:v>0.98399999999999999</c:v>
                </c:pt>
                <c:pt idx="23">
                  <c:v>0.98909487459105783</c:v>
                </c:pt>
                <c:pt idx="24">
                  <c:v>0.99</c:v>
                </c:pt>
                <c:pt idx="25">
                  <c:v>0.99099999999999999</c:v>
                </c:pt>
                <c:pt idx="26">
                  <c:v>0.99299999999999999</c:v>
                </c:pt>
                <c:pt idx="27">
                  <c:v>0.99563794983642306</c:v>
                </c:pt>
                <c:pt idx="28">
                  <c:v>0.996</c:v>
                </c:pt>
                <c:pt idx="29">
                  <c:v>0.997</c:v>
                </c:pt>
                <c:pt idx="30">
                  <c:v>0.99750000000000005</c:v>
                </c:pt>
                <c:pt idx="31">
                  <c:v>0.99781897491821159</c:v>
                </c:pt>
                <c:pt idx="32">
                  <c:v>0.99850000000000005</c:v>
                </c:pt>
                <c:pt idx="33">
                  <c:v>0.999</c:v>
                </c:pt>
                <c:pt idx="34">
                  <c:v>0.99950000000000006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519-8845-E98C456A4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598496"/>
        <c:axId val="1954595136"/>
      </c:lineChart>
      <c:catAx>
        <c:axId val="195459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95136"/>
        <c:crosses val="autoZero"/>
        <c:auto val="1"/>
        <c:lblAlgn val="ctr"/>
        <c:lblOffset val="100"/>
        <c:noMultiLvlLbl val="0"/>
      </c:catAx>
      <c:valAx>
        <c:axId val="19545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9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vax_rate_thisweek_vaccinated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Sheet1!$E$6:$E$41</c:f>
              <c:numCache>
                <c:formatCode>General</c:formatCode>
                <c:ptCount val="36"/>
                <c:pt idx="0">
                  <c:v>1.0905125408942203E-4</c:v>
                </c:pt>
                <c:pt idx="1">
                  <c:v>2.9094874591057801E-4</c:v>
                </c:pt>
                <c:pt idx="2">
                  <c:v>1.6000000000000001E-3</c:v>
                </c:pt>
                <c:pt idx="3">
                  <c:v>1.2715376226826607E-3</c:v>
                </c:pt>
                <c:pt idx="4">
                  <c:v>1.7284623773173393E-3</c:v>
                </c:pt>
                <c:pt idx="5">
                  <c:v>3.0000000000000001E-3</c:v>
                </c:pt>
                <c:pt idx="6">
                  <c:v>9.9999999999999985E-3</c:v>
                </c:pt>
                <c:pt idx="7">
                  <c:v>9.2628135223555078E-3</c:v>
                </c:pt>
                <c:pt idx="8">
                  <c:v>2.2737186477644496E-2</c:v>
                </c:pt>
                <c:pt idx="9">
                  <c:v>3.9999999999999994E-2</c:v>
                </c:pt>
                <c:pt idx="10">
                  <c:v>4.0000000000000008E-2</c:v>
                </c:pt>
                <c:pt idx="11">
                  <c:v>4.6663031624863682E-2</c:v>
                </c:pt>
                <c:pt idx="12">
                  <c:v>0.1233369683751363</c:v>
                </c:pt>
                <c:pt idx="13">
                  <c:v>0.38000000000000006</c:v>
                </c:pt>
                <c:pt idx="14">
                  <c:v>0.12</c:v>
                </c:pt>
                <c:pt idx="15">
                  <c:v>5.2780806979280226E-2</c:v>
                </c:pt>
                <c:pt idx="16">
                  <c:v>4.7219193020719752E-2</c:v>
                </c:pt>
                <c:pt idx="17">
                  <c:v>3.9999999999999925E-2</c:v>
                </c:pt>
                <c:pt idx="18">
                  <c:v>3.0000000000000027E-2</c:v>
                </c:pt>
                <c:pt idx="19">
                  <c:v>9.280261723009775E-3</c:v>
                </c:pt>
                <c:pt idx="20">
                  <c:v>7.1973827699023385E-4</c:v>
                </c:pt>
                <c:pt idx="21">
                  <c:v>2.0000000000000018E-3</c:v>
                </c:pt>
                <c:pt idx="22">
                  <c:v>2.0000000000000018E-3</c:v>
                </c:pt>
                <c:pt idx="23">
                  <c:v>5.0948745910578408E-3</c:v>
                </c:pt>
                <c:pt idx="24">
                  <c:v>9.0512540894216453E-4</c:v>
                </c:pt>
                <c:pt idx="25">
                  <c:v>1.0000000000000009E-3</c:v>
                </c:pt>
                <c:pt idx="26">
                  <c:v>2.0000000000000018E-3</c:v>
                </c:pt>
                <c:pt idx="27">
                  <c:v>2.6379498364230702E-3</c:v>
                </c:pt>
                <c:pt idx="28">
                  <c:v>3.6205016357693243E-4</c:v>
                </c:pt>
                <c:pt idx="29">
                  <c:v>1.0000000000000009E-3</c:v>
                </c:pt>
                <c:pt idx="30">
                  <c:v>5.0000000000005596E-4</c:v>
                </c:pt>
                <c:pt idx="31">
                  <c:v>3.1897491821153423E-4</c:v>
                </c:pt>
                <c:pt idx="32">
                  <c:v>6.8102508178846666E-4</c:v>
                </c:pt>
                <c:pt idx="33">
                  <c:v>4.9999999999994493E-4</c:v>
                </c:pt>
                <c:pt idx="34">
                  <c:v>5.0000000000005596E-4</c:v>
                </c:pt>
                <c:pt idx="35">
                  <c:v>4.9999999999994493E-4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9-4E9D-8C5F-60532196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75712"/>
        <c:axId val="147473792"/>
      </c:lineChart>
      <c:catAx>
        <c:axId val="14747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792"/>
        <c:crosses val="autoZero"/>
        <c:auto val="1"/>
        <c:lblAlgn val="ctr"/>
        <c:lblOffset val="100"/>
        <c:noMultiLvlLbl val="0"/>
      </c:catAx>
      <c:valAx>
        <c:axId val="1474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Nr Selected Matched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Sheet1!$Y$5</c:f>
              <c:strCache>
                <c:ptCount val="1"/>
                <c:pt idx="0">
                  <c:v>nr_vaccinated_matches_this_startweek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Sheet1!$Y$6:$Y$41</c:f>
              <c:numCache>
                <c:formatCode>General</c:formatCode>
                <c:ptCount val="36"/>
                <c:pt idx="0">
                  <c:v>33</c:v>
                </c:pt>
                <c:pt idx="1">
                  <c:v>87</c:v>
                </c:pt>
                <c:pt idx="2">
                  <c:v>480</c:v>
                </c:pt>
                <c:pt idx="3">
                  <c:v>381</c:v>
                </c:pt>
                <c:pt idx="4">
                  <c:v>519</c:v>
                </c:pt>
                <c:pt idx="5">
                  <c:v>900</c:v>
                </c:pt>
                <c:pt idx="6">
                  <c:v>3000</c:v>
                </c:pt>
                <c:pt idx="7">
                  <c:v>2779</c:v>
                </c:pt>
                <c:pt idx="8">
                  <c:v>6821</c:v>
                </c:pt>
                <c:pt idx="9">
                  <c:v>12000</c:v>
                </c:pt>
                <c:pt idx="10">
                  <c:v>12000</c:v>
                </c:pt>
                <c:pt idx="11">
                  <c:v>13999</c:v>
                </c:pt>
                <c:pt idx="12">
                  <c:v>37001</c:v>
                </c:pt>
                <c:pt idx="13">
                  <c:v>114000</c:v>
                </c:pt>
                <c:pt idx="14">
                  <c:v>36000</c:v>
                </c:pt>
                <c:pt idx="15">
                  <c:v>15834</c:v>
                </c:pt>
                <c:pt idx="16">
                  <c:v>14166</c:v>
                </c:pt>
                <c:pt idx="17">
                  <c:v>12000</c:v>
                </c:pt>
                <c:pt idx="18">
                  <c:v>9000</c:v>
                </c:pt>
                <c:pt idx="19">
                  <c:v>2784</c:v>
                </c:pt>
                <c:pt idx="20">
                  <c:v>216</c:v>
                </c:pt>
                <c:pt idx="21">
                  <c:v>600</c:v>
                </c:pt>
                <c:pt idx="22">
                  <c:v>600</c:v>
                </c:pt>
                <c:pt idx="23">
                  <c:v>1528</c:v>
                </c:pt>
                <c:pt idx="24">
                  <c:v>272</c:v>
                </c:pt>
                <c:pt idx="25">
                  <c:v>300</c:v>
                </c:pt>
                <c:pt idx="26">
                  <c:v>600</c:v>
                </c:pt>
                <c:pt idx="27">
                  <c:v>791</c:v>
                </c:pt>
                <c:pt idx="28">
                  <c:v>109</c:v>
                </c:pt>
                <c:pt idx="29">
                  <c:v>300</c:v>
                </c:pt>
                <c:pt idx="30">
                  <c:v>150</c:v>
                </c:pt>
                <c:pt idx="31">
                  <c:v>96</c:v>
                </c:pt>
                <c:pt idx="32">
                  <c:v>204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A-4982-BF41-20355534CC1E}"/>
            </c:ext>
          </c:extLst>
        </c:ser>
        <c:ser>
          <c:idx val="1"/>
          <c:order val="1"/>
          <c:tx>
            <c:strRef>
              <c:f>Sheet1!$AA$5</c:f>
              <c:strCache>
                <c:ptCount val="1"/>
                <c:pt idx="0">
                  <c:v>nr_unvac_dont_intend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Sheet1!$AA$6:$AA$41</c:f>
              <c:numCache>
                <c:formatCode>General</c:formatCode>
                <c:ptCount val="36"/>
                <c:pt idx="0">
                  <c:v>10</c:v>
                </c:pt>
                <c:pt idx="1">
                  <c:v>27</c:v>
                </c:pt>
                <c:pt idx="2">
                  <c:v>151</c:v>
                </c:pt>
                <c:pt idx="3">
                  <c:v>120</c:v>
                </c:pt>
                <c:pt idx="4">
                  <c:v>165</c:v>
                </c:pt>
                <c:pt idx="5">
                  <c:v>287</c:v>
                </c:pt>
                <c:pt idx="6">
                  <c:v>962</c:v>
                </c:pt>
                <c:pt idx="7">
                  <c:v>895</c:v>
                </c:pt>
                <c:pt idx="8">
                  <c:v>2210</c:v>
                </c:pt>
                <c:pt idx="9">
                  <c:v>3908</c:v>
                </c:pt>
                <c:pt idx="10">
                  <c:v>3927</c:v>
                </c:pt>
                <c:pt idx="11">
                  <c:v>4603</c:v>
                </c:pt>
                <c:pt idx="12">
                  <c:v>12221</c:v>
                </c:pt>
                <c:pt idx="13">
                  <c:v>37798</c:v>
                </c:pt>
                <c:pt idx="14">
                  <c:v>11957</c:v>
                </c:pt>
                <c:pt idx="15">
                  <c:v>5265</c:v>
                </c:pt>
                <c:pt idx="16">
                  <c:v>4714</c:v>
                </c:pt>
                <c:pt idx="17">
                  <c:v>3995</c:v>
                </c:pt>
                <c:pt idx="18">
                  <c:v>2998</c:v>
                </c:pt>
                <c:pt idx="19">
                  <c:v>927</c:v>
                </c:pt>
                <c:pt idx="20">
                  <c:v>72</c:v>
                </c:pt>
                <c:pt idx="21">
                  <c:v>200</c:v>
                </c:pt>
                <c:pt idx="22">
                  <c:v>200</c:v>
                </c:pt>
                <c:pt idx="23">
                  <c:v>509</c:v>
                </c:pt>
                <c:pt idx="24">
                  <c:v>91</c:v>
                </c:pt>
                <c:pt idx="25">
                  <c:v>100</c:v>
                </c:pt>
                <c:pt idx="26">
                  <c:v>200</c:v>
                </c:pt>
                <c:pt idx="27">
                  <c:v>264</c:v>
                </c:pt>
                <c:pt idx="28">
                  <c:v>36</c:v>
                </c:pt>
                <c:pt idx="29">
                  <c:v>100</c:v>
                </c:pt>
                <c:pt idx="30">
                  <c:v>50</c:v>
                </c:pt>
                <c:pt idx="31">
                  <c:v>32</c:v>
                </c:pt>
                <c:pt idx="32">
                  <c:v>68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A-4982-BF41-20355534CC1E}"/>
            </c:ext>
          </c:extLst>
        </c:ser>
        <c:ser>
          <c:idx val="2"/>
          <c:order val="2"/>
          <c:tx>
            <c:strRef>
              <c:f>Sheet1!$AB$5</c:f>
              <c:strCache>
                <c:ptCount val="1"/>
                <c:pt idx="0">
                  <c:v>nr_unvac_intend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Sheet1!$AB$6:$AB$41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13</c:v>
                </c:pt>
                <c:pt idx="6">
                  <c:v>38</c:v>
                </c:pt>
                <c:pt idx="7">
                  <c:v>31</c:v>
                </c:pt>
                <c:pt idx="8">
                  <c:v>64</c:v>
                </c:pt>
                <c:pt idx="9">
                  <c:v>92</c:v>
                </c:pt>
                <c:pt idx="10">
                  <c:v>73</c:v>
                </c:pt>
                <c:pt idx="11">
                  <c:v>63</c:v>
                </c:pt>
                <c:pt idx="12">
                  <c:v>113</c:v>
                </c:pt>
                <c:pt idx="13">
                  <c:v>202</c:v>
                </c:pt>
                <c:pt idx="14">
                  <c:v>43</c:v>
                </c:pt>
                <c:pt idx="15">
                  <c:v>13</c:v>
                </c:pt>
                <c:pt idx="16">
                  <c:v>8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A-4982-BF41-20355534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102192"/>
        <c:axId val="271100752"/>
      </c:lineChart>
      <c:catAx>
        <c:axId val="27110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0752"/>
        <c:crosses val="autoZero"/>
        <c:auto val="1"/>
        <c:lblAlgn val="ctr"/>
        <c:lblOffset val="100"/>
        <c:noMultiLvlLbl val="0"/>
      </c:catAx>
      <c:valAx>
        <c:axId val="2711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Expected Cumul Number of Deaths Matched, From Start-Date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Sheet1!$AG$5</c:f>
              <c:strCache>
                <c:ptCount val="1"/>
                <c:pt idx="0">
                  <c:v>vaccinated_expected_deaths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Sheet1!$AG$6:$AG$41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16</c:v>
                </c:pt>
                <c:pt idx="6">
                  <c:v>54</c:v>
                </c:pt>
                <c:pt idx="7">
                  <c:v>50</c:v>
                </c:pt>
                <c:pt idx="8">
                  <c:v>122</c:v>
                </c:pt>
                <c:pt idx="9">
                  <c:v>214</c:v>
                </c:pt>
                <c:pt idx="10">
                  <c:v>214</c:v>
                </c:pt>
                <c:pt idx="11">
                  <c:v>250</c:v>
                </c:pt>
                <c:pt idx="12">
                  <c:v>660</c:v>
                </c:pt>
                <c:pt idx="13">
                  <c:v>2034</c:v>
                </c:pt>
                <c:pt idx="14">
                  <c:v>642</c:v>
                </c:pt>
                <c:pt idx="15">
                  <c:v>283</c:v>
                </c:pt>
                <c:pt idx="16">
                  <c:v>253</c:v>
                </c:pt>
                <c:pt idx="17">
                  <c:v>214</c:v>
                </c:pt>
                <c:pt idx="18">
                  <c:v>161</c:v>
                </c:pt>
                <c:pt idx="19">
                  <c:v>50</c:v>
                </c:pt>
                <c:pt idx="20">
                  <c:v>4</c:v>
                </c:pt>
                <c:pt idx="21">
                  <c:v>11</c:v>
                </c:pt>
                <c:pt idx="22">
                  <c:v>11</c:v>
                </c:pt>
                <c:pt idx="23">
                  <c:v>27</c:v>
                </c:pt>
                <c:pt idx="24">
                  <c:v>5</c:v>
                </c:pt>
                <c:pt idx="25">
                  <c:v>5</c:v>
                </c:pt>
                <c:pt idx="26">
                  <c:v>11</c:v>
                </c:pt>
                <c:pt idx="27">
                  <c:v>14</c:v>
                </c:pt>
                <c:pt idx="28">
                  <c:v>2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E-4683-83E0-16C08E49DBF2}"/>
            </c:ext>
          </c:extLst>
        </c:ser>
        <c:ser>
          <c:idx val="1"/>
          <c:order val="1"/>
          <c:tx>
            <c:strRef>
              <c:f>Sheet1!$AH$5</c:f>
              <c:strCache>
                <c:ptCount val="1"/>
                <c:pt idx="0">
                  <c:v>unvaccinated_dontintend_expected_deaths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Sheet1!$AH$6:$AH$41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17</c:v>
                </c:pt>
                <c:pt idx="7">
                  <c:v>16</c:v>
                </c:pt>
                <c:pt idx="8">
                  <c:v>39</c:v>
                </c:pt>
                <c:pt idx="9">
                  <c:v>70</c:v>
                </c:pt>
                <c:pt idx="10">
                  <c:v>70</c:v>
                </c:pt>
                <c:pt idx="11">
                  <c:v>82</c:v>
                </c:pt>
                <c:pt idx="12">
                  <c:v>218</c:v>
                </c:pt>
                <c:pt idx="13">
                  <c:v>674</c:v>
                </c:pt>
                <c:pt idx="14">
                  <c:v>213</c:v>
                </c:pt>
                <c:pt idx="15">
                  <c:v>94</c:v>
                </c:pt>
                <c:pt idx="16">
                  <c:v>84</c:v>
                </c:pt>
                <c:pt idx="17">
                  <c:v>71</c:v>
                </c:pt>
                <c:pt idx="18">
                  <c:v>53</c:v>
                </c:pt>
                <c:pt idx="19">
                  <c:v>17</c:v>
                </c:pt>
                <c:pt idx="20">
                  <c:v>1</c:v>
                </c:pt>
                <c:pt idx="21">
                  <c:v>4</c:v>
                </c:pt>
                <c:pt idx="22">
                  <c:v>4</c:v>
                </c:pt>
                <c:pt idx="23">
                  <c:v>9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5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E-4683-83E0-16C08E49DBF2}"/>
            </c:ext>
          </c:extLst>
        </c:ser>
        <c:ser>
          <c:idx val="2"/>
          <c:order val="2"/>
          <c:tx>
            <c:strRef>
              <c:f>Sheet1!$AI$5</c:f>
              <c:strCache>
                <c:ptCount val="1"/>
                <c:pt idx="0">
                  <c:v>unvaccinated_intend_expected_deaths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Sheet1!$AI$6:$AI$41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13</c:v>
                </c:pt>
                <c:pt idx="6">
                  <c:v>38</c:v>
                </c:pt>
                <c:pt idx="7">
                  <c:v>31</c:v>
                </c:pt>
                <c:pt idx="8">
                  <c:v>64</c:v>
                </c:pt>
                <c:pt idx="9">
                  <c:v>92</c:v>
                </c:pt>
                <c:pt idx="10">
                  <c:v>73</c:v>
                </c:pt>
                <c:pt idx="11">
                  <c:v>63</c:v>
                </c:pt>
                <c:pt idx="12">
                  <c:v>113</c:v>
                </c:pt>
                <c:pt idx="13">
                  <c:v>202</c:v>
                </c:pt>
                <c:pt idx="14">
                  <c:v>43</c:v>
                </c:pt>
                <c:pt idx="15">
                  <c:v>13</c:v>
                </c:pt>
                <c:pt idx="16">
                  <c:v>8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E-4683-83E0-16C08E49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301776"/>
        <c:axId val="548302736"/>
      </c:lineChart>
      <c:catAx>
        <c:axId val="54830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02736"/>
        <c:crosses val="autoZero"/>
        <c:auto val="1"/>
        <c:lblAlgn val="ctr"/>
        <c:lblOffset val="100"/>
        <c:noMultiLvlLbl val="0"/>
      </c:catAx>
      <c:valAx>
        <c:axId val="5483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0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Expected Number of Deaths</a:t>
            </a:r>
            <a:r>
              <a:rPr lang="en-GB" baseline="0"/>
              <a:t> Per Week and Per Vax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died_this_week_vaccinated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Sheet1!$K$6:$K$41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7</c:v>
                </c:pt>
                <c:pt idx="7">
                  <c:v>6</c:v>
                </c:pt>
                <c:pt idx="8">
                  <c:v>15</c:v>
                </c:pt>
                <c:pt idx="9">
                  <c:v>27</c:v>
                </c:pt>
                <c:pt idx="10">
                  <c:v>27</c:v>
                </c:pt>
                <c:pt idx="11">
                  <c:v>32</c:v>
                </c:pt>
                <c:pt idx="12">
                  <c:v>84</c:v>
                </c:pt>
                <c:pt idx="13">
                  <c:v>258</c:v>
                </c:pt>
                <c:pt idx="14">
                  <c:v>81</c:v>
                </c:pt>
                <c:pt idx="15">
                  <c:v>36</c:v>
                </c:pt>
                <c:pt idx="16">
                  <c:v>32</c:v>
                </c:pt>
                <c:pt idx="17">
                  <c:v>27</c:v>
                </c:pt>
                <c:pt idx="18">
                  <c:v>20</c:v>
                </c:pt>
                <c:pt idx="19">
                  <c:v>6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5-4E36-8329-B03BD4694AE5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died_thisweek_future_intend_to_vaccinate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Sheet1!$L$6:$L$41</c:f>
              <c:numCache>
                <c:formatCode>General</c:formatCode>
                <c:ptCount val="36"/>
                <c:pt idx="0">
                  <c:v>683</c:v>
                </c:pt>
                <c:pt idx="1">
                  <c:v>683</c:v>
                </c:pt>
                <c:pt idx="2">
                  <c:v>682</c:v>
                </c:pt>
                <c:pt idx="3">
                  <c:v>681</c:v>
                </c:pt>
                <c:pt idx="4">
                  <c:v>680</c:v>
                </c:pt>
                <c:pt idx="5">
                  <c:v>678</c:v>
                </c:pt>
                <c:pt idx="6">
                  <c:v>676</c:v>
                </c:pt>
                <c:pt idx="7">
                  <c:v>669</c:v>
                </c:pt>
                <c:pt idx="8">
                  <c:v>662</c:v>
                </c:pt>
                <c:pt idx="9">
                  <c:v>646</c:v>
                </c:pt>
                <c:pt idx="10">
                  <c:v>619</c:v>
                </c:pt>
                <c:pt idx="11">
                  <c:v>591</c:v>
                </c:pt>
                <c:pt idx="12">
                  <c:v>559</c:v>
                </c:pt>
                <c:pt idx="13">
                  <c:v>475</c:v>
                </c:pt>
                <c:pt idx="14">
                  <c:v>217</c:v>
                </c:pt>
                <c:pt idx="15">
                  <c:v>135</c:v>
                </c:pt>
                <c:pt idx="16">
                  <c:v>99</c:v>
                </c:pt>
                <c:pt idx="17">
                  <c:v>67</c:v>
                </c:pt>
                <c:pt idx="18">
                  <c:v>40</c:v>
                </c:pt>
                <c:pt idx="19">
                  <c:v>20</c:v>
                </c:pt>
                <c:pt idx="20">
                  <c:v>14</c:v>
                </c:pt>
                <c:pt idx="21">
                  <c:v>13</c:v>
                </c:pt>
                <c:pt idx="22">
                  <c:v>12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5-4E36-8329-B03BD4694AE5}"/>
            </c:ext>
          </c:extLst>
        </c:ser>
        <c:ser>
          <c:idx val="2"/>
          <c:order val="2"/>
          <c:tx>
            <c:strRef>
              <c:f>Sheet1!$M$5</c:f>
              <c:strCache>
                <c:ptCount val="1"/>
                <c:pt idx="0">
                  <c:v>died_this_week_dont_intend_to_vaccinate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Sheet1!$M$6:$M$41</c:f>
              <c:numCache>
                <c:formatCode>General</c:formatCode>
                <c:ptCount val="36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61</c:v>
                </c:pt>
                <c:pt idx="12">
                  <c:v>61</c:v>
                </c:pt>
                <c:pt idx="13">
                  <c:v>61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E5-4E36-8329-B03BD4694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119776"/>
        <c:axId val="529120736"/>
      </c:lineChart>
      <c:catAx>
        <c:axId val="52911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20736"/>
        <c:crosses val="autoZero"/>
        <c:auto val="1"/>
        <c:lblAlgn val="ctr"/>
        <c:lblOffset val="100"/>
        <c:noMultiLvlLbl val="0"/>
      </c:catAx>
      <c:valAx>
        <c:axId val="529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1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888472</xdr:colOff>
      <xdr:row>43</xdr:row>
      <xdr:rowOff>21694</xdr:rowOff>
    </xdr:from>
    <xdr:to>
      <xdr:col>8</xdr:col>
      <xdr:colOff>231247</xdr:colOff>
      <xdr:row>66</xdr:row>
      <xdr:rowOff>40745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601EF-B58F-4408-3AA7-8259DB4B9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34396</xdr:colOff>
      <xdr:row>42</xdr:row>
      <xdr:rowOff>156104</xdr:rowOff>
    </xdr:from>
    <xdr:to>
      <xdr:col>16</xdr:col>
      <xdr:colOff>338666</xdr:colOff>
      <xdr:row>65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4B26D-2A5C-CD89-F67D-AA71E8F7E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87310</xdr:colOff>
      <xdr:row>42</xdr:row>
      <xdr:rowOff>169862</xdr:rowOff>
    </xdr:from>
    <xdr:to>
      <xdr:col>27</xdr:col>
      <xdr:colOff>262994</xdr:colOff>
      <xdr:row>66</xdr:row>
      <xdr:rowOff>165630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046C12-9B4E-9B5C-9EEB-FF0FA978B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91016</xdr:colOff>
      <xdr:row>69</xdr:row>
      <xdr:rowOff>58737</xdr:rowOff>
    </xdr:from>
    <xdr:to>
      <xdr:col>26</xdr:col>
      <xdr:colOff>604838</xdr:colOff>
      <xdr:row>92</xdr:row>
      <xdr:rowOff>42334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F84E0E-133E-1480-8D65-ECC839A6B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76729</xdr:colOff>
      <xdr:row>71</xdr:row>
      <xdr:rowOff>150284</xdr:rowOff>
    </xdr:from>
    <xdr:to>
      <xdr:col>16</xdr:col>
      <xdr:colOff>253999</xdr:colOff>
      <xdr:row>91</xdr:row>
      <xdr:rowOff>116416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7F2CF6-33D6-8E33-6460-2A3587990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D83B-A120-4401-97C5-A472A1C24D0B}">
  <sheetPr>
    <pageSetUpPr fitToPage="1"/>
  </sheetPr>
  <dimension ref="A2:AJ46"/>
  <sheetViews>
    <sheetView tabSelected="1" topLeftCell="H1" zoomScale="90" zoomScaleNormal="90" workbookViewId="0">
      <selection activeCell="AD6" sqref="AD6"/>
    </sheetView>
  </sheetViews>
  <sheetFormatPr defaultRowHeight="14.5" x14ac:dyDescent="0.35"/>
  <cols>
    <col min="3" max="3" width="18.6328125" bestFit="1" customWidth="1"/>
    <col min="4" max="4" width="25.81640625" bestFit="1" customWidth="1"/>
    <col min="5" max="5" width="19.453125" bestFit="1" customWidth="1"/>
    <col min="6" max="6" width="15.26953125" customWidth="1"/>
    <col min="7" max="7" width="10.453125" customWidth="1"/>
    <col min="8" max="8" width="18.6328125" customWidth="1"/>
    <col min="9" max="9" width="12.36328125" customWidth="1"/>
    <col min="10" max="10" width="15.6328125" customWidth="1"/>
    <col min="11" max="11" width="14.26953125" customWidth="1"/>
    <col min="12" max="12" width="13.26953125" customWidth="1"/>
    <col min="13" max="13" width="13.81640625" customWidth="1"/>
    <col min="20" max="20" width="14.26953125" customWidth="1"/>
    <col min="21" max="21" width="13" customWidth="1"/>
    <col min="22" max="22" width="10.1796875" customWidth="1"/>
    <col min="30" max="30" width="11.81640625" bestFit="1" customWidth="1"/>
    <col min="31" max="31" width="12.6328125" customWidth="1"/>
    <col min="32" max="32" width="11.6328125" customWidth="1"/>
    <col min="33" max="33" width="11.81640625" bestFit="1" customWidth="1"/>
    <col min="34" max="34" width="10.81640625" bestFit="1" customWidth="1"/>
    <col min="36" max="36" width="10.81640625" bestFit="1" customWidth="1"/>
  </cols>
  <sheetData>
    <row r="2" spans="1:36" x14ac:dyDescent="0.35">
      <c r="A2" t="s">
        <v>0</v>
      </c>
      <c r="B2">
        <v>1490000</v>
      </c>
      <c r="C2" t="s">
        <v>5</v>
      </c>
      <c r="D2" s="1">
        <f>B2*B3</f>
        <v>1366330</v>
      </c>
      <c r="E2" t="s">
        <v>9</v>
      </c>
      <c r="F2">
        <v>5.0000000000000001E-4</v>
      </c>
      <c r="H2" t="s">
        <v>22</v>
      </c>
      <c r="I2">
        <v>300000</v>
      </c>
    </row>
    <row r="3" spans="1:36" x14ac:dyDescent="0.35">
      <c r="A3" t="s">
        <v>1</v>
      </c>
      <c r="B3">
        <v>0.91700000000000004</v>
      </c>
      <c r="E3" t="s">
        <v>10</v>
      </c>
      <c r="F3">
        <v>5.0000000000000001E-4</v>
      </c>
      <c r="H3" t="s">
        <v>23</v>
      </c>
      <c r="I3">
        <v>100000</v>
      </c>
      <c r="Y3" s="4" t="s">
        <v>42</v>
      </c>
    </row>
    <row r="5" spans="1:36" ht="72.5" x14ac:dyDescent="0.35">
      <c r="B5" t="s">
        <v>2</v>
      </c>
      <c r="C5" t="s">
        <v>3</v>
      </c>
      <c r="D5" t="s">
        <v>4</v>
      </c>
      <c r="E5" t="s">
        <v>18</v>
      </c>
      <c r="F5" s="2" t="s">
        <v>6</v>
      </c>
      <c r="G5" s="2" t="s">
        <v>7</v>
      </c>
      <c r="H5" s="2" t="s">
        <v>8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19</v>
      </c>
      <c r="Q5" s="2" t="s">
        <v>20</v>
      </c>
      <c r="R5" s="2" t="s">
        <v>21</v>
      </c>
      <c r="S5" s="2" t="s">
        <v>26</v>
      </c>
      <c r="T5" s="2" t="s">
        <v>27</v>
      </c>
      <c r="U5" s="2" t="s">
        <v>30</v>
      </c>
      <c r="V5" s="2" t="s">
        <v>31</v>
      </c>
      <c r="Y5" s="2" t="s">
        <v>24</v>
      </c>
      <c r="Z5" s="2" t="s">
        <v>25</v>
      </c>
      <c r="AA5" s="2" t="s">
        <v>28</v>
      </c>
      <c r="AB5" s="2" t="s">
        <v>29</v>
      </c>
      <c r="AD5" s="2" t="s">
        <v>38</v>
      </c>
      <c r="AE5" s="2" t="s">
        <v>39</v>
      </c>
      <c r="AF5" s="2" t="s">
        <v>40</v>
      </c>
      <c r="AG5" s="2" t="s">
        <v>32</v>
      </c>
      <c r="AH5" s="2" t="s">
        <v>33</v>
      </c>
      <c r="AI5" s="2" t="s">
        <v>34</v>
      </c>
      <c r="AJ5" s="2" t="s">
        <v>35</v>
      </c>
    </row>
    <row r="6" spans="1:36" x14ac:dyDescent="0.35">
      <c r="B6">
        <v>1</v>
      </c>
      <c r="C6">
        <v>1E-4</v>
      </c>
      <c r="D6">
        <f>C6/B$3</f>
        <v>1.0905125408942203E-4</v>
      </c>
      <c r="E6">
        <f>D6</f>
        <v>1.0905125408942203E-4</v>
      </c>
      <c r="F6">
        <f>B2</f>
        <v>1490000</v>
      </c>
      <c r="G6">
        <f>F6*B$3</f>
        <v>1366330</v>
      </c>
      <c r="H6">
        <f>F6*(1-B$3)</f>
        <v>123669.99999999994</v>
      </c>
      <c r="I6">
        <f>ROUND(G6*E6,0)</f>
        <v>149</v>
      </c>
      <c r="J6">
        <f>G6-I6</f>
        <v>1366181</v>
      </c>
      <c r="K6">
        <f>ROUND(I6*F$2,0)</f>
        <v>0</v>
      </c>
      <c r="L6">
        <f>ROUND(G6*F$2,0)</f>
        <v>683</v>
      </c>
      <c r="M6">
        <f>ROUND(H6*F$3,0)</f>
        <v>62</v>
      </c>
      <c r="N6">
        <f>I6-K6</f>
        <v>149</v>
      </c>
      <c r="O6">
        <f>N6</f>
        <v>149</v>
      </c>
      <c r="P6">
        <f>K6+L6</f>
        <v>683</v>
      </c>
      <c r="Q6">
        <f>M6</f>
        <v>62</v>
      </c>
      <c r="R6">
        <f t="shared" ref="R6:R40" si="0">F6+P6+Q6-M6-L6-K6</f>
        <v>1490000</v>
      </c>
      <c r="S6">
        <f>H6-M6</f>
        <v>123607.99999999994</v>
      </c>
      <c r="T6">
        <f>S6/(S6+SUM(L7:L$41))</f>
        <v>0.93242611227614924</v>
      </c>
      <c r="U6">
        <f>K6</f>
        <v>0</v>
      </c>
      <c r="V6">
        <f>L6</f>
        <v>683</v>
      </c>
      <c r="Y6">
        <f t="shared" ref="Y6:Y41" si="1">ROUND(E6*I$2,0)</f>
        <v>33</v>
      </c>
      <c r="Z6">
        <f>ROUND(Y6/3,0)</f>
        <v>11</v>
      </c>
      <c r="AA6">
        <f t="shared" ref="AA6:AA41" si="2">ROUND(Z6*T6,0)</f>
        <v>10</v>
      </c>
      <c r="AB6">
        <f>Z6-AA6</f>
        <v>1</v>
      </c>
      <c r="AD6">
        <f>1-((1-F$2)^(B$41))</f>
        <v>1.7843388830185658E-2</v>
      </c>
      <c r="AE6">
        <f>1-((1-F$3)^(B$41))</f>
        <v>1.7843388830185658E-2</v>
      </c>
      <c r="AF6">
        <v>1</v>
      </c>
      <c r="AG6">
        <f>ROUND(AD6*Y6,0)</f>
        <v>1</v>
      </c>
      <c r="AH6">
        <f>ROUND(AE6*AA6,0)</f>
        <v>0</v>
      </c>
      <c r="AI6">
        <f>ROUND(AF6*AB6,0)</f>
        <v>1</v>
      </c>
      <c r="AJ6">
        <f>AH6+AI6</f>
        <v>1</v>
      </c>
    </row>
    <row r="7" spans="1:36" x14ac:dyDescent="0.35">
      <c r="B7">
        <f>B6+1</f>
        <v>2</v>
      </c>
      <c r="D7">
        <v>4.0000000000000002E-4</v>
      </c>
      <c r="E7">
        <f>D7-D6</f>
        <v>2.9094874591057801E-4</v>
      </c>
      <c r="F7">
        <f>G7+H7+O6</f>
        <v>1489255</v>
      </c>
      <c r="G7">
        <f>J6-L6</f>
        <v>1365498</v>
      </c>
      <c r="H7">
        <f>H6-M6</f>
        <v>123607.99999999994</v>
      </c>
      <c r="I7">
        <f t="shared" ref="I7:I39" si="3">MIN(ROUND((D$2-P6)*E7,0),G7)</f>
        <v>397</v>
      </c>
      <c r="J7">
        <f>G7-I7</f>
        <v>1365101</v>
      </c>
      <c r="K7">
        <f>ROUND(I7*F$2,0)</f>
        <v>0</v>
      </c>
      <c r="L7">
        <f>ROUND(G7*F$2,0)</f>
        <v>683</v>
      </c>
      <c r="M7">
        <f>ROUND(H7*F$3,0)</f>
        <v>62</v>
      </c>
      <c r="N7">
        <f>I7-K7</f>
        <v>397</v>
      </c>
      <c r="O7">
        <f>O6+N7</f>
        <v>546</v>
      </c>
      <c r="P7">
        <f>P6+K7+L7</f>
        <v>1366</v>
      </c>
      <c r="Q7">
        <f>Q6+M7</f>
        <v>124</v>
      </c>
      <c r="R7">
        <f t="shared" si="0"/>
        <v>1490000</v>
      </c>
      <c r="S7">
        <f t="shared" ref="S7:S41" si="4">H7-M7</f>
        <v>123545.99999999994</v>
      </c>
      <c r="T7">
        <f>S7/(S7+SUM(L8:L$41))</f>
        <v>0.93722548000697914</v>
      </c>
      <c r="U7">
        <f>U6+K7</f>
        <v>0</v>
      </c>
      <c r="V7">
        <f>V6+L7</f>
        <v>1366</v>
      </c>
      <c r="Y7">
        <f t="shared" si="1"/>
        <v>87</v>
      </c>
      <c r="Z7">
        <f t="shared" ref="Z7:Z41" si="5">ROUND(Y7/3,0)</f>
        <v>29</v>
      </c>
      <c r="AA7">
        <f t="shared" si="2"/>
        <v>27</v>
      </c>
      <c r="AB7">
        <f t="shared" ref="AB7:AB41" si="6">Z7-AA7</f>
        <v>2</v>
      </c>
      <c r="AD7">
        <f t="shared" ref="AD7:AD41" si="7">1-((1-F$2)^(B$41))</f>
        <v>1.7843388830185658E-2</v>
      </c>
      <c r="AE7">
        <f t="shared" ref="AE7:AE41" si="8">1-((1-F$3)^(B$41))</f>
        <v>1.7843388830185658E-2</v>
      </c>
      <c r="AF7">
        <v>1</v>
      </c>
      <c r="AG7">
        <f t="shared" ref="AG7:AG41" si="9">ROUND(AD7*Y7,0)</f>
        <v>2</v>
      </c>
      <c r="AH7">
        <f t="shared" ref="AH7:AH41" si="10">ROUND(AE7*AA7,0)</f>
        <v>0</v>
      </c>
      <c r="AI7">
        <f t="shared" ref="AI7:AI41" si="11">ROUND(AF7*AB7,0)</f>
        <v>2</v>
      </c>
      <c r="AJ7">
        <f t="shared" ref="AJ7:AJ41" si="12">AH7+AI7</f>
        <v>2</v>
      </c>
    </row>
    <row r="8" spans="1:36" x14ac:dyDescent="0.35">
      <c r="B8">
        <f t="shared" ref="B8:B41" si="13">B7+1</f>
        <v>3</v>
      </c>
      <c r="D8">
        <v>2E-3</v>
      </c>
      <c r="E8">
        <f t="shared" ref="E8:E41" si="14">D8-D7</f>
        <v>1.6000000000000001E-3</v>
      </c>
      <c r="F8">
        <f t="shared" ref="F8:F41" si="15">G8+H8+O7</f>
        <v>1488510</v>
      </c>
      <c r="G8">
        <f>J7-L7</f>
        <v>1364418</v>
      </c>
      <c r="H8">
        <f>H7-M7</f>
        <v>123545.99999999994</v>
      </c>
      <c r="I8">
        <f t="shared" si="3"/>
        <v>2184</v>
      </c>
      <c r="J8">
        <f>G8-I8</f>
        <v>1362234</v>
      </c>
      <c r="K8">
        <f>ROUND(I8*F$2,0)</f>
        <v>1</v>
      </c>
      <c r="L8">
        <f>ROUND(G8*F$2,0)</f>
        <v>682</v>
      </c>
      <c r="M8">
        <f>ROUND(H8*F$3,0)</f>
        <v>62</v>
      </c>
      <c r="N8">
        <f>I8-K8</f>
        <v>2183</v>
      </c>
      <c r="O8">
        <f t="shared" ref="O8:O41" si="16">O7+N8</f>
        <v>2729</v>
      </c>
      <c r="P8">
        <f t="shared" ref="P8:P41" si="17">P7+K8+L8</f>
        <v>2049</v>
      </c>
      <c r="Q8">
        <f t="shared" ref="Q8:Q41" si="18">Q7+M8</f>
        <v>186</v>
      </c>
      <c r="R8">
        <f t="shared" si="0"/>
        <v>1490000</v>
      </c>
      <c r="S8">
        <f t="shared" si="4"/>
        <v>123483.99999999994</v>
      </c>
      <c r="T8">
        <f>S8/(S8+SUM(L9:L$41))</f>
        <v>0.94207221709376932</v>
      </c>
      <c r="U8">
        <f t="shared" ref="U8:U41" si="19">U7+K8</f>
        <v>1</v>
      </c>
      <c r="V8">
        <f t="shared" ref="V8:V41" si="20">V7+L8</f>
        <v>2048</v>
      </c>
      <c r="Y8">
        <f t="shared" si="1"/>
        <v>480</v>
      </c>
      <c r="Z8">
        <f t="shared" si="5"/>
        <v>160</v>
      </c>
      <c r="AA8">
        <f t="shared" si="2"/>
        <v>151</v>
      </c>
      <c r="AB8">
        <f t="shared" si="6"/>
        <v>9</v>
      </c>
      <c r="AD8">
        <f t="shared" si="7"/>
        <v>1.7843388830185658E-2</v>
      </c>
      <c r="AE8">
        <f t="shared" si="8"/>
        <v>1.7843388830185658E-2</v>
      </c>
      <c r="AF8">
        <v>1</v>
      </c>
      <c r="AG8">
        <f t="shared" si="9"/>
        <v>9</v>
      </c>
      <c r="AH8">
        <f t="shared" si="10"/>
        <v>3</v>
      </c>
      <c r="AI8">
        <f t="shared" si="11"/>
        <v>9</v>
      </c>
      <c r="AJ8">
        <f t="shared" si="12"/>
        <v>12</v>
      </c>
    </row>
    <row r="9" spans="1:36" x14ac:dyDescent="0.35">
      <c r="B9">
        <f t="shared" si="13"/>
        <v>4</v>
      </c>
      <c r="C9">
        <v>3.0000000000000001E-3</v>
      </c>
      <c r="D9">
        <f>C9/B$3</f>
        <v>3.2715376226826608E-3</v>
      </c>
      <c r="E9">
        <f t="shared" si="14"/>
        <v>1.2715376226826607E-3</v>
      </c>
      <c r="F9">
        <f t="shared" si="15"/>
        <v>1487765</v>
      </c>
      <c r="G9">
        <f>J8-L8</f>
        <v>1361552</v>
      </c>
      <c r="H9">
        <f>H8-M8</f>
        <v>123483.99999999994</v>
      </c>
      <c r="I9">
        <f t="shared" si="3"/>
        <v>1735</v>
      </c>
      <c r="J9">
        <f>G9-I9</f>
        <v>1359817</v>
      </c>
      <c r="K9">
        <f>ROUND(I9*F$2,0)</f>
        <v>1</v>
      </c>
      <c r="L9">
        <f>ROUND(G9*F$2,0)</f>
        <v>681</v>
      </c>
      <c r="M9">
        <f>ROUND(H9*F$3,0)</f>
        <v>62</v>
      </c>
      <c r="N9">
        <f>I9-K9</f>
        <v>1734</v>
      </c>
      <c r="O9">
        <f t="shared" si="16"/>
        <v>4463</v>
      </c>
      <c r="P9">
        <f t="shared" si="17"/>
        <v>2731</v>
      </c>
      <c r="Q9">
        <f t="shared" si="18"/>
        <v>248</v>
      </c>
      <c r="R9">
        <f t="shared" si="0"/>
        <v>1490000</v>
      </c>
      <c r="S9">
        <f t="shared" si="4"/>
        <v>123421.99999999994</v>
      </c>
      <c r="T9">
        <f>S9/(S9+SUM(L10:L$41))</f>
        <v>0.9469670231865821</v>
      </c>
      <c r="U9">
        <f t="shared" si="19"/>
        <v>2</v>
      </c>
      <c r="V9">
        <f t="shared" si="20"/>
        <v>2729</v>
      </c>
      <c r="Y9">
        <f t="shared" si="1"/>
        <v>381</v>
      </c>
      <c r="Z9">
        <f t="shared" si="5"/>
        <v>127</v>
      </c>
      <c r="AA9">
        <f t="shared" si="2"/>
        <v>120</v>
      </c>
      <c r="AB9">
        <f t="shared" si="6"/>
        <v>7</v>
      </c>
      <c r="AD9">
        <f t="shared" si="7"/>
        <v>1.7843388830185658E-2</v>
      </c>
      <c r="AE9">
        <f t="shared" si="8"/>
        <v>1.7843388830185658E-2</v>
      </c>
      <c r="AF9">
        <v>1</v>
      </c>
      <c r="AG9">
        <f t="shared" si="9"/>
        <v>7</v>
      </c>
      <c r="AH9">
        <f t="shared" si="10"/>
        <v>2</v>
      </c>
      <c r="AI9">
        <f t="shared" si="11"/>
        <v>7</v>
      </c>
      <c r="AJ9">
        <f t="shared" si="12"/>
        <v>9</v>
      </c>
    </row>
    <row r="10" spans="1:36" x14ac:dyDescent="0.35">
      <c r="B10">
        <f t="shared" si="13"/>
        <v>5</v>
      </c>
      <c r="D10">
        <v>5.0000000000000001E-3</v>
      </c>
      <c r="E10">
        <f t="shared" si="14"/>
        <v>1.7284623773173393E-3</v>
      </c>
      <c r="F10">
        <f t="shared" si="15"/>
        <v>1487021</v>
      </c>
      <c r="G10">
        <f t="shared" ref="G10:G41" si="21">J9-L9</f>
        <v>1359136</v>
      </c>
      <c r="H10">
        <f t="shared" ref="H10:H41" si="22">H9-M9</f>
        <v>123421.99999999994</v>
      </c>
      <c r="I10">
        <f t="shared" si="3"/>
        <v>2357</v>
      </c>
      <c r="J10">
        <f t="shared" ref="J10:J41" si="23">G10-I10</f>
        <v>1356779</v>
      </c>
      <c r="K10">
        <f t="shared" ref="K10:K42" si="24">ROUND(I10*F$2,0)</f>
        <v>1</v>
      </c>
      <c r="L10">
        <f t="shared" ref="L10:L41" si="25">ROUND(G10*F$2,0)</f>
        <v>680</v>
      </c>
      <c r="M10">
        <f t="shared" ref="M10:M41" si="26">ROUND(H10*F$3,0)</f>
        <v>62</v>
      </c>
      <c r="N10">
        <f t="shared" ref="N10:N42" si="27">I10-K10</f>
        <v>2356</v>
      </c>
      <c r="O10">
        <f t="shared" si="16"/>
        <v>6819</v>
      </c>
      <c r="P10">
        <f t="shared" si="17"/>
        <v>3412</v>
      </c>
      <c r="Q10">
        <f t="shared" si="18"/>
        <v>310</v>
      </c>
      <c r="R10">
        <f t="shared" si="0"/>
        <v>1490000</v>
      </c>
      <c r="S10">
        <f t="shared" si="4"/>
        <v>123359.99999999994</v>
      </c>
      <c r="T10">
        <f>S10/(S10+SUM(L11:L$41))</f>
        <v>0.95191061176615843</v>
      </c>
      <c r="U10">
        <f t="shared" si="19"/>
        <v>3</v>
      </c>
      <c r="V10">
        <f t="shared" si="20"/>
        <v>3409</v>
      </c>
      <c r="Y10">
        <f t="shared" si="1"/>
        <v>519</v>
      </c>
      <c r="Z10">
        <f t="shared" si="5"/>
        <v>173</v>
      </c>
      <c r="AA10">
        <f t="shared" si="2"/>
        <v>165</v>
      </c>
      <c r="AB10">
        <f t="shared" si="6"/>
        <v>8</v>
      </c>
      <c r="AD10">
        <f t="shared" si="7"/>
        <v>1.7843388830185658E-2</v>
      </c>
      <c r="AE10">
        <f t="shared" si="8"/>
        <v>1.7843388830185658E-2</v>
      </c>
      <c r="AF10">
        <v>1</v>
      </c>
      <c r="AG10">
        <f t="shared" si="9"/>
        <v>9</v>
      </c>
      <c r="AH10">
        <f t="shared" si="10"/>
        <v>3</v>
      </c>
      <c r="AI10">
        <f t="shared" si="11"/>
        <v>8</v>
      </c>
      <c r="AJ10">
        <f t="shared" si="12"/>
        <v>11</v>
      </c>
    </row>
    <row r="11" spans="1:36" x14ac:dyDescent="0.35">
      <c r="B11">
        <f t="shared" si="13"/>
        <v>6</v>
      </c>
      <c r="D11">
        <v>8.0000000000000002E-3</v>
      </c>
      <c r="E11">
        <f t="shared" si="14"/>
        <v>3.0000000000000001E-3</v>
      </c>
      <c r="F11">
        <f t="shared" si="15"/>
        <v>1486278</v>
      </c>
      <c r="G11">
        <f t="shared" si="21"/>
        <v>1356099</v>
      </c>
      <c r="H11">
        <f t="shared" si="22"/>
        <v>123359.99999999994</v>
      </c>
      <c r="I11">
        <f t="shared" si="3"/>
        <v>4089</v>
      </c>
      <c r="J11">
        <f t="shared" si="23"/>
        <v>1352010</v>
      </c>
      <c r="K11">
        <f t="shared" si="24"/>
        <v>2</v>
      </c>
      <c r="L11">
        <f t="shared" si="25"/>
        <v>678</v>
      </c>
      <c r="M11">
        <f t="shared" si="26"/>
        <v>62</v>
      </c>
      <c r="N11">
        <f t="shared" si="27"/>
        <v>4087</v>
      </c>
      <c r="O11">
        <f t="shared" si="16"/>
        <v>10906</v>
      </c>
      <c r="P11">
        <f t="shared" si="17"/>
        <v>4092</v>
      </c>
      <c r="Q11">
        <f t="shared" si="18"/>
        <v>372</v>
      </c>
      <c r="R11">
        <f t="shared" si="0"/>
        <v>1490000</v>
      </c>
      <c r="S11">
        <f t="shared" si="4"/>
        <v>123297.99999999994</v>
      </c>
      <c r="T11">
        <f>S11/(S11+SUM(L12:L$41))</f>
        <v>0.95689628410890015</v>
      </c>
      <c r="U11">
        <f t="shared" si="19"/>
        <v>5</v>
      </c>
      <c r="V11">
        <f t="shared" si="20"/>
        <v>4087</v>
      </c>
      <c r="Y11">
        <f t="shared" si="1"/>
        <v>900</v>
      </c>
      <c r="Z11">
        <f t="shared" si="5"/>
        <v>300</v>
      </c>
      <c r="AA11">
        <f t="shared" si="2"/>
        <v>287</v>
      </c>
      <c r="AB11">
        <f t="shared" si="6"/>
        <v>13</v>
      </c>
      <c r="AD11">
        <f t="shared" si="7"/>
        <v>1.7843388830185658E-2</v>
      </c>
      <c r="AE11">
        <f t="shared" si="8"/>
        <v>1.7843388830185658E-2</v>
      </c>
      <c r="AF11">
        <v>1</v>
      </c>
      <c r="AG11">
        <f t="shared" si="9"/>
        <v>16</v>
      </c>
      <c r="AH11">
        <f t="shared" si="10"/>
        <v>5</v>
      </c>
      <c r="AI11">
        <f t="shared" si="11"/>
        <v>13</v>
      </c>
      <c r="AJ11">
        <f t="shared" si="12"/>
        <v>18</v>
      </c>
    </row>
    <row r="12" spans="1:36" x14ac:dyDescent="0.35">
      <c r="B12">
        <f t="shared" si="13"/>
        <v>7</v>
      </c>
      <c r="D12">
        <v>1.7999999999999999E-2</v>
      </c>
      <c r="E12">
        <f t="shared" si="14"/>
        <v>9.9999999999999985E-3</v>
      </c>
      <c r="F12">
        <f t="shared" si="15"/>
        <v>1485536</v>
      </c>
      <c r="G12">
        <f t="shared" si="21"/>
        <v>1351332</v>
      </c>
      <c r="H12">
        <f t="shared" si="22"/>
        <v>123297.99999999994</v>
      </c>
      <c r="I12">
        <f t="shared" si="3"/>
        <v>13622</v>
      </c>
      <c r="J12">
        <f t="shared" si="23"/>
        <v>1337710</v>
      </c>
      <c r="K12">
        <f t="shared" si="24"/>
        <v>7</v>
      </c>
      <c r="L12">
        <f t="shared" si="25"/>
        <v>676</v>
      </c>
      <c r="M12">
        <f t="shared" si="26"/>
        <v>62</v>
      </c>
      <c r="N12">
        <f t="shared" si="27"/>
        <v>13615</v>
      </c>
      <c r="O12">
        <f t="shared" si="16"/>
        <v>24521</v>
      </c>
      <c r="P12">
        <f t="shared" si="17"/>
        <v>4775</v>
      </c>
      <c r="Q12">
        <f t="shared" si="18"/>
        <v>434</v>
      </c>
      <c r="R12">
        <f t="shared" si="0"/>
        <v>1490000</v>
      </c>
      <c r="S12">
        <f t="shared" si="4"/>
        <v>123235.99999999994</v>
      </c>
      <c r="T12">
        <f>S12/(S12+SUM(L13:L$41))</f>
        <v>0.96192453596016048</v>
      </c>
      <c r="U12">
        <f t="shared" si="19"/>
        <v>12</v>
      </c>
      <c r="V12">
        <f t="shared" si="20"/>
        <v>4763</v>
      </c>
      <c r="Y12">
        <f t="shared" si="1"/>
        <v>3000</v>
      </c>
      <c r="Z12">
        <f t="shared" si="5"/>
        <v>1000</v>
      </c>
      <c r="AA12">
        <f t="shared" si="2"/>
        <v>962</v>
      </c>
      <c r="AB12">
        <f t="shared" si="6"/>
        <v>38</v>
      </c>
      <c r="AD12">
        <f t="shared" si="7"/>
        <v>1.7843388830185658E-2</v>
      </c>
      <c r="AE12">
        <f t="shared" si="8"/>
        <v>1.7843388830185658E-2</v>
      </c>
      <c r="AF12">
        <v>1</v>
      </c>
      <c r="AG12">
        <f t="shared" si="9"/>
        <v>54</v>
      </c>
      <c r="AH12">
        <f t="shared" si="10"/>
        <v>17</v>
      </c>
      <c r="AI12">
        <f t="shared" si="11"/>
        <v>38</v>
      </c>
      <c r="AJ12">
        <f t="shared" si="12"/>
        <v>55</v>
      </c>
    </row>
    <row r="13" spans="1:36" x14ac:dyDescent="0.35">
      <c r="B13">
        <f t="shared" si="13"/>
        <v>8</v>
      </c>
      <c r="C13">
        <v>2.5000000000000001E-2</v>
      </c>
      <c r="D13">
        <f>C13/B$3</f>
        <v>2.7262813522355506E-2</v>
      </c>
      <c r="E13">
        <f t="shared" si="14"/>
        <v>9.2628135223555078E-3</v>
      </c>
      <c r="F13">
        <f t="shared" si="15"/>
        <v>1484791</v>
      </c>
      <c r="G13">
        <f t="shared" si="21"/>
        <v>1337034</v>
      </c>
      <c r="H13">
        <f t="shared" si="22"/>
        <v>123235.99999999994</v>
      </c>
      <c r="I13">
        <f t="shared" si="3"/>
        <v>12612</v>
      </c>
      <c r="J13">
        <f t="shared" si="23"/>
        <v>1324422</v>
      </c>
      <c r="K13">
        <f t="shared" si="24"/>
        <v>6</v>
      </c>
      <c r="L13">
        <f t="shared" si="25"/>
        <v>669</v>
      </c>
      <c r="M13">
        <f t="shared" si="26"/>
        <v>62</v>
      </c>
      <c r="N13">
        <f t="shared" si="27"/>
        <v>12606</v>
      </c>
      <c r="O13">
        <f t="shared" si="16"/>
        <v>37127</v>
      </c>
      <c r="P13">
        <f t="shared" si="17"/>
        <v>5450</v>
      </c>
      <c r="Q13">
        <f t="shared" si="18"/>
        <v>496</v>
      </c>
      <c r="R13">
        <f t="shared" si="0"/>
        <v>1490000</v>
      </c>
      <c r="S13">
        <f t="shared" si="4"/>
        <v>123173.99999999994</v>
      </c>
      <c r="T13">
        <f>S13/(S13+SUM(L14:L$41))</f>
        <v>0.96695791432137723</v>
      </c>
      <c r="U13">
        <f t="shared" si="19"/>
        <v>18</v>
      </c>
      <c r="V13">
        <f t="shared" si="20"/>
        <v>5432</v>
      </c>
      <c r="Y13">
        <f t="shared" si="1"/>
        <v>2779</v>
      </c>
      <c r="Z13">
        <f t="shared" si="5"/>
        <v>926</v>
      </c>
      <c r="AA13">
        <f t="shared" si="2"/>
        <v>895</v>
      </c>
      <c r="AB13">
        <f t="shared" si="6"/>
        <v>31</v>
      </c>
      <c r="AD13">
        <f t="shared" si="7"/>
        <v>1.7843388830185658E-2</v>
      </c>
      <c r="AE13">
        <f t="shared" si="8"/>
        <v>1.7843388830185658E-2</v>
      </c>
      <c r="AF13">
        <v>1</v>
      </c>
      <c r="AG13">
        <f t="shared" si="9"/>
        <v>50</v>
      </c>
      <c r="AH13">
        <f t="shared" si="10"/>
        <v>16</v>
      </c>
      <c r="AI13">
        <f t="shared" si="11"/>
        <v>31</v>
      </c>
      <c r="AJ13">
        <f t="shared" si="12"/>
        <v>47</v>
      </c>
    </row>
    <row r="14" spans="1:36" x14ac:dyDescent="0.35">
      <c r="B14">
        <f t="shared" si="13"/>
        <v>9</v>
      </c>
      <c r="D14">
        <v>0.05</v>
      </c>
      <c r="E14">
        <f t="shared" si="14"/>
        <v>2.2737186477644496E-2</v>
      </c>
      <c r="F14">
        <f t="shared" si="15"/>
        <v>1484054</v>
      </c>
      <c r="G14">
        <f t="shared" si="21"/>
        <v>1323753</v>
      </c>
      <c r="H14">
        <f t="shared" si="22"/>
        <v>123173.99999999994</v>
      </c>
      <c r="I14">
        <f t="shared" si="3"/>
        <v>30943</v>
      </c>
      <c r="J14">
        <f t="shared" si="23"/>
        <v>1292810</v>
      </c>
      <c r="K14">
        <f t="shared" si="24"/>
        <v>15</v>
      </c>
      <c r="L14">
        <f t="shared" si="25"/>
        <v>662</v>
      </c>
      <c r="M14">
        <f t="shared" si="26"/>
        <v>62</v>
      </c>
      <c r="N14">
        <f t="shared" si="27"/>
        <v>30928</v>
      </c>
      <c r="O14">
        <f t="shared" si="16"/>
        <v>68055</v>
      </c>
      <c r="P14">
        <f t="shared" si="17"/>
        <v>6127</v>
      </c>
      <c r="Q14">
        <f t="shared" si="18"/>
        <v>558</v>
      </c>
      <c r="R14">
        <f t="shared" si="0"/>
        <v>1490000</v>
      </c>
      <c r="S14">
        <f t="shared" si="4"/>
        <v>123111.99999999994</v>
      </c>
      <c r="T14">
        <f>S14/(S14+SUM(L15:L$41))</f>
        <v>0.97199567342233872</v>
      </c>
      <c r="U14">
        <f t="shared" si="19"/>
        <v>33</v>
      </c>
      <c r="V14">
        <f t="shared" si="20"/>
        <v>6094</v>
      </c>
      <c r="Y14">
        <f t="shared" si="1"/>
        <v>6821</v>
      </c>
      <c r="Z14">
        <f t="shared" si="5"/>
        <v>2274</v>
      </c>
      <c r="AA14">
        <f t="shared" si="2"/>
        <v>2210</v>
      </c>
      <c r="AB14">
        <f t="shared" si="6"/>
        <v>64</v>
      </c>
      <c r="AD14">
        <f t="shared" si="7"/>
        <v>1.7843388830185658E-2</v>
      </c>
      <c r="AE14">
        <f t="shared" si="8"/>
        <v>1.7843388830185658E-2</v>
      </c>
      <c r="AF14">
        <v>1</v>
      </c>
      <c r="AG14">
        <f t="shared" si="9"/>
        <v>122</v>
      </c>
      <c r="AH14">
        <f t="shared" si="10"/>
        <v>39</v>
      </c>
      <c r="AI14">
        <f t="shared" si="11"/>
        <v>64</v>
      </c>
      <c r="AJ14">
        <f t="shared" si="12"/>
        <v>103</v>
      </c>
    </row>
    <row r="15" spans="1:36" x14ac:dyDescent="0.35">
      <c r="B15">
        <f t="shared" si="13"/>
        <v>10</v>
      </c>
      <c r="D15">
        <v>0.09</v>
      </c>
      <c r="E15">
        <f t="shared" si="14"/>
        <v>3.9999999999999994E-2</v>
      </c>
      <c r="F15">
        <f t="shared" si="15"/>
        <v>1483315</v>
      </c>
      <c r="G15">
        <f t="shared" si="21"/>
        <v>1292148</v>
      </c>
      <c r="H15">
        <f t="shared" si="22"/>
        <v>123111.99999999994</v>
      </c>
      <c r="I15">
        <f t="shared" si="3"/>
        <v>54408</v>
      </c>
      <c r="J15">
        <f t="shared" si="23"/>
        <v>1237740</v>
      </c>
      <c r="K15">
        <f t="shared" si="24"/>
        <v>27</v>
      </c>
      <c r="L15">
        <f t="shared" si="25"/>
        <v>646</v>
      </c>
      <c r="M15">
        <f t="shared" si="26"/>
        <v>62</v>
      </c>
      <c r="N15">
        <f t="shared" si="27"/>
        <v>54381</v>
      </c>
      <c r="O15">
        <f t="shared" si="16"/>
        <v>122436</v>
      </c>
      <c r="P15">
        <f t="shared" si="17"/>
        <v>6800</v>
      </c>
      <c r="Q15">
        <f t="shared" si="18"/>
        <v>620</v>
      </c>
      <c r="R15">
        <f t="shared" si="0"/>
        <v>1490000</v>
      </c>
      <c r="S15">
        <f t="shared" si="4"/>
        <v>123049.99999999994</v>
      </c>
      <c r="T15">
        <f>S15/(S15+SUM(L16:L$41))</f>
        <v>0.97696723328913626</v>
      </c>
      <c r="U15">
        <f t="shared" si="19"/>
        <v>60</v>
      </c>
      <c r="V15">
        <f t="shared" si="20"/>
        <v>6740</v>
      </c>
      <c r="Y15">
        <f t="shared" si="1"/>
        <v>12000</v>
      </c>
      <c r="Z15">
        <f t="shared" si="5"/>
        <v>4000</v>
      </c>
      <c r="AA15">
        <f t="shared" si="2"/>
        <v>3908</v>
      </c>
      <c r="AB15">
        <f t="shared" si="6"/>
        <v>92</v>
      </c>
      <c r="AD15">
        <f t="shared" si="7"/>
        <v>1.7843388830185658E-2</v>
      </c>
      <c r="AE15">
        <f t="shared" si="8"/>
        <v>1.7843388830185658E-2</v>
      </c>
      <c r="AF15">
        <v>1</v>
      </c>
      <c r="AG15">
        <f t="shared" si="9"/>
        <v>214</v>
      </c>
      <c r="AH15">
        <f t="shared" si="10"/>
        <v>70</v>
      </c>
      <c r="AI15">
        <f t="shared" si="11"/>
        <v>92</v>
      </c>
      <c r="AJ15">
        <f t="shared" si="12"/>
        <v>162</v>
      </c>
    </row>
    <row r="16" spans="1:36" x14ac:dyDescent="0.35">
      <c r="B16">
        <f t="shared" si="13"/>
        <v>11</v>
      </c>
      <c r="D16">
        <v>0.13</v>
      </c>
      <c r="E16">
        <f t="shared" si="14"/>
        <v>4.0000000000000008E-2</v>
      </c>
      <c r="F16">
        <f t="shared" si="15"/>
        <v>1482580</v>
      </c>
      <c r="G16">
        <f t="shared" si="21"/>
        <v>1237094</v>
      </c>
      <c r="H16">
        <f t="shared" si="22"/>
        <v>123049.99999999994</v>
      </c>
      <c r="I16">
        <f t="shared" si="3"/>
        <v>54381</v>
      </c>
      <c r="J16">
        <f t="shared" si="23"/>
        <v>1182713</v>
      </c>
      <c r="K16">
        <f t="shared" si="24"/>
        <v>27</v>
      </c>
      <c r="L16">
        <f t="shared" si="25"/>
        <v>619</v>
      </c>
      <c r="M16">
        <f t="shared" si="26"/>
        <v>62</v>
      </c>
      <c r="N16">
        <f t="shared" si="27"/>
        <v>54354</v>
      </c>
      <c r="O16">
        <f t="shared" si="16"/>
        <v>176790</v>
      </c>
      <c r="P16">
        <f t="shared" si="17"/>
        <v>7446</v>
      </c>
      <c r="Q16">
        <f t="shared" si="18"/>
        <v>682</v>
      </c>
      <c r="R16">
        <f t="shared" si="0"/>
        <v>1490000</v>
      </c>
      <c r="S16">
        <f t="shared" si="4"/>
        <v>122987.99999999994</v>
      </c>
      <c r="T16">
        <f>S16/(S16+SUM(L17:L$41))</f>
        <v>0.98178334796838829</v>
      </c>
      <c r="U16">
        <f t="shared" si="19"/>
        <v>87</v>
      </c>
      <c r="V16">
        <f t="shared" si="20"/>
        <v>7359</v>
      </c>
      <c r="Y16">
        <f t="shared" si="1"/>
        <v>12000</v>
      </c>
      <c r="Z16">
        <f t="shared" si="5"/>
        <v>4000</v>
      </c>
      <c r="AA16">
        <f t="shared" si="2"/>
        <v>3927</v>
      </c>
      <c r="AB16">
        <f t="shared" si="6"/>
        <v>73</v>
      </c>
      <c r="AD16">
        <f t="shared" si="7"/>
        <v>1.7843388830185658E-2</v>
      </c>
      <c r="AE16">
        <f t="shared" si="8"/>
        <v>1.7843388830185658E-2</v>
      </c>
      <c r="AF16">
        <v>1</v>
      </c>
      <c r="AG16">
        <f t="shared" si="9"/>
        <v>214</v>
      </c>
      <c r="AH16">
        <f t="shared" si="10"/>
        <v>70</v>
      </c>
      <c r="AI16">
        <f t="shared" si="11"/>
        <v>73</v>
      </c>
      <c r="AJ16">
        <f t="shared" si="12"/>
        <v>143</v>
      </c>
    </row>
    <row r="17" spans="2:36" x14ac:dyDescent="0.35">
      <c r="B17">
        <f t="shared" si="13"/>
        <v>12</v>
      </c>
      <c r="C17">
        <v>0.16200000000000001</v>
      </c>
      <c r="D17">
        <f>C17/B$3</f>
        <v>0.17666303162486369</v>
      </c>
      <c r="E17">
        <f t="shared" si="14"/>
        <v>4.6663031624863682E-2</v>
      </c>
      <c r="F17">
        <f t="shared" si="15"/>
        <v>1481872</v>
      </c>
      <c r="G17">
        <f t="shared" si="21"/>
        <v>1182094</v>
      </c>
      <c r="H17">
        <f t="shared" si="22"/>
        <v>122987.99999999994</v>
      </c>
      <c r="I17">
        <f t="shared" si="3"/>
        <v>63410</v>
      </c>
      <c r="J17">
        <f t="shared" si="23"/>
        <v>1118684</v>
      </c>
      <c r="K17">
        <f t="shared" si="24"/>
        <v>32</v>
      </c>
      <c r="L17">
        <f t="shared" si="25"/>
        <v>591</v>
      </c>
      <c r="M17">
        <f t="shared" si="26"/>
        <v>61</v>
      </c>
      <c r="N17">
        <f t="shared" si="27"/>
        <v>63378</v>
      </c>
      <c r="O17">
        <f t="shared" si="16"/>
        <v>240168</v>
      </c>
      <c r="P17">
        <f t="shared" si="17"/>
        <v>8069</v>
      </c>
      <c r="Q17">
        <f t="shared" si="18"/>
        <v>743</v>
      </c>
      <c r="R17">
        <f t="shared" si="0"/>
        <v>1490000</v>
      </c>
      <c r="S17">
        <f t="shared" si="4"/>
        <v>122926.99999999994</v>
      </c>
      <c r="T17">
        <f>S17/(S17+SUM(L18:L$41))</f>
        <v>0.98643053170489015</v>
      </c>
      <c r="U17">
        <f t="shared" si="19"/>
        <v>119</v>
      </c>
      <c r="V17">
        <f t="shared" si="20"/>
        <v>7950</v>
      </c>
      <c r="Y17">
        <f t="shared" si="1"/>
        <v>13999</v>
      </c>
      <c r="Z17">
        <f t="shared" si="5"/>
        <v>4666</v>
      </c>
      <c r="AA17">
        <f t="shared" si="2"/>
        <v>4603</v>
      </c>
      <c r="AB17">
        <f t="shared" si="6"/>
        <v>63</v>
      </c>
      <c r="AD17">
        <f t="shared" si="7"/>
        <v>1.7843388830185658E-2</v>
      </c>
      <c r="AE17">
        <f t="shared" si="8"/>
        <v>1.7843388830185658E-2</v>
      </c>
      <c r="AF17">
        <v>1</v>
      </c>
      <c r="AG17">
        <f t="shared" si="9"/>
        <v>250</v>
      </c>
      <c r="AH17">
        <f t="shared" si="10"/>
        <v>82</v>
      </c>
      <c r="AI17">
        <f t="shared" si="11"/>
        <v>63</v>
      </c>
      <c r="AJ17">
        <f t="shared" si="12"/>
        <v>145</v>
      </c>
    </row>
    <row r="18" spans="2:36" x14ac:dyDescent="0.35">
      <c r="B18">
        <f t="shared" si="13"/>
        <v>13</v>
      </c>
      <c r="D18">
        <v>0.3</v>
      </c>
      <c r="E18">
        <f t="shared" si="14"/>
        <v>0.1233369683751363</v>
      </c>
      <c r="F18">
        <f t="shared" si="15"/>
        <v>1481188</v>
      </c>
      <c r="G18">
        <f t="shared" si="21"/>
        <v>1118093</v>
      </c>
      <c r="H18">
        <f t="shared" si="22"/>
        <v>122926.99999999994</v>
      </c>
      <c r="I18">
        <f t="shared" si="3"/>
        <v>167524</v>
      </c>
      <c r="J18">
        <f t="shared" si="23"/>
        <v>950569</v>
      </c>
      <c r="K18">
        <f t="shared" si="24"/>
        <v>84</v>
      </c>
      <c r="L18">
        <f t="shared" si="25"/>
        <v>559</v>
      </c>
      <c r="M18">
        <f t="shared" si="26"/>
        <v>61</v>
      </c>
      <c r="N18">
        <f t="shared" si="27"/>
        <v>167440</v>
      </c>
      <c r="O18">
        <f t="shared" si="16"/>
        <v>407608</v>
      </c>
      <c r="P18">
        <f t="shared" si="17"/>
        <v>8712</v>
      </c>
      <c r="Q18">
        <f t="shared" si="18"/>
        <v>804</v>
      </c>
      <c r="R18">
        <f t="shared" si="0"/>
        <v>1490000</v>
      </c>
      <c r="S18">
        <f t="shared" si="4"/>
        <v>122865.99999999994</v>
      </c>
      <c r="T18">
        <f>S18/(S18+SUM(L19:L$41))</f>
        <v>0.99087082049710484</v>
      </c>
      <c r="U18">
        <f t="shared" si="19"/>
        <v>203</v>
      </c>
      <c r="V18">
        <f t="shared" si="20"/>
        <v>8509</v>
      </c>
      <c r="Y18">
        <f t="shared" si="1"/>
        <v>37001</v>
      </c>
      <c r="Z18">
        <f t="shared" si="5"/>
        <v>12334</v>
      </c>
      <c r="AA18">
        <f t="shared" si="2"/>
        <v>12221</v>
      </c>
      <c r="AB18">
        <f t="shared" si="6"/>
        <v>113</v>
      </c>
      <c r="AD18">
        <f t="shared" si="7"/>
        <v>1.7843388830185658E-2</v>
      </c>
      <c r="AE18">
        <f t="shared" si="8"/>
        <v>1.7843388830185658E-2</v>
      </c>
      <c r="AF18">
        <v>1</v>
      </c>
      <c r="AG18">
        <f t="shared" si="9"/>
        <v>660</v>
      </c>
      <c r="AH18">
        <f t="shared" si="10"/>
        <v>218</v>
      </c>
      <c r="AI18">
        <f t="shared" si="11"/>
        <v>113</v>
      </c>
      <c r="AJ18">
        <f t="shared" si="12"/>
        <v>331</v>
      </c>
    </row>
    <row r="19" spans="2:36" x14ac:dyDescent="0.35">
      <c r="B19">
        <f t="shared" si="13"/>
        <v>14</v>
      </c>
      <c r="D19">
        <v>0.68</v>
      </c>
      <c r="E19">
        <f t="shared" si="14"/>
        <v>0.38000000000000006</v>
      </c>
      <c r="F19">
        <f t="shared" si="15"/>
        <v>1480484</v>
      </c>
      <c r="G19">
        <f t="shared" si="21"/>
        <v>950010</v>
      </c>
      <c r="H19">
        <f t="shared" si="22"/>
        <v>122865.99999999994</v>
      </c>
      <c r="I19">
        <f t="shared" si="3"/>
        <v>515895</v>
      </c>
      <c r="J19">
        <f t="shared" si="23"/>
        <v>434115</v>
      </c>
      <c r="K19">
        <f t="shared" si="24"/>
        <v>258</v>
      </c>
      <c r="L19">
        <f t="shared" si="25"/>
        <v>475</v>
      </c>
      <c r="M19">
        <f t="shared" si="26"/>
        <v>61</v>
      </c>
      <c r="N19">
        <f t="shared" si="27"/>
        <v>515637</v>
      </c>
      <c r="O19">
        <f t="shared" si="16"/>
        <v>923245</v>
      </c>
      <c r="P19">
        <f t="shared" si="17"/>
        <v>9445</v>
      </c>
      <c r="Q19">
        <f t="shared" si="18"/>
        <v>865</v>
      </c>
      <c r="R19">
        <f t="shared" si="0"/>
        <v>1490000</v>
      </c>
      <c r="S19">
        <f t="shared" si="4"/>
        <v>122804.99999999994</v>
      </c>
      <c r="T19">
        <f>S19/(S19+SUM(L20:L$41))</f>
        <v>0.99467852456626327</v>
      </c>
      <c r="U19">
        <f t="shared" si="19"/>
        <v>461</v>
      </c>
      <c r="V19">
        <f t="shared" si="20"/>
        <v>8984</v>
      </c>
      <c r="Y19">
        <f t="shared" si="1"/>
        <v>114000</v>
      </c>
      <c r="Z19">
        <f t="shared" si="5"/>
        <v>38000</v>
      </c>
      <c r="AA19">
        <f t="shared" si="2"/>
        <v>37798</v>
      </c>
      <c r="AB19">
        <f t="shared" si="6"/>
        <v>202</v>
      </c>
      <c r="AD19">
        <f t="shared" si="7"/>
        <v>1.7843388830185658E-2</v>
      </c>
      <c r="AE19">
        <f t="shared" si="8"/>
        <v>1.7843388830185658E-2</v>
      </c>
      <c r="AF19">
        <v>1</v>
      </c>
      <c r="AG19">
        <f t="shared" si="9"/>
        <v>2034</v>
      </c>
      <c r="AH19">
        <f t="shared" si="10"/>
        <v>674</v>
      </c>
      <c r="AI19">
        <f t="shared" si="11"/>
        <v>202</v>
      </c>
      <c r="AJ19">
        <f t="shared" si="12"/>
        <v>876</v>
      </c>
    </row>
    <row r="20" spans="2:36" x14ac:dyDescent="0.35">
      <c r="B20">
        <f t="shared" si="13"/>
        <v>15</v>
      </c>
      <c r="D20">
        <v>0.8</v>
      </c>
      <c r="E20">
        <f t="shared" si="14"/>
        <v>0.12</v>
      </c>
      <c r="F20">
        <f t="shared" si="15"/>
        <v>1479690</v>
      </c>
      <c r="G20">
        <f t="shared" si="21"/>
        <v>433640</v>
      </c>
      <c r="H20">
        <f t="shared" si="22"/>
        <v>122804.99999999994</v>
      </c>
      <c r="I20">
        <f t="shared" si="3"/>
        <v>162826</v>
      </c>
      <c r="J20">
        <f t="shared" si="23"/>
        <v>270814</v>
      </c>
      <c r="K20">
        <f t="shared" si="24"/>
        <v>81</v>
      </c>
      <c r="L20">
        <f t="shared" si="25"/>
        <v>217</v>
      </c>
      <c r="M20">
        <f t="shared" si="26"/>
        <v>61</v>
      </c>
      <c r="N20">
        <f t="shared" si="27"/>
        <v>162745</v>
      </c>
      <c r="O20">
        <f t="shared" si="16"/>
        <v>1085990</v>
      </c>
      <c r="P20">
        <f t="shared" si="17"/>
        <v>9743</v>
      </c>
      <c r="Q20">
        <f t="shared" si="18"/>
        <v>926</v>
      </c>
      <c r="R20">
        <f t="shared" si="0"/>
        <v>1490000</v>
      </c>
      <c r="S20">
        <f t="shared" si="4"/>
        <v>122743.99999999994</v>
      </c>
      <c r="T20">
        <f>S20/(S20+SUM(L21:L$41))</f>
        <v>0.99642810754643463</v>
      </c>
      <c r="U20">
        <f t="shared" si="19"/>
        <v>542</v>
      </c>
      <c r="V20">
        <f t="shared" si="20"/>
        <v>9201</v>
      </c>
      <c r="Y20">
        <f t="shared" si="1"/>
        <v>36000</v>
      </c>
      <c r="Z20">
        <f t="shared" si="5"/>
        <v>12000</v>
      </c>
      <c r="AA20">
        <f t="shared" si="2"/>
        <v>11957</v>
      </c>
      <c r="AB20">
        <f t="shared" si="6"/>
        <v>43</v>
      </c>
      <c r="AD20">
        <f t="shared" si="7"/>
        <v>1.7843388830185658E-2</v>
      </c>
      <c r="AE20">
        <f t="shared" si="8"/>
        <v>1.7843388830185658E-2</v>
      </c>
      <c r="AF20">
        <v>1</v>
      </c>
      <c r="AG20">
        <f t="shared" si="9"/>
        <v>642</v>
      </c>
      <c r="AH20">
        <f t="shared" si="10"/>
        <v>213</v>
      </c>
      <c r="AI20">
        <f t="shared" si="11"/>
        <v>43</v>
      </c>
      <c r="AJ20">
        <f t="shared" si="12"/>
        <v>256</v>
      </c>
    </row>
    <row r="21" spans="2:36" x14ac:dyDescent="0.35">
      <c r="B21">
        <f t="shared" si="13"/>
        <v>16</v>
      </c>
      <c r="C21">
        <v>0.78200000000000003</v>
      </c>
      <c r="D21">
        <f>C21/B$3</f>
        <v>0.85278080697928027</v>
      </c>
      <c r="E21">
        <f t="shared" si="14"/>
        <v>5.2780806979280226E-2</v>
      </c>
      <c r="F21">
        <f t="shared" si="15"/>
        <v>1479331</v>
      </c>
      <c r="G21">
        <f t="shared" si="21"/>
        <v>270597</v>
      </c>
      <c r="H21">
        <f t="shared" si="22"/>
        <v>122743.99999999994</v>
      </c>
      <c r="I21">
        <f t="shared" si="3"/>
        <v>71602</v>
      </c>
      <c r="J21">
        <f t="shared" si="23"/>
        <v>198995</v>
      </c>
      <c r="K21">
        <f t="shared" si="24"/>
        <v>36</v>
      </c>
      <c r="L21">
        <f t="shared" si="25"/>
        <v>135</v>
      </c>
      <c r="M21">
        <f t="shared" si="26"/>
        <v>61</v>
      </c>
      <c r="N21">
        <f t="shared" si="27"/>
        <v>71566</v>
      </c>
      <c r="O21">
        <f t="shared" si="16"/>
        <v>1157556</v>
      </c>
      <c r="P21">
        <f t="shared" si="17"/>
        <v>9914</v>
      </c>
      <c r="Q21">
        <f t="shared" si="18"/>
        <v>987</v>
      </c>
      <c r="R21">
        <f t="shared" si="0"/>
        <v>1490000</v>
      </c>
      <c r="S21">
        <f t="shared" si="4"/>
        <v>122682.99999999994</v>
      </c>
      <c r="T21">
        <f>S21/(S21+SUM(L22:L$41))</f>
        <v>0.99752008326015551</v>
      </c>
      <c r="U21">
        <f t="shared" si="19"/>
        <v>578</v>
      </c>
      <c r="V21">
        <f t="shared" si="20"/>
        <v>9336</v>
      </c>
      <c r="Y21">
        <f t="shared" si="1"/>
        <v>15834</v>
      </c>
      <c r="Z21">
        <f t="shared" si="5"/>
        <v>5278</v>
      </c>
      <c r="AA21">
        <f t="shared" si="2"/>
        <v>5265</v>
      </c>
      <c r="AB21">
        <f t="shared" si="6"/>
        <v>13</v>
      </c>
      <c r="AD21">
        <f t="shared" si="7"/>
        <v>1.7843388830185658E-2</v>
      </c>
      <c r="AE21">
        <f t="shared" si="8"/>
        <v>1.7843388830185658E-2</v>
      </c>
      <c r="AF21">
        <v>1</v>
      </c>
      <c r="AG21">
        <f t="shared" si="9"/>
        <v>283</v>
      </c>
      <c r="AH21">
        <f t="shared" si="10"/>
        <v>94</v>
      </c>
      <c r="AI21">
        <f t="shared" si="11"/>
        <v>13</v>
      </c>
      <c r="AJ21">
        <f t="shared" si="12"/>
        <v>107</v>
      </c>
    </row>
    <row r="22" spans="2:36" x14ac:dyDescent="0.35">
      <c r="B22">
        <f t="shared" si="13"/>
        <v>17</v>
      </c>
      <c r="D22">
        <v>0.9</v>
      </c>
      <c r="E22">
        <f t="shared" si="14"/>
        <v>4.7219193020719752E-2</v>
      </c>
      <c r="F22">
        <f t="shared" si="15"/>
        <v>1479099</v>
      </c>
      <c r="G22">
        <f t="shared" si="21"/>
        <v>198860</v>
      </c>
      <c r="H22">
        <f t="shared" si="22"/>
        <v>122682.99999999994</v>
      </c>
      <c r="I22">
        <f t="shared" si="3"/>
        <v>64049</v>
      </c>
      <c r="J22">
        <f t="shared" si="23"/>
        <v>134811</v>
      </c>
      <c r="K22">
        <f t="shared" si="24"/>
        <v>32</v>
      </c>
      <c r="L22">
        <f t="shared" si="25"/>
        <v>99</v>
      </c>
      <c r="M22">
        <f t="shared" si="26"/>
        <v>61</v>
      </c>
      <c r="N22">
        <f t="shared" si="27"/>
        <v>64017</v>
      </c>
      <c r="O22">
        <f t="shared" si="16"/>
        <v>1221573</v>
      </c>
      <c r="P22">
        <f t="shared" si="17"/>
        <v>10045</v>
      </c>
      <c r="Q22">
        <f t="shared" si="18"/>
        <v>1048</v>
      </c>
      <c r="R22">
        <f t="shared" si="0"/>
        <v>1490000</v>
      </c>
      <c r="S22">
        <f t="shared" si="4"/>
        <v>122621.99999999994</v>
      </c>
      <c r="T22">
        <f>S22/(S22+SUM(L23:L$41))</f>
        <v>0.9983228579802651</v>
      </c>
      <c r="U22">
        <f t="shared" si="19"/>
        <v>610</v>
      </c>
      <c r="V22">
        <f t="shared" si="20"/>
        <v>9435</v>
      </c>
      <c r="Y22">
        <f t="shared" si="1"/>
        <v>14166</v>
      </c>
      <c r="Z22">
        <f t="shared" si="5"/>
        <v>4722</v>
      </c>
      <c r="AA22">
        <f t="shared" si="2"/>
        <v>4714</v>
      </c>
      <c r="AB22">
        <f t="shared" si="6"/>
        <v>8</v>
      </c>
      <c r="AD22">
        <f t="shared" si="7"/>
        <v>1.7843388830185658E-2</v>
      </c>
      <c r="AE22">
        <f t="shared" si="8"/>
        <v>1.7843388830185658E-2</v>
      </c>
      <c r="AF22">
        <v>1</v>
      </c>
      <c r="AG22">
        <f t="shared" si="9"/>
        <v>253</v>
      </c>
      <c r="AH22">
        <f t="shared" si="10"/>
        <v>84</v>
      </c>
      <c r="AI22">
        <f t="shared" si="11"/>
        <v>8</v>
      </c>
      <c r="AJ22">
        <f t="shared" si="12"/>
        <v>92</v>
      </c>
    </row>
    <row r="23" spans="2:36" x14ac:dyDescent="0.35">
      <c r="B23">
        <f t="shared" si="13"/>
        <v>18</v>
      </c>
      <c r="D23">
        <v>0.94</v>
      </c>
      <c r="E23">
        <f t="shared" si="14"/>
        <v>3.9999999999999925E-2</v>
      </c>
      <c r="F23">
        <f t="shared" si="15"/>
        <v>1478907</v>
      </c>
      <c r="G23">
        <f t="shared" si="21"/>
        <v>134712</v>
      </c>
      <c r="H23">
        <f t="shared" si="22"/>
        <v>122621.99999999994</v>
      </c>
      <c r="I23">
        <f t="shared" si="3"/>
        <v>54251</v>
      </c>
      <c r="J23">
        <f t="shared" si="23"/>
        <v>80461</v>
      </c>
      <c r="K23">
        <f t="shared" si="24"/>
        <v>27</v>
      </c>
      <c r="L23">
        <f t="shared" si="25"/>
        <v>67</v>
      </c>
      <c r="M23">
        <f t="shared" si="26"/>
        <v>61</v>
      </c>
      <c r="N23">
        <f t="shared" si="27"/>
        <v>54224</v>
      </c>
      <c r="O23">
        <f t="shared" si="16"/>
        <v>1275797</v>
      </c>
      <c r="P23">
        <f t="shared" si="17"/>
        <v>10139</v>
      </c>
      <c r="Q23">
        <f t="shared" si="18"/>
        <v>1109</v>
      </c>
      <c r="R23">
        <f t="shared" si="0"/>
        <v>1490000</v>
      </c>
      <c r="S23">
        <f t="shared" si="4"/>
        <v>122560.99999999994</v>
      </c>
      <c r="T23">
        <f>S23/(S23+SUM(L24:L$41))</f>
        <v>0.99886715566422168</v>
      </c>
      <c r="U23">
        <f t="shared" si="19"/>
        <v>637</v>
      </c>
      <c r="V23">
        <f t="shared" si="20"/>
        <v>9502</v>
      </c>
      <c r="Y23">
        <f t="shared" si="1"/>
        <v>12000</v>
      </c>
      <c r="Z23">
        <f t="shared" si="5"/>
        <v>4000</v>
      </c>
      <c r="AA23">
        <f t="shared" si="2"/>
        <v>3995</v>
      </c>
      <c r="AB23">
        <f t="shared" si="6"/>
        <v>5</v>
      </c>
      <c r="AD23">
        <f t="shared" si="7"/>
        <v>1.7843388830185658E-2</v>
      </c>
      <c r="AE23">
        <f t="shared" si="8"/>
        <v>1.7843388830185658E-2</v>
      </c>
      <c r="AF23">
        <v>1</v>
      </c>
      <c r="AG23">
        <f t="shared" si="9"/>
        <v>214</v>
      </c>
      <c r="AH23">
        <f t="shared" si="10"/>
        <v>71</v>
      </c>
      <c r="AI23">
        <f t="shared" si="11"/>
        <v>5</v>
      </c>
      <c r="AJ23">
        <f t="shared" si="12"/>
        <v>76</v>
      </c>
    </row>
    <row r="24" spans="2:36" x14ac:dyDescent="0.35">
      <c r="B24">
        <f t="shared" si="13"/>
        <v>19</v>
      </c>
      <c r="D24">
        <v>0.97</v>
      </c>
      <c r="E24">
        <f t="shared" si="14"/>
        <v>3.0000000000000027E-2</v>
      </c>
      <c r="F24">
        <f t="shared" si="15"/>
        <v>1478752</v>
      </c>
      <c r="G24">
        <f t="shared" si="21"/>
        <v>80394</v>
      </c>
      <c r="H24">
        <f t="shared" si="22"/>
        <v>122560.99999999994</v>
      </c>
      <c r="I24">
        <f t="shared" si="3"/>
        <v>40686</v>
      </c>
      <c r="J24">
        <f t="shared" si="23"/>
        <v>39708</v>
      </c>
      <c r="K24">
        <f t="shared" si="24"/>
        <v>20</v>
      </c>
      <c r="L24">
        <f t="shared" si="25"/>
        <v>40</v>
      </c>
      <c r="M24">
        <f t="shared" si="26"/>
        <v>61</v>
      </c>
      <c r="N24">
        <f t="shared" si="27"/>
        <v>40666</v>
      </c>
      <c r="O24">
        <f t="shared" si="16"/>
        <v>1316463</v>
      </c>
      <c r="P24">
        <f t="shared" si="17"/>
        <v>10199</v>
      </c>
      <c r="Q24">
        <f t="shared" si="18"/>
        <v>1170</v>
      </c>
      <c r="R24">
        <f t="shared" si="0"/>
        <v>1490000</v>
      </c>
      <c r="S24">
        <f t="shared" si="4"/>
        <v>122499.99999999994</v>
      </c>
      <c r="T24">
        <f>S24/(S24+SUM(L25:L$41))</f>
        <v>0.99919248933514959</v>
      </c>
      <c r="U24">
        <f t="shared" si="19"/>
        <v>657</v>
      </c>
      <c r="V24">
        <f t="shared" si="20"/>
        <v>9542</v>
      </c>
      <c r="Y24">
        <f t="shared" si="1"/>
        <v>9000</v>
      </c>
      <c r="Z24">
        <f t="shared" si="5"/>
        <v>3000</v>
      </c>
      <c r="AA24">
        <f t="shared" si="2"/>
        <v>2998</v>
      </c>
      <c r="AB24">
        <f t="shared" si="6"/>
        <v>2</v>
      </c>
      <c r="AD24">
        <f t="shared" si="7"/>
        <v>1.7843388830185658E-2</v>
      </c>
      <c r="AE24">
        <f t="shared" si="8"/>
        <v>1.7843388830185658E-2</v>
      </c>
      <c r="AF24">
        <v>1</v>
      </c>
      <c r="AG24">
        <f t="shared" si="9"/>
        <v>161</v>
      </c>
      <c r="AH24">
        <f t="shared" si="10"/>
        <v>53</v>
      </c>
      <c r="AI24">
        <f t="shared" si="11"/>
        <v>2</v>
      </c>
      <c r="AJ24">
        <f t="shared" si="12"/>
        <v>55</v>
      </c>
    </row>
    <row r="25" spans="2:36" x14ac:dyDescent="0.35">
      <c r="B25">
        <f t="shared" si="13"/>
        <v>20</v>
      </c>
      <c r="C25">
        <v>0.89800000000000002</v>
      </c>
      <c r="D25">
        <f>C25/B$3</f>
        <v>0.97928026172300975</v>
      </c>
      <c r="E25">
        <f t="shared" si="14"/>
        <v>9.280261723009775E-3</v>
      </c>
      <c r="F25">
        <f t="shared" si="15"/>
        <v>1478631</v>
      </c>
      <c r="G25">
        <f t="shared" si="21"/>
        <v>39668</v>
      </c>
      <c r="H25">
        <f t="shared" si="22"/>
        <v>122499.99999999994</v>
      </c>
      <c r="I25">
        <f t="shared" si="3"/>
        <v>12585</v>
      </c>
      <c r="J25">
        <f t="shared" si="23"/>
        <v>27083</v>
      </c>
      <c r="K25">
        <f t="shared" si="24"/>
        <v>6</v>
      </c>
      <c r="L25">
        <f t="shared" si="25"/>
        <v>20</v>
      </c>
      <c r="M25">
        <f t="shared" si="26"/>
        <v>61</v>
      </c>
      <c r="N25">
        <f t="shared" si="27"/>
        <v>12579</v>
      </c>
      <c r="O25">
        <f t="shared" si="16"/>
        <v>1329042</v>
      </c>
      <c r="P25">
        <f t="shared" si="17"/>
        <v>10225</v>
      </c>
      <c r="Q25">
        <f t="shared" si="18"/>
        <v>1231</v>
      </c>
      <c r="R25">
        <f t="shared" si="0"/>
        <v>1490000</v>
      </c>
      <c r="S25">
        <f t="shared" si="4"/>
        <v>122438.99999999994</v>
      </c>
      <c r="T25">
        <f>S25/(S25+SUM(L26:L$41))</f>
        <v>0.9993551967874108</v>
      </c>
      <c r="U25">
        <f t="shared" si="19"/>
        <v>663</v>
      </c>
      <c r="V25">
        <f t="shared" si="20"/>
        <v>9562</v>
      </c>
      <c r="Y25">
        <f t="shared" si="1"/>
        <v>2784</v>
      </c>
      <c r="Z25">
        <f t="shared" si="5"/>
        <v>928</v>
      </c>
      <c r="AA25">
        <f t="shared" si="2"/>
        <v>927</v>
      </c>
      <c r="AB25">
        <f t="shared" si="6"/>
        <v>1</v>
      </c>
      <c r="AD25">
        <f t="shared" si="7"/>
        <v>1.7843388830185658E-2</v>
      </c>
      <c r="AE25">
        <f t="shared" si="8"/>
        <v>1.7843388830185658E-2</v>
      </c>
      <c r="AF25">
        <v>1</v>
      </c>
      <c r="AG25">
        <f t="shared" si="9"/>
        <v>50</v>
      </c>
      <c r="AH25">
        <f t="shared" si="10"/>
        <v>17</v>
      </c>
      <c r="AI25">
        <f t="shared" si="11"/>
        <v>1</v>
      </c>
      <c r="AJ25">
        <f t="shared" si="12"/>
        <v>18</v>
      </c>
    </row>
    <row r="26" spans="2:36" x14ac:dyDescent="0.35">
      <c r="B26">
        <f t="shared" si="13"/>
        <v>21</v>
      </c>
      <c r="D26">
        <v>0.98</v>
      </c>
      <c r="E26">
        <f t="shared" si="14"/>
        <v>7.1973827699023385E-4</v>
      </c>
      <c r="F26">
        <f t="shared" si="15"/>
        <v>1478544</v>
      </c>
      <c r="G26">
        <f t="shared" si="21"/>
        <v>27063</v>
      </c>
      <c r="H26">
        <f t="shared" si="22"/>
        <v>122438.99999999994</v>
      </c>
      <c r="I26">
        <f t="shared" si="3"/>
        <v>976</v>
      </c>
      <c r="J26">
        <f t="shared" si="23"/>
        <v>26087</v>
      </c>
      <c r="K26">
        <f t="shared" si="24"/>
        <v>0</v>
      </c>
      <c r="L26">
        <f t="shared" si="25"/>
        <v>14</v>
      </c>
      <c r="M26">
        <f t="shared" si="26"/>
        <v>61</v>
      </c>
      <c r="N26">
        <f t="shared" si="27"/>
        <v>976</v>
      </c>
      <c r="O26">
        <f t="shared" si="16"/>
        <v>1330018</v>
      </c>
      <c r="P26">
        <f t="shared" si="17"/>
        <v>10239</v>
      </c>
      <c r="Q26">
        <f t="shared" si="18"/>
        <v>1292</v>
      </c>
      <c r="R26">
        <f t="shared" si="0"/>
        <v>1490000</v>
      </c>
      <c r="S26">
        <f t="shared" si="4"/>
        <v>122377.99999999994</v>
      </c>
      <c r="T26">
        <f>S26/(S26+SUM(L27:L$41))</f>
        <v>0.99946914074303961</v>
      </c>
      <c r="U26">
        <f t="shared" si="19"/>
        <v>663</v>
      </c>
      <c r="V26">
        <f t="shared" si="20"/>
        <v>9576</v>
      </c>
      <c r="Y26">
        <f t="shared" si="1"/>
        <v>216</v>
      </c>
      <c r="Z26">
        <f t="shared" si="5"/>
        <v>72</v>
      </c>
      <c r="AA26">
        <f t="shared" si="2"/>
        <v>72</v>
      </c>
      <c r="AB26">
        <f t="shared" si="6"/>
        <v>0</v>
      </c>
      <c r="AD26">
        <f t="shared" si="7"/>
        <v>1.7843388830185658E-2</v>
      </c>
      <c r="AE26">
        <f t="shared" si="8"/>
        <v>1.7843388830185658E-2</v>
      </c>
      <c r="AF26">
        <v>1</v>
      </c>
      <c r="AG26">
        <f t="shared" si="9"/>
        <v>4</v>
      </c>
      <c r="AH26">
        <f t="shared" si="10"/>
        <v>1</v>
      </c>
      <c r="AI26">
        <f t="shared" si="11"/>
        <v>0</v>
      </c>
      <c r="AJ26">
        <f t="shared" si="12"/>
        <v>1</v>
      </c>
    </row>
    <row r="27" spans="2:36" x14ac:dyDescent="0.35">
      <c r="B27">
        <f t="shared" si="13"/>
        <v>22</v>
      </c>
      <c r="D27">
        <v>0.98199999999999998</v>
      </c>
      <c r="E27">
        <f t="shared" si="14"/>
        <v>2.0000000000000018E-3</v>
      </c>
      <c r="F27">
        <f t="shared" si="15"/>
        <v>1478469</v>
      </c>
      <c r="G27">
        <f t="shared" si="21"/>
        <v>26073</v>
      </c>
      <c r="H27">
        <f t="shared" si="22"/>
        <v>122377.99999999994</v>
      </c>
      <c r="I27">
        <f t="shared" si="3"/>
        <v>2712</v>
      </c>
      <c r="J27">
        <f t="shared" si="23"/>
        <v>23361</v>
      </c>
      <c r="K27">
        <f t="shared" si="24"/>
        <v>1</v>
      </c>
      <c r="L27">
        <f t="shared" si="25"/>
        <v>13</v>
      </c>
      <c r="M27">
        <f t="shared" si="26"/>
        <v>61</v>
      </c>
      <c r="N27">
        <f t="shared" si="27"/>
        <v>2711</v>
      </c>
      <c r="O27">
        <f t="shared" si="16"/>
        <v>1332729</v>
      </c>
      <c r="P27">
        <f t="shared" si="17"/>
        <v>10253</v>
      </c>
      <c r="Q27">
        <f t="shared" si="18"/>
        <v>1353</v>
      </c>
      <c r="R27">
        <f t="shared" si="0"/>
        <v>1490000</v>
      </c>
      <c r="S27">
        <f t="shared" si="4"/>
        <v>122316.99999999994</v>
      </c>
      <c r="T27">
        <f>S27/(S27+SUM(L28:L$41))</f>
        <v>0.99957505577392969</v>
      </c>
      <c r="U27">
        <f t="shared" si="19"/>
        <v>664</v>
      </c>
      <c r="V27">
        <f t="shared" si="20"/>
        <v>9589</v>
      </c>
      <c r="Y27">
        <f t="shared" si="1"/>
        <v>600</v>
      </c>
      <c r="Z27">
        <f t="shared" si="5"/>
        <v>200</v>
      </c>
      <c r="AA27">
        <f t="shared" si="2"/>
        <v>200</v>
      </c>
      <c r="AB27">
        <f t="shared" si="6"/>
        <v>0</v>
      </c>
      <c r="AD27">
        <f t="shared" si="7"/>
        <v>1.7843388830185658E-2</v>
      </c>
      <c r="AE27">
        <f t="shared" si="8"/>
        <v>1.7843388830185658E-2</v>
      </c>
      <c r="AF27">
        <v>1</v>
      </c>
      <c r="AG27">
        <f t="shared" si="9"/>
        <v>11</v>
      </c>
      <c r="AH27">
        <f t="shared" si="10"/>
        <v>4</v>
      </c>
      <c r="AI27">
        <f t="shared" si="11"/>
        <v>0</v>
      </c>
      <c r="AJ27">
        <f t="shared" si="12"/>
        <v>4</v>
      </c>
    </row>
    <row r="28" spans="2:36" x14ac:dyDescent="0.35">
      <c r="B28">
        <f t="shared" si="13"/>
        <v>23</v>
      </c>
      <c r="D28">
        <v>0.98399999999999999</v>
      </c>
      <c r="E28">
        <f t="shared" si="14"/>
        <v>2.0000000000000018E-3</v>
      </c>
      <c r="F28">
        <f t="shared" si="15"/>
        <v>1478394</v>
      </c>
      <c r="G28">
        <f t="shared" si="21"/>
        <v>23348</v>
      </c>
      <c r="H28">
        <f t="shared" si="22"/>
        <v>122316.99999999994</v>
      </c>
      <c r="I28">
        <f t="shared" si="3"/>
        <v>2712</v>
      </c>
      <c r="J28">
        <f t="shared" si="23"/>
        <v>20636</v>
      </c>
      <c r="K28">
        <f t="shared" si="24"/>
        <v>1</v>
      </c>
      <c r="L28">
        <f t="shared" si="25"/>
        <v>12</v>
      </c>
      <c r="M28">
        <f t="shared" si="26"/>
        <v>61</v>
      </c>
      <c r="N28">
        <f t="shared" si="27"/>
        <v>2711</v>
      </c>
      <c r="O28">
        <f t="shared" si="16"/>
        <v>1335440</v>
      </c>
      <c r="P28">
        <f t="shared" si="17"/>
        <v>10266</v>
      </c>
      <c r="Q28">
        <f t="shared" si="18"/>
        <v>1414</v>
      </c>
      <c r="R28">
        <f t="shared" si="0"/>
        <v>1490000</v>
      </c>
      <c r="S28">
        <f t="shared" si="4"/>
        <v>122255.99999999994</v>
      </c>
      <c r="T28">
        <f>S28/(S28+SUM(L29:L$41))</f>
        <v>0.99967292470726765</v>
      </c>
      <c r="U28">
        <f t="shared" si="19"/>
        <v>665</v>
      </c>
      <c r="V28">
        <f t="shared" si="20"/>
        <v>9601</v>
      </c>
      <c r="Y28">
        <f t="shared" si="1"/>
        <v>600</v>
      </c>
      <c r="Z28">
        <f t="shared" si="5"/>
        <v>200</v>
      </c>
      <c r="AA28">
        <f t="shared" si="2"/>
        <v>200</v>
      </c>
      <c r="AB28">
        <f t="shared" si="6"/>
        <v>0</v>
      </c>
      <c r="AD28">
        <f t="shared" si="7"/>
        <v>1.7843388830185658E-2</v>
      </c>
      <c r="AE28">
        <f t="shared" si="8"/>
        <v>1.7843388830185658E-2</v>
      </c>
      <c r="AF28">
        <v>1</v>
      </c>
      <c r="AG28">
        <f t="shared" si="9"/>
        <v>11</v>
      </c>
      <c r="AH28">
        <f t="shared" si="10"/>
        <v>4</v>
      </c>
      <c r="AI28">
        <f t="shared" si="11"/>
        <v>0</v>
      </c>
      <c r="AJ28">
        <f t="shared" si="12"/>
        <v>4</v>
      </c>
    </row>
    <row r="29" spans="2:36" x14ac:dyDescent="0.35">
      <c r="B29">
        <f t="shared" si="13"/>
        <v>24</v>
      </c>
      <c r="C29">
        <v>0.90700000000000003</v>
      </c>
      <c r="D29">
        <f>C29/B$3</f>
        <v>0.98909487459105783</v>
      </c>
      <c r="E29">
        <f t="shared" si="14"/>
        <v>5.0948745910578408E-3</v>
      </c>
      <c r="F29">
        <f t="shared" si="15"/>
        <v>1478320</v>
      </c>
      <c r="G29">
        <f t="shared" si="21"/>
        <v>20624</v>
      </c>
      <c r="H29">
        <f t="shared" si="22"/>
        <v>122255.99999999994</v>
      </c>
      <c r="I29">
        <f t="shared" si="3"/>
        <v>6909</v>
      </c>
      <c r="J29">
        <f t="shared" si="23"/>
        <v>13715</v>
      </c>
      <c r="K29">
        <f t="shared" si="24"/>
        <v>3</v>
      </c>
      <c r="L29">
        <f t="shared" si="25"/>
        <v>10</v>
      </c>
      <c r="M29">
        <f t="shared" si="26"/>
        <v>61</v>
      </c>
      <c r="N29">
        <f t="shared" si="27"/>
        <v>6906</v>
      </c>
      <c r="O29">
        <f t="shared" si="16"/>
        <v>1342346</v>
      </c>
      <c r="P29">
        <f t="shared" si="17"/>
        <v>10279</v>
      </c>
      <c r="Q29">
        <f t="shared" si="18"/>
        <v>1475</v>
      </c>
      <c r="R29">
        <f t="shared" si="0"/>
        <v>1490000</v>
      </c>
      <c r="S29">
        <f t="shared" si="4"/>
        <v>122194.99999999994</v>
      </c>
      <c r="T29">
        <f>S29/(S29+SUM(L30:L$41))</f>
        <v>0.99975455103293109</v>
      </c>
      <c r="U29">
        <f t="shared" si="19"/>
        <v>668</v>
      </c>
      <c r="V29">
        <f t="shared" si="20"/>
        <v>9611</v>
      </c>
      <c r="Y29">
        <f t="shared" si="1"/>
        <v>1528</v>
      </c>
      <c r="Z29">
        <f t="shared" si="5"/>
        <v>509</v>
      </c>
      <c r="AA29">
        <f t="shared" si="2"/>
        <v>509</v>
      </c>
      <c r="AB29">
        <f t="shared" si="6"/>
        <v>0</v>
      </c>
      <c r="AD29">
        <f t="shared" si="7"/>
        <v>1.7843388830185658E-2</v>
      </c>
      <c r="AE29">
        <f t="shared" si="8"/>
        <v>1.7843388830185658E-2</v>
      </c>
      <c r="AF29">
        <v>1</v>
      </c>
      <c r="AG29">
        <f t="shared" si="9"/>
        <v>27</v>
      </c>
      <c r="AH29">
        <f t="shared" si="10"/>
        <v>9</v>
      </c>
      <c r="AI29">
        <f t="shared" si="11"/>
        <v>0</v>
      </c>
      <c r="AJ29">
        <f t="shared" si="12"/>
        <v>9</v>
      </c>
    </row>
    <row r="30" spans="2:36" x14ac:dyDescent="0.35">
      <c r="B30">
        <f t="shared" si="13"/>
        <v>25</v>
      </c>
      <c r="D30">
        <v>0.99</v>
      </c>
      <c r="E30">
        <f t="shared" si="14"/>
        <v>9.0512540894216453E-4</v>
      </c>
      <c r="F30">
        <f t="shared" si="15"/>
        <v>1478246</v>
      </c>
      <c r="G30">
        <f t="shared" si="21"/>
        <v>13705</v>
      </c>
      <c r="H30">
        <f t="shared" si="22"/>
        <v>122194.99999999994</v>
      </c>
      <c r="I30">
        <f t="shared" si="3"/>
        <v>1227</v>
      </c>
      <c r="J30">
        <f t="shared" si="23"/>
        <v>12478</v>
      </c>
      <c r="K30">
        <f t="shared" si="24"/>
        <v>1</v>
      </c>
      <c r="L30">
        <f t="shared" si="25"/>
        <v>7</v>
      </c>
      <c r="M30">
        <f t="shared" si="26"/>
        <v>61</v>
      </c>
      <c r="N30">
        <f t="shared" si="27"/>
        <v>1226</v>
      </c>
      <c r="O30">
        <f t="shared" si="16"/>
        <v>1343572</v>
      </c>
      <c r="P30">
        <f t="shared" si="17"/>
        <v>10287</v>
      </c>
      <c r="Q30">
        <f t="shared" si="18"/>
        <v>1536</v>
      </c>
      <c r="R30">
        <f t="shared" si="0"/>
        <v>1490000</v>
      </c>
      <c r="S30">
        <f t="shared" si="4"/>
        <v>122133.99999999994</v>
      </c>
      <c r="T30">
        <f>S30/(S30+SUM(L31:L$41))</f>
        <v>0.99981171770754029</v>
      </c>
      <c r="U30">
        <f t="shared" si="19"/>
        <v>669</v>
      </c>
      <c r="V30">
        <f t="shared" si="20"/>
        <v>9618</v>
      </c>
      <c r="Y30">
        <f t="shared" si="1"/>
        <v>272</v>
      </c>
      <c r="Z30">
        <f t="shared" si="5"/>
        <v>91</v>
      </c>
      <c r="AA30">
        <f t="shared" si="2"/>
        <v>91</v>
      </c>
      <c r="AB30">
        <f t="shared" si="6"/>
        <v>0</v>
      </c>
      <c r="AD30">
        <f t="shared" si="7"/>
        <v>1.7843388830185658E-2</v>
      </c>
      <c r="AE30">
        <f t="shared" si="8"/>
        <v>1.7843388830185658E-2</v>
      </c>
      <c r="AF30">
        <v>1</v>
      </c>
      <c r="AG30">
        <f t="shared" si="9"/>
        <v>5</v>
      </c>
      <c r="AH30">
        <f t="shared" si="10"/>
        <v>2</v>
      </c>
      <c r="AI30">
        <f t="shared" si="11"/>
        <v>0</v>
      </c>
      <c r="AJ30">
        <f t="shared" si="12"/>
        <v>2</v>
      </c>
    </row>
    <row r="31" spans="2:36" x14ac:dyDescent="0.35">
      <c r="B31">
        <f t="shared" si="13"/>
        <v>26</v>
      </c>
      <c r="D31">
        <v>0.99099999999999999</v>
      </c>
      <c r="E31">
        <f t="shared" si="14"/>
        <v>1.0000000000000009E-3</v>
      </c>
      <c r="F31">
        <f t="shared" si="15"/>
        <v>1478177</v>
      </c>
      <c r="G31">
        <f t="shared" si="21"/>
        <v>12471</v>
      </c>
      <c r="H31">
        <f t="shared" si="22"/>
        <v>122133.99999999994</v>
      </c>
      <c r="I31">
        <f t="shared" si="3"/>
        <v>1356</v>
      </c>
      <c r="J31">
        <f t="shared" si="23"/>
        <v>11115</v>
      </c>
      <c r="K31">
        <f t="shared" si="24"/>
        <v>1</v>
      </c>
      <c r="L31">
        <f t="shared" si="25"/>
        <v>6</v>
      </c>
      <c r="M31">
        <f t="shared" si="26"/>
        <v>61</v>
      </c>
      <c r="N31">
        <f t="shared" si="27"/>
        <v>1355</v>
      </c>
      <c r="O31">
        <f t="shared" si="16"/>
        <v>1344927</v>
      </c>
      <c r="P31">
        <f t="shared" si="17"/>
        <v>10294</v>
      </c>
      <c r="Q31">
        <f t="shared" si="18"/>
        <v>1597</v>
      </c>
      <c r="R31">
        <f t="shared" si="0"/>
        <v>1490000</v>
      </c>
      <c r="S31">
        <f t="shared" si="4"/>
        <v>122072.99999999994</v>
      </c>
      <c r="T31">
        <f>S31/(S31+SUM(L32:L$41))</f>
        <v>0.99986075845687605</v>
      </c>
      <c r="U31">
        <f t="shared" si="19"/>
        <v>670</v>
      </c>
      <c r="V31">
        <f t="shared" si="20"/>
        <v>9624</v>
      </c>
      <c r="Y31">
        <f t="shared" si="1"/>
        <v>300</v>
      </c>
      <c r="Z31">
        <f t="shared" si="5"/>
        <v>100</v>
      </c>
      <c r="AA31">
        <f t="shared" si="2"/>
        <v>100</v>
      </c>
      <c r="AB31">
        <f t="shared" si="6"/>
        <v>0</v>
      </c>
      <c r="AD31">
        <f t="shared" si="7"/>
        <v>1.7843388830185658E-2</v>
      </c>
      <c r="AE31">
        <f t="shared" si="8"/>
        <v>1.7843388830185658E-2</v>
      </c>
      <c r="AF31">
        <v>1</v>
      </c>
      <c r="AG31">
        <f t="shared" si="9"/>
        <v>5</v>
      </c>
      <c r="AH31">
        <f t="shared" si="10"/>
        <v>2</v>
      </c>
      <c r="AI31">
        <f t="shared" si="11"/>
        <v>0</v>
      </c>
      <c r="AJ31">
        <f t="shared" si="12"/>
        <v>2</v>
      </c>
    </row>
    <row r="32" spans="2:36" x14ac:dyDescent="0.35">
      <c r="B32">
        <f t="shared" si="13"/>
        <v>27</v>
      </c>
      <c r="D32">
        <v>0.99299999999999999</v>
      </c>
      <c r="E32">
        <f t="shared" si="14"/>
        <v>2.0000000000000018E-3</v>
      </c>
      <c r="F32">
        <f t="shared" si="15"/>
        <v>1478109</v>
      </c>
      <c r="G32">
        <f t="shared" si="21"/>
        <v>11109</v>
      </c>
      <c r="H32">
        <f t="shared" si="22"/>
        <v>122072.99999999994</v>
      </c>
      <c r="I32">
        <f t="shared" si="3"/>
        <v>2712</v>
      </c>
      <c r="J32">
        <f t="shared" si="23"/>
        <v>8397</v>
      </c>
      <c r="K32">
        <f t="shared" si="24"/>
        <v>1</v>
      </c>
      <c r="L32">
        <f t="shared" si="25"/>
        <v>6</v>
      </c>
      <c r="M32">
        <f t="shared" si="26"/>
        <v>61</v>
      </c>
      <c r="N32">
        <f t="shared" si="27"/>
        <v>2711</v>
      </c>
      <c r="O32">
        <f t="shared" si="16"/>
        <v>1347638</v>
      </c>
      <c r="P32">
        <f t="shared" si="17"/>
        <v>10301</v>
      </c>
      <c r="Q32">
        <f t="shared" si="18"/>
        <v>1658</v>
      </c>
      <c r="R32">
        <f t="shared" si="0"/>
        <v>1490000</v>
      </c>
      <c r="S32">
        <f t="shared" si="4"/>
        <v>122011.99999999994</v>
      </c>
      <c r="T32">
        <f>S32/(S32+SUM(L33:L$41))</f>
        <v>0.99990985306048863</v>
      </c>
      <c r="U32">
        <f t="shared" si="19"/>
        <v>671</v>
      </c>
      <c r="V32">
        <f t="shared" si="20"/>
        <v>9630</v>
      </c>
      <c r="Y32">
        <f t="shared" si="1"/>
        <v>600</v>
      </c>
      <c r="Z32">
        <f t="shared" si="5"/>
        <v>200</v>
      </c>
      <c r="AA32">
        <f t="shared" si="2"/>
        <v>200</v>
      </c>
      <c r="AB32">
        <f t="shared" si="6"/>
        <v>0</v>
      </c>
      <c r="AD32">
        <f t="shared" si="7"/>
        <v>1.7843388830185658E-2</v>
      </c>
      <c r="AE32">
        <f t="shared" si="8"/>
        <v>1.7843388830185658E-2</v>
      </c>
      <c r="AF32">
        <v>1</v>
      </c>
      <c r="AG32">
        <f t="shared" si="9"/>
        <v>11</v>
      </c>
      <c r="AH32">
        <f t="shared" si="10"/>
        <v>4</v>
      </c>
      <c r="AI32">
        <f t="shared" si="11"/>
        <v>0</v>
      </c>
      <c r="AJ32">
        <f t="shared" si="12"/>
        <v>4</v>
      </c>
    </row>
    <row r="33" spans="2:36" x14ac:dyDescent="0.35">
      <c r="B33">
        <f t="shared" si="13"/>
        <v>28</v>
      </c>
      <c r="C33">
        <v>0.91300000000000003</v>
      </c>
      <c r="D33">
        <f>C33/B$3</f>
        <v>0.99563794983642306</v>
      </c>
      <c r="E33">
        <f t="shared" si="14"/>
        <v>2.6379498364230702E-3</v>
      </c>
      <c r="F33">
        <f t="shared" si="15"/>
        <v>1478041</v>
      </c>
      <c r="G33">
        <f t="shared" si="21"/>
        <v>8391</v>
      </c>
      <c r="H33">
        <f t="shared" si="22"/>
        <v>122011.99999999994</v>
      </c>
      <c r="I33">
        <f t="shared" si="3"/>
        <v>3577</v>
      </c>
      <c r="J33">
        <f t="shared" si="23"/>
        <v>4814</v>
      </c>
      <c r="K33">
        <f t="shared" si="24"/>
        <v>2</v>
      </c>
      <c r="L33">
        <f t="shared" si="25"/>
        <v>4</v>
      </c>
      <c r="M33">
        <f t="shared" si="26"/>
        <v>61</v>
      </c>
      <c r="N33">
        <f t="shared" si="27"/>
        <v>3575</v>
      </c>
      <c r="O33">
        <f t="shared" si="16"/>
        <v>1351213</v>
      </c>
      <c r="P33">
        <f t="shared" si="17"/>
        <v>10307</v>
      </c>
      <c r="Q33">
        <f t="shared" si="18"/>
        <v>1719</v>
      </c>
      <c r="R33">
        <f t="shared" si="0"/>
        <v>1490000</v>
      </c>
      <c r="S33">
        <f t="shared" si="4"/>
        <v>121950.99999999994</v>
      </c>
      <c r="T33">
        <f>S33/(S33+SUM(L34:L$41))</f>
        <v>0.9999426031912626</v>
      </c>
      <c r="U33">
        <f t="shared" si="19"/>
        <v>673</v>
      </c>
      <c r="V33">
        <f t="shared" si="20"/>
        <v>9634</v>
      </c>
      <c r="Y33">
        <f t="shared" si="1"/>
        <v>791</v>
      </c>
      <c r="Z33">
        <f t="shared" si="5"/>
        <v>264</v>
      </c>
      <c r="AA33">
        <f t="shared" si="2"/>
        <v>264</v>
      </c>
      <c r="AB33">
        <f t="shared" si="6"/>
        <v>0</v>
      </c>
      <c r="AD33">
        <f t="shared" si="7"/>
        <v>1.7843388830185658E-2</v>
      </c>
      <c r="AE33">
        <f t="shared" si="8"/>
        <v>1.7843388830185658E-2</v>
      </c>
      <c r="AF33">
        <v>1</v>
      </c>
      <c r="AG33">
        <f t="shared" si="9"/>
        <v>14</v>
      </c>
      <c r="AH33">
        <f t="shared" si="10"/>
        <v>5</v>
      </c>
      <c r="AI33">
        <f t="shared" si="11"/>
        <v>0</v>
      </c>
      <c r="AJ33">
        <f t="shared" si="12"/>
        <v>5</v>
      </c>
    </row>
    <row r="34" spans="2:36" x14ac:dyDescent="0.35">
      <c r="B34">
        <f t="shared" si="13"/>
        <v>29</v>
      </c>
      <c r="D34">
        <v>0.996</v>
      </c>
      <c r="E34">
        <f t="shared" si="14"/>
        <v>3.6205016357693243E-4</v>
      </c>
      <c r="F34">
        <f t="shared" si="15"/>
        <v>1477974</v>
      </c>
      <c r="G34">
        <f t="shared" si="21"/>
        <v>4810</v>
      </c>
      <c r="H34">
        <f t="shared" si="22"/>
        <v>121950.99999999994</v>
      </c>
      <c r="I34">
        <f t="shared" si="3"/>
        <v>491</v>
      </c>
      <c r="J34">
        <f t="shared" si="23"/>
        <v>4319</v>
      </c>
      <c r="K34">
        <f t="shared" si="24"/>
        <v>0</v>
      </c>
      <c r="L34">
        <f t="shared" si="25"/>
        <v>2</v>
      </c>
      <c r="M34">
        <f t="shared" si="26"/>
        <v>61</v>
      </c>
      <c r="N34">
        <f t="shared" si="27"/>
        <v>491</v>
      </c>
      <c r="O34">
        <f t="shared" si="16"/>
        <v>1351704</v>
      </c>
      <c r="P34">
        <f t="shared" si="17"/>
        <v>10309</v>
      </c>
      <c r="Q34">
        <f t="shared" si="18"/>
        <v>1780</v>
      </c>
      <c r="R34">
        <f t="shared" si="0"/>
        <v>1490000</v>
      </c>
      <c r="S34">
        <f t="shared" si="4"/>
        <v>121889.99999999994</v>
      </c>
      <c r="T34">
        <f>S34/(S34+SUM(L35:L$41))</f>
        <v>0.99995898109028258</v>
      </c>
      <c r="U34">
        <f t="shared" si="19"/>
        <v>673</v>
      </c>
      <c r="V34">
        <f t="shared" si="20"/>
        <v>9636</v>
      </c>
      <c r="Y34">
        <f t="shared" si="1"/>
        <v>109</v>
      </c>
      <c r="Z34">
        <f t="shared" si="5"/>
        <v>36</v>
      </c>
      <c r="AA34">
        <f t="shared" si="2"/>
        <v>36</v>
      </c>
      <c r="AB34">
        <f t="shared" si="6"/>
        <v>0</v>
      </c>
      <c r="AD34">
        <f t="shared" si="7"/>
        <v>1.7843388830185658E-2</v>
      </c>
      <c r="AE34">
        <f t="shared" si="8"/>
        <v>1.7843388830185658E-2</v>
      </c>
      <c r="AF34">
        <v>1</v>
      </c>
      <c r="AG34">
        <f t="shared" si="9"/>
        <v>2</v>
      </c>
      <c r="AH34">
        <f t="shared" si="10"/>
        <v>1</v>
      </c>
      <c r="AI34">
        <f t="shared" si="11"/>
        <v>0</v>
      </c>
      <c r="AJ34">
        <f t="shared" si="12"/>
        <v>1</v>
      </c>
    </row>
    <row r="35" spans="2:36" x14ac:dyDescent="0.35">
      <c r="B35">
        <f t="shared" si="13"/>
        <v>30</v>
      </c>
      <c r="D35">
        <v>0.997</v>
      </c>
      <c r="E35">
        <f t="shared" si="14"/>
        <v>1.0000000000000009E-3</v>
      </c>
      <c r="F35">
        <f t="shared" si="15"/>
        <v>1477911</v>
      </c>
      <c r="G35">
        <f t="shared" si="21"/>
        <v>4317</v>
      </c>
      <c r="H35">
        <f t="shared" si="22"/>
        <v>121889.99999999994</v>
      </c>
      <c r="I35">
        <f t="shared" si="3"/>
        <v>1356</v>
      </c>
      <c r="J35">
        <f t="shared" si="23"/>
        <v>2961</v>
      </c>
      <c r="K35">
        <f t="shared" si="24"/>
        <v>1</v>
      </c>
      <c r="L35">
        <f t="shared" si="25"/>
        <v>2</v>
      </c>
      <c r="M35">
        <f t="shared" si="26"/>
        <v>61</v>
      </c>
      <c r="N35">
        <f t="shared" si="27"/>
        <v>1355</v>
      </c>
      <c r="O35">
        <f t="shared" si="16"/>
        <v>1353059</v>
      </c>
      <c r="P35">
        <f t="shared" si="17"/>
        <v>10312</v>
      </c>
      <c r="Q35">
        <f t="shared" si="18"/>
        <v>1841</v>
      </c>
      <c r="R35">
        <f t="shared" si="0"/>
        <v>1490000</v>
      </c>
      <c r="S35">
        <f t="shared" si="4"/>
        <v>121828.99999999994</v>
      </c>
      <c r="T35">
        <f>S35/(S35+SUM(L36:L$41))</f>
        <v>0.99997537592750674</v>
      </c>
      <c r="U35">
        <f t="shared" si="19"/>
        <v>674</v>
      </c>
      <c r="V35">
        <f t="shared" si="20"/>
        <v>9638</v>
      </c>
      <c r="Y35">
        <f t="shared" si="1"/>
        <v>300</v>
      </c>
      <c r="Z35">
        <f t="shared" si="5"/>
        <v>100</v>
      </c>
      <c r="AA35">
        <f t="shared" si="2"/>
        <v>100</v>
      </c>
      <c r="AB35">
        <f t="shared" si="6"/>
        <v>0</v>
      </c>
      <c r="AD35">
        <f t="shared" si="7"/>
        <v>1.7843388830185658E-2</v>
      </c>
      <c r="AE35">
        <f t="shared" si="8"/>
        <v>1.7843388830185658E-2</v>
      </c>
      <c r="AF35">
        <v>1</v>
      </c>
      <c r="AG35">
        <f t="shared" si="9"/>
        <v>5</v>
      </c>
      <c r="AH35">
        <f t="shared" si="10"/>
        <v>2</v>
      </c>
      <c r="AI35">
        <f t="shared" si="11"/>
        <v>0</v>
      </c>
      <c r="AJ35">
        <f t="shared" si="12"/>
        <v>2</v>
      </c>
    </row>
    <row r="36" spans="2:36" x14ac:dyDescent="0.35">
      <c r="B36">
        <f t="shared" si="13"/>
        <v>31</v>
      </c>
      <c r="D36">
        <v>0.99750000000000005</v>
      </c>
      <c r="E36">
        <f t="shared" si="14"/>
        <v>5.0000000000005596E-4</v>
      </c>
      <c r="F36">
        <f t="shared" si="15"/>
        <v>1477847</v>
      </c>
      <c r="G36">
        <f t="shared" si="21"/>
        <v>2959</v>
      </c>
      <c r="H36">
        <f t="shared" si="22"/>
        <v>121828.99999999994</v>
      </c>
      <c r="I36">
        <f t="shared" si="3"/>
        <v>678</v>
      </c>
      <c r="J36">
        <f t="shared" si="23"/>
        <v>2281</v>
      </c>
      <c r="K36">
        <f t="shared" si="24"/>
        <v>0</v>
      </c>
      <c r="L36">
        <f t="shared" si="25"/>
        <v>1</v>
      </c>
      <c r="M36">
        <f t="shared" si="26"/>
        <v>61</v>
      </c>
      <c r="N36">
        <f t="shared" si="27"/>
        <v>678</v>
      </c>
      <c r="O36">
        <f t="shared" si="16"/>
        <v>1353737</v>
      </c>
      <c r="P36">
        <f t="shared" si="17"/>
        <v>10313</v>
      </c>
      <c r="Q36">
        <f t="shared" si="18"/>
        <v>1902</v>
      </c>
      <c r="R36">
        <f t="shared" si="0"/>
        <v>1490000</v>
      </c>
      <c r="S36">
        <f t="shared" si="4"/>
        <v>121767.99999999994</v>
      </c>
      <c r="T36">
        <f>S36/(S36+SUM(L37:L$41))</f>
        <v>0.99998357559333173</v>
      </c>
      <c r="U36">
        <f t="shared" si="19"/>
        <v>674</v>
      </c>
      <c r="V36">
        <f t="shared" si="20"/>
        <v>9639</v>
      </c>
      <c r="Y36">
        <f t="shared" si="1"/>
        <v>150</v>
      </c>
      <c r="Z36">
        <f t="shared" si="5"/>
        <v>50</v>
      </c>
      <c r="AA36">
        <f t="shared" si="2"/>
        <v>50</v>
      </c>
      <c r="AB36">
        <f t="shared" si="6"/>
        <v>0</v>
      </c>
      <c r="AD36">
        <f t="shared" si="7"/>
        <v>1.7843388830185658E-2</v>
      </c>
      <c r="AE36">
        <f t="shared" si="8"/>
        <v>1.7843388830185658E-2</v>
      </c>
      <c r="AF36">
        <v>1</v>
      </c>
      <c r="AG36">
        <f t="shared" si="9"/>
        <v>3</v>
      </c>
      <c r="AH36">
        <f t="shared" si="10"/>
        <v>1</v>
      </c>
      <c r="AI36">
        <f t="shared" si="11"/>
        <v>0</v>
      </c>
      <c r="AJ36">
        <f t="shared" si="12"/>
        <v>1</v>
      </c>
    </row>
    <row r="37" spans="2:36" x14ac:dyDescent="0.35">
      <c r="B37">
        <f t="shared" si="13"/>
        <v>32</v>
      </c>
      <c r="C37">
        <v>0.91500000000000004</v>
      </c>
      <c r="D37">
        <f>C37/B$3</f>
        <v>0.99781897491821159</v>
      </c>
      <c r="E37">
        <f t="shared" si="14"/>
        <v>3.1897491821153423E-4</v>
      </c>
      <c r="F37">
        <f t="shared" si="15"/>
        <v>1477785</v>
      </c>
      <c r="G37">
        <f t="shared" si="21"/>
        <v>2280</v>
      </c>
      <c r="H37">
        <f t="shared" si="22"/>
        <v>121767.99999999994</v>
      </c>
      <c r="I37">
        <f t="shared" si="3"/>
        <v>433</v>
      </c>
      <c r="J37">
        <f t="shared" si="23"/>
        <v>1847</v>
      </c>
      <c r="K37">
        <f t="shared" si="24"/>
        <v>0</v>
      </c>
      <c r="L37">
        <f t="shared" si="25"/>
        <v>1</v>
      </c>
      <c r="M37">
        <f t="shared" si="26"/>
        <v>61</v>
      </c>
      <c r="N37">
        <f t="shared" si="27"/>
        <v>433</v>
      </c>
      <c r="O37">
        <f t="shared" si="16"/>
        <v>1354170</v>
      </c>
      <c r="P37">
        <f t="shared" si="17"/>
        <v>10314</v>
      </c>
      <c r="Q37">
        <f t="shared" si="18"/>
        <v>1963</v>
      </c>
      <c r="R37">
        <f t="shared" si="0"/>
        <v>1490000</v>
      </c>
      <c r="S37">
        <f t="shared" si="4"/>
        <v>121706.99999999994</v>
      </c>
      <c r="T37">
        <f>S37/(S37+SUM(L38:L$41))</f>
        <v>0.99999178361323826</v>
      </c>
      <c r="U37">
        <f t="shared" si="19"/>
        <v>674</v>
      </c>
      <c r="V37">
        <f t="shared" si="20"/>
        <v>9640</v>
      </c>
      <c r="Y37">
        <f t="shared" si="1"/>
        <v>96</v>
      </c>
      <c r="Z37">
        <f t="shared" si="5"/>
        <v>32</v>
      </c>
      <c r="AA37">
        <f t="shared" si="2"/>
        <v>32</v>
      </c>
      <c r="AB37">
        <f t="shared" si="6"/>
        <v>0</v>
      </c>
      <c r="AD37">
        <f t="shared" si="7"/>
        <v>1.7843388830185658E-2</v>
      </c>
      <c r="AE37">
        <f t="shared" si="8"/>
        <v>1.7843388830185658E-2</v>
      </c>
      <c r="AF37">
        <v>1</v>
      </c>
      <c r="AG37">
        <f t="shared" si="9"/>
        <v>2</v>
      </c>
      <c r="AH37">
        <f t="shared" si="10"/>
        <v>1</v>
      </c>
      <c r="AI37">
        <f t="shared" si="11"/>
        <v>0</v>
      </c>
      <c r="AJ37">
        <f t="shared" si="12"/>
        <v>1</v>
      </c>
    </row>
    <row r="38" spans="2:36" x14ac:dyDescent="0.35">
      <c r="B38">
        <f t="shared" si="13"/>
        <v>33</v>
      </c>
      <c r="D38">
        <v>0.99850000000000005</v>
      </c>
      <c r="E38">
        <f t="shared" si="14"/>
        <v>6.8102508178846666E-4</v>
      </c>
      <c r="F38">
        <f t="shared" si="15"/>
        <v>1477723</v>
      </c>
      <c r="G38">
        <f t="shared" si="21"/>
        <v>1846</v>
      </c>
      <c r="H38">
        <f t="shared" si="22"/>
        <v>121706.99999999994</v>
      </c>
      <c r="I38">
        <f t="shared" si="3"/>
        <v>923</v>
      </c>
      <c r="J38">
        <f t="shared" si="23"/>
        <v>923</v>
      </c>
      <c r="K38">
        <f t="shared" si="24"/>
        <v>0</v>
      </c>
      <c r="L38">
        <f t="shared" si="25"/>
        <v>1</v>
      </c>
      <c r="M38">
        <f t="shared" si="26"/>
        <v>61</v>
      </c>
      <c r="N38">
        <f t="shared" si="27"/>
        <v>923</v>
      </c>
      <c r="O38">
        <f t="shared" si="16"/>
        <v>1355093</v>
      </c>
      <c r="P38">
        <f t="shared" si="17"/>
        <v>10315</v>
      </c>
      <c r="Q38">
        <f t="shared" si="18"/>
        <v>2024</v>
      </c>
      <c r="R38">
        <f t="shared" si="0"/>
        <v>1490000</v>
      </c>
      <c r="S38">
        <f t="shared" si="4"/>
        <v>121645.99999999994</v>
      </c>
      <c r="T38">
        <f>S38/(S38+SUM(L39:L$41))</f>
        <v>1</v>
      </c>
      <c r="U38">
        <f t="shared" si="19"/>
        <v>674</v>
      </c>
      <c r="V38">
        <f t="shared" si="20"/>
        <v>9641</v>
      </c>
      <c r="Y38">
        <f t="shared" si="1"/>
        <v>204</v>
      </c>
      <c r="Z38">
        <f t="shared" si="5"/>
        <v>68</v>
      </c>
      <c r="AA38">
        <f t="shared" si="2"/>
        <v>68</v>
      </c>
      <c r="AB38">
        <f t="shared" si="6"/>
        <v>0</v>
      </c>
      <c r="AD38">
        <f t="shared" si="7"/>
        <v>1.7843388830185658E-2</v>
      </c>
      <c r="AE38">
        <f t="shared" si="8"/>
        <v>1.7843388830185658E-2</v>
      </c>
      <c r="AF38">
        <v>1</v>
      </c>
      <c r="AG38">
        <f t="shared" si="9"/>
        <v>4</v>
      </c>
      <c r="AH38">
        <f t="shared" si="10"/>
        <v>1</v>
      </c>
      <c r="AI38">
        <f t="shared" si="11"/>
        <v>0</v>
      </c>
      <c r="AJ38">
        <f t="shared" si="12"/>
        <v>1</v>
      </c>
    </row>
    <row r="39" spans="2:36" x14ac:dyDescent="0.35">
      <c r="B39">
        <f t="shared" si="13"/>
        <v>34</v>
      </c>
      <c r="D39">
        <v>0.999</v>
      </c>
      <c r="E39">
        <f t="shared" si="14"/>
        <v>4.9999999999994493E-4</v>
      </c>
      <c r="F39">
        <f t="shared" si="15"/>
        <v>1477661</v>
      </c>
      <c r="G39">
        <f t="shared" si="21"/>
        <v>922</v>
      </c>
      <c r="H39">
        <f t="shared" si="22"/>
        <v>121645.99999999994</v>
      </c>
      <c r="I39">
        <f t="shared" si="3"/>
        <v>678</v>
      </c>
      <c r="J39">
        <f t="shared" si="23"/>
        <v>244</v>
      </c>
      <c r="K39">
        <f t="shared" si="24"/>
        <v>0</v>
      </c>
      <c r="L39">
        <f t="shared" si="25"/>
        <v>0</v>
      </c>
      <c r="M39">
        <f t="shared" si="26"/>
        <v>61</v>
      </c>
      <c r="N39">
        <f t="shared" si="27"/>
        <v>678</v>
      </c>
      <c r="O39">
        <f t="shared" si="16"/>
        <v>1355771</v>
      </c>
      <c r="P39">
        <f t="shared" si="17"/>
        <v>10315</v>
      </c>
      <c r="Q39">
        <f t="shared" si="18"/>
        <v>2085</v>
      </c>
      <c r="R39">
        <f t="shared" si="0"/>
        <v>1490000</v>
      </c>
      <c r="S39">
        <f t="shared" si="4"/>
        <v>121584.99999999994</v>
      </c>
      <c r="T39">
        <f>S39/(S39+SUM(L40:L$41))</f>
        <v>1</v>
      </c>
      <c r="U39">
        <f t="shared" si="19"/>
        <v>674</v>
      </c>
      <c r="V39">
        <f t="shared" si="20"/>
        <v>9641</v>
      </c>
      <c r="Y39">
        <f t="shared" si="1"/>
        <v>150</v>
      </c>
      <c r="Z39">
        <f t="shared" si="5"/>
        <v>50</v>
      </c>
      <c r="AA39">
        <f t="shared" si="2"/>
        <v>50</v>
      </c>
      <c r="AB39">
        <f t="shared" si="6"/>
        <v>0</v>
      </c>
      <c r="AD39">
        <f t="shared" si="7"/>
        <v>1.7843388830185658E-2</v>
      </c>
      <c r="AE39">
        <f t="shared" si="8"/>
        <v>1.7843388830185658E-2</v>
      </c>
      <c r="AF39">
        <v>1</v>
      </c>
      <c r="AG39">
        <f t="shared" si="9"/>
        <v>3</v>
      </c>
      <c r="AH39">
        <f t="shared" si="10"/>
        <v>1</v>
      </c>
      <c r="AI39">
        <f t="shared" si="11"/>
        <v>0</v>
      </c>
      <c r="AJ39">
        <f t="shared" si="12"/>
        <v>1</v>
      </c>
    </row>
    <row r="40" spans="2:36" x14ac:dyDescent="0.35">
      <c r="B40">
        <f t="shared" si="13"/>
        <v>35</v>
      </c>
      <c r="D40">
        <v>0.99950000000000006</v>
      </c>
      <c r="E40">
        <f t="shared" si="14"/>
        <v>5.0000000000005596E-4</v>
      </c>
      <c r="F40">
        <f t="shared" si="15"/>
        <v>1477600</v>
      </c>
      <c r="G40">
        <f t="shared" si="21"/>
        <v>244</v>
      </c>
      <c r="H40">
        <f t="shared" si="22"/>
        <v>121584.99999999994</v>
      </c>
      <c r="I40">
        <f>MIN(ROUND((D$2-P39)*E40,0),G40)</f>
        <v>244</v>
      </c>
      <c r="J40">
        <f t="shared" si="23"/>
        <v>0</v>
      </c>
      <c r="K40">
        <f t="shared" si="24"/>
        <v>0</v>
      </c>
      <c r="L40">
        <f t="shared" si="25"/>
        <v>0</v>
      </c>
      <c r="M40">
        <f t="shared" si="26"/>
        <v>61</v>
      </c>
      <c r="N40">
        <f t="shared" si="27"/>
        <v>244</v>
      </c>
      <c r="O40">
        <f t="shared" si="16"/>
        <v>1356015</v>
      </c>
      <c r="P40">
        <f t="shared" si="17"/>
        <v>10315</v>
      </c>
      <c r="Q40">
        <f t="shared" si="18"/>
        <v>2146</v>
      </c>
      <c r="R40">
        <f t="shared" si="0"/>
        <v>1490000</v>
      </c>
      <c r="S40">
        <f t="shared" si="4"/>
        <v>121523.99999999994</v>
      </c>
      <c r="T40">
        <f>S40/(S40+SUM(L41:L$41))</f>
        <v>1</v>
      </c>
      <c r="U40">
        <f t="shared" si="19"/>
        <v>674</v>
      </c>
      <c r="V40">
        <f t="shared" si="20"/>
        <v>9641</v>
      </c>
      <c r="Y40">
        <f t="shared" si="1"/>
        <v>150</v>
      </c>
      <c r="Z40">
        <f t="shared" si="5"/>
        <v>50</v>
      </c>
      <c r="AA40">
        <f t="shared" si="2"/>
        <v>50</v>
      </c>
      <c r="AB40">
        <f t="shared" si="6"/>
        <v>0</v>
      </c>
      <c r="AD40">
        <f t="shared" si="7"/>
        <v>1.7843388830185658E-2</v>
      </c>
      <c r="AE40">
        <f t="shared" si="8"/>
        <v>1.7843388830185658E-2</v>
      </c>
      <c r="AF40">
        <v>1</v>
      </c>
      <c r="AG40">
        <f t="shared" si="9"/>
        <v>3</v>
      </c>
      <c r="AH40">
        <f t="shared" si="10"/>
        <v>1</v>
      </c>
      <c r="AI40">
        <f t="shared" si="11"/>
        <v>0</v>
      </c>
      <c r="AJ40">
        <f t="shared" si="12"/>
        <v>1</v>
      </c>
    </row>
    <row r="41" spans="2:36" x14ac:dyDescent="0.35">
      <c r="B41">
        <f t="shared" si="13"/>
        <v>36</v>
      </c>
      <c r="C41">
        <v>0.91700000000000004</v>
      </c>
      <c r="D41">
        <f>C41/B$3</f>
        <v>1</v>
      </c>
      <c r="E41">
        <f t="shared" si="14"/>
        <v>4.9999999999994493E-4</v>
      </c>
      <c r="F41">
        <f t="shared" si="15"/>
        <v>1477539</v>
      </c>
      <c r="G41">
        <f t="shared" si="21"/>
        <v>0</v>
      </c>
      <c r="H41">
        <f t="shared" si="22"/>
        <v>121523.99999999994</v>
      </c>
      <c r="I41">
        <f>MIN(ROUND((D$2-P40)*E41,0),G41)</f>
        <v>0</v>
      </c>
      <c r="J41">
        <f t="shared" si="23"/>
        <v>0</v>
      </c>
      <c r="K41">
        <f t="shared" si="24"/>
        <v>0</v>
      </c>
      <c r="L41">
        <f t="shared" si="25"/>
        <v>0</v>
      </c>
      <c r="M41">
        <f t="shared" si="26"/>
        <v>61</v>
      </c>
      <c r="N41">
        <f t="shared" si="27"/>
        <v>0</v>
      </c>
      <c r="O41">
        <f t="shared" si="16"/>
        <v>1356015</v>
      </c>
      <c r="P41">
        <f t="shared" si="17"/>
        <v>10315</v>
      </c>
      <c r="Q41">
        <f t="shared" si="18"/>
        <v>2207</v>
      </c>
      <c r="R41">
        <f>F41+P41+Q41-M41-L41-K41</f>
        <v>1490000</v>
      </c>
      <c r="S41">
        <f t="shared" si="4"/>
        <v>121462.99999999994</v>
      </c>
      <c r="T41">
        <f>S41/(S41+SUM(L$41:L42))</f>
        <v>1</v>
      </c>
      <c r="U41">
        <f t="shared" si="19"/>
        <v>674</v>
      </c>
      <c r="V41">
        <f t="shared" si="20"/>
        <v>9641</v>
      </c>
      <c r="Y41">
        <f t="shared" si="1"/>
        <v>150</v>
      </c>
      <c r="Z41">
        <f t="shared" si="5"/>
        <v>50</v>
      </c>
      <c r="AA41">
        <f t="shared" si="2"/>
        <v>50</v>
      </c>
      <c r="AB41">
        <f t="shared" si="6"/>
        <v>0</v>
      </c>
      <c r="AD41">
        <f t="shared" si="7"/>
        <v>1.7843388830185658E-2</v>
      </c>
      <c r="AE41">
        <f t="shared" si="8"/>
        <v>1.7843388830185658E-2</v>
      </c>
      <c r="AF41">
        <v>1</v>
      </c>
      <c r="AG41">
        <f t="shared" si="9"/>
        <v>3</v>
      </c>
      <c r="AH41">
        <f t="shared" si="10"/>
        <v>1</v>
      </c>
      <c r="AI41">
        <f t="shared" si="11"/>
        <v>0</v>
      </c>
      <c r="AJ41">
        <f t="shared" si="12"/>
        <v>1</v>
      </c>
    </row>
    <row r="42" spans="2:36" x14ac:dyDescent="0.35">
      <c r="I42">
        <f>SUM(I6:I41)</f>
        <v>1356689</v>
      </c>
      <c r="K42">
        <f t="shared" si="24"/>
        <v>678</v>
      </c>
      <c r="N42">
        <f t="shared" si="27"/>
        <v>1356011</v>
      </c>
      <c r="Y42">
        <f>SUM(Y6:Y41)</f>
        <v>300000</v>
      </c>
      <c r="AA42">
        <f>SUM(AA6:AA41)</f>
        <v>99212</v>
      </c>
      <c r="AB42">
        <f>SUM(AB6:AB41)</f>
        <v>788</v>
      </c>
      <c r="AC42" t="s">
        <v>43</v>
      </c>
      <c r="AG42">
        <f t="shared" ref="AG42:AJ42" si="28">SUM(AG6:AG41)</f>
        <v>5358</v>
      </c>
      <c r="AH42">
        <f t="shared" si="28"/>
        <v>1771</v>
      </c>
      <c r="AI42">
        <f t="shared" si="28"/>
        <v>788</v>
      </c>
      <c r="AJ42">
        <f t="shared" si="28"/>
        <v>2559</v>
      </c>
    </row>
    <row r="43" spans="2:36" x14ac:dyDescent="0.35">
      <c r="AA43">
        <f>AA42/(AA42+AB42)</f>
        <v>0.99212</v>
      </c>
      <c r="AB43">
        <f>AB42/(AA42+AB42)</f>
        <v>7.8799999999999999E-3</v>
      </c>
      <c r="AC43">
        <f>AA43+AB43</f>
        <v>1</v>
      </c>
      <c r="AE43" s="4" t="s">
        <v>36</v>
      </c>
      <c r="AG43" s="3">
        <f>AG42/Y42</f>
        <v>1.7860000000000001E-2</v>
      </c>
      <c r="AH43">
        <f>AH42/AA42</f>
        <v>1.7850663226222634E-2</v>
      </c>
      <c r="AI43">
        <f>AI42/AB42</f>
        <v>1</v>
      </c>
      <c r="AJ43" s="3">
        <f>AJ42/(AA42+AB42)</f>
        <v>2.5590000000000002E-2</v>
      </c>
    </row>
    <row r="45" spans="2:36" ht="29" x14ac:dyDescent="0.35">
      <c r="AI45" s="2" t="s">
        <v>37</v>
      </c>
      <c r="AJ45" s="3">
        <f>AJ43-AG43</f>
        <v>7.7300000000000008E-3</v>
      </c>
    </row>
    <row r="46" spans="2:36" ht="29" x14ac:dyDescent="0.35">
      <c r="AI46" s="2" t="s">
        <v>41</v>
      </c>
      <c r="AJ46" s="3">
        <f>(AJ43-AG43)/AG43</f>
        <v>0.43281075027995525</v>
      </c>
    </row>
  </sheetData>
  <pageMargins left="0.25" right="0.25" top="0.75" bottom="0.75" header="0.3" footer="0.3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Bakker</dc:creator>
  <cp:lastModifiedBy>Bram Bakker</cp:lastModifiedBy>
  <cp:lastPrinted>2025-03-12T08:23:25Z</cp:lastPrinted>
  <dcterms:created xsi:type="dcterms:W3CDTF">2025-03-04T08:45:36Z</dcterms:created>
  <dcterms:modified xsi:type="dcterms:W3CDTF">2025-03-19T11:33:18Z</dcterms:modified>
</cp:coreProperties>
</file>