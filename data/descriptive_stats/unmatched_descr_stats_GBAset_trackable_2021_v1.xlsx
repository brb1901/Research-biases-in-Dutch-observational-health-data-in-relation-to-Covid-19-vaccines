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<sst xmlns="http://schemas.openxmlformats.org/spreadsheetml/2006/main" count="70" uniqueCount="34">
  <si>
    <t xml:space="preserve">TOTAL</t>
  </si>
  <si>
    <t xml:space="preserve">VACCINATED</t>
  </si>
  <si>
    <t xml:space="preserve">UNVACCINATED</t>
  </si>
  <si>
    <t xml:space="preserve">VALUE 1, VALUE 2</t>
  </si>
  <si>
    <t xml:space="preserve">VALUE 1</t>
  </si>
  <si>
    <t xml:space="preserve">VALUE 2</t>
  </si>
  <si>
    <t xml:space="preserve">STANDARDIZED_MEAN_DIFFERENCE</t>
  </si>
  <si>
    <t xml:space="preserve">Number of people: </t>
  </si>
  <si>
    <t xml:space="preserve">N, % of TOTAL</t>
  </si>
  <si>
    <t xml:space="preserve">age: </t>
  </si>
  <si>
    <t xml:space="preserve">mean, stddev</t>
  </si>
  <si>
    <t xml:space="preserve">male: </t>
  </si>
  <si>
    <t xml:space="preserve">N, %</t>
  </si>
  <si>
    <t xml:space="preserve">female: </t>
  </si>
  <si>
    <t xml:space="preserve">WLZ: </t>
  </si>
  <si>
    <t xml:space="preserve">Rx-Risk: </t>
  </si>
  <si>
    <t xml:space="preserve">died:</t>
  </si>
  <si>
    <t xml:space="preserve">died Covid: </t>
  </si>
  <si>
    <t xml:space="preserve">died non-Covid: </t>
  </si>
  <si>
    <t xml:space="preserve">AGE GROUP</t>
  </si>
  <si>
    <t xml:space="preserve">1930-1940</t>
  </si>
  <si>
    <t xml:space="preserve">1940-1950</t>
  </si>
  <si>
    <t xml:space="preserve">1950-1960</t>
  </si>
  <si>
    <t xml:space="preserve">1960-1980</t>
  </si>
  <si>
    <t xml:space="preserve">1980-2000</t>
  </si>
  <si>
    <t xml:space="preserve">2000-2020</t>
  </si>
  <si>
    <t xml:space="preserve">SUM:</t>
  </si>
  <si>
    <t xml:space="preserve">N, % vaccination status in age group</t>
  </si>
  <si>
    <t xml:space="preserve">born_NL_parents_too</t>
  </si>
  <si>
    <t xml:space="preserve">born_NL_atleast1parent_not</t>
  </si>
  <si>
    <t xml:space="preserve">born_NL_not</t>
  </si>
  <si>
    <t xml:space="preserve">DEELSCOREWELVAART</t>
  </si>
  <si>
    <t xml:space="preserve">DEELSCOREOPLEIDINGSNIVEAU</t>
  </si>
  <si>
    <t xml:space="preserve">DEELSCORERECENTARBEIDSVERLEDEN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</si>
</sst>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7.88"/>
    <col collapsed="false" customWidth="true" hidden="false" outlineLevel="0" max="2" min="2" style="0" width="24.21"/>
    <col collapsed="false" customWidth="true" hidden="false" outlineLevel="0" max="3" min="3" style="0" width="14.74"/>
    <col collapsed="false" customWidth="true" hidden="false" outlineLevel="0" max="4" min="4" style="0" width="17.71"/>
    <col collapsed="false" customWidth="true" hidden="false" outlineLevel="0" max="5" min="5" style="0" width="23.79"/>
    <col collapsed="false" customWidth="true" hidden="false" outlineLevel="0" max="7" min="7" style="0" width="18.68"/>
    <col collapsed="false" customWidth="true" hidden="false" outlineLevel="0" max="8" min="8" style="0" width="23.09"/>
    <col collapsed="false" customWidth="true" hidden="false" outlineLevel="0" max="10" min="10" style="0" width="18.36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B2" s="0" t="n">
        <v>15922503</v>
      </c>
    </row>
    <row r="3" customFormat="false" ht="12.8" hidden="false" customHeight="false" outlineLevel="0" collapsed="false">
      <c r="D3" s="1" t="s">
        <v>1</v>
      </c>
      <c r="E3" s="1"/>
      <c r="F3" s="1"/>
      <c r="G3" s="1" t="s">
        <v>2</v>
      </c>
      <c r="H3" s="1"/>
    </row>
    <row r="4" customFormat="false" ht="12.8" hidden="false" customHeight="false" outlineLevel="0" collapsed="false">
      <c r="B4" s="0" t="s">
        <v>3</v>
      </c>
      <c r="D4" s="1" t="s">
        <v>4</v>
      </c>
      <c r="E4" s="1" t="s">
        <v>5</v>
      </c>
      <c r="F4" s="1"/>
      <c r="G4" s="1" t="s">
        <v>4</v>
      </c>
      <c r="H4" s="1" t="s">
        <v>5</v>
      </c>
      <c r="J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  <c r="D5" s="0" t="n">
        <v>12054368</v>
      </c>
      <c r="E5" s="2" t="n">
        <v>75.7064891116679</v>
      </c>
      <c r="G5" s="0" t="n">
        <v>3868135</v>
      </c>
      <c r="H5" s="2" t="n">
        <v>24.2935108883321</v>
      </c>
    </row>
    <row r="6" customFormat="false" ht="12.8" hidden="false" customHeight="false" outlineLevel="0" collapsed="false">
      <c r="A6" s="0" t="s">
        <v>9</v>
      </c>
      <c r="B6" s="0" t="s">
        <v>10</v>
      </c>
      <c r="D6" s="3" t="n">
        <v>49.6651363223688</v>
      </c>
      <c r="E6" s="2" t="n">
        <v>20.4477220349678</v>
      </c>
      <c r="G6" s="3" t="n">
        <v>29.3913105411264</v>
      </c>
      <c r="H6" s="2" t="n">
        <v>20.7602567036904</v>
      </c>
      <c r="J6" s="4" t="n">
        <f aca="false">(D6-G6)/( SQRT((E6*E6 + H6*H6)/2) )</f>
        <v>0.983947445699332</v>
      </c>
    </row>
    <row r="7" customFormat="false" ht="12.8" hidden="false" customHeight="false" outlineLevel="0" collapsed="false">
      <c r="A7" s="0" t="s">
        <v>11</v>
      </c>
      <c r="B7" s="0" t="s">
        <v>12</v>
      </c>
      <c r="D7" s="0" t="n">
        <v>5929515</v>
      </c>
      <c r="E7" s="2" t="n">
        <v>49.189762582327</v>
      </c>
      <c r="G7" s="0" t="n">
        <v>1968794</v>
      </c>
      <c r="H7" s="2" t="n">
        <v>50.8977582219855</v>
      </c>
      <c r="J7" s="4" t="n">
        <f aca="false">(E7/100 - H7/100)/( SQRT( ( (E7/100)*(1-(E7/100)) + (H7/100)*(1-(H7/100)) )/2))</f>
        <v>-0.0341649096211543</v>
      </c>
    </row>
    <row r="8" customFormat="false" ht="12.8" hidden="false" customHeight="false" outlineLevel="0" collapsed="false">
      <c r="A8" s="5" t="s">
        <v>13</v>
      </c>
      <c r="B8" s="0" t="s">
        <v>12</v>
      </c>
      <c r="C8" s="5"/>
      <c r="D8" s="5" t="n">
        <v>6124853</v>
      </c>
      <c r="E8" s="6" t="n">
        <v>50.810237417673</v>
      </c>
      <c r="F8" s="5"/>
      <c r="G8" s="5" t="n">
        <v>1899341</v>
      </c>
      <c r="H8" s="6" t="n">
        <v>49.1022417780145</v>
      </c>
      <c r="I8" s="5"/>
      <c r="J8" s="7"/>
    </row>
    <row r="9" customFormat="false" ht="12.8" hidden="false" customHeight="false" outlineLevel="0" collapsed="false">
      <c r="A9" s="5" t="s">
        <v>14</v>
      </c>
      <c r="B9" s="0" t="s">
        <v>12</v>
      </c>
      <c r="C9" s="5"/>
      <c r="D9" s="5" t="n">
        <v>174309</v>
      </c>
      <c r="E9" s="6" t="n">
        <v>1.44602354930594</v>
      </c>
      <c r="F9" s="5"/>
      <c r="G9" s="5" t="n">
        <v>28325</v>
      </c>
      <c r="H9" s="6" t="n">
        <v>0.73226503211496</v>
      </c>
      <c r="I9" s="5"/>
      <c r="J9" s="7" t="n">
        <f aca="false">(E9/100 - H9/100)/( SQRT( ( (E9/100)*(1-(E9/100)) + (H9/100)*(1-(H9/100)) )/2))</f>
        <v>0.068808721895182</v>
      </c>
    </row>
    <row r="10" customFormat="false" ht="12.8" hidden="false" customHeight="false" outlineLevel="0" collapsed="false">
      <c r="A10" s="5" t="s">
        <v>15</v>
      </c>
      <c r="B10" s="5" t="s">
        <v>10</v>
      </c>
      <c r="C10" s="5"/>
      <c r="D10" s="8" t="n">
        <v>1.64131873193186</v>
      </c>
      <c r="E10" s="6" t="n">
        <v>3.43960753417563</v>
      </c>
      <c r="F10" s="5"/>
      <c r="G10" s="8" t="n">
        <v>0.880378528670794</v>
      </c>
      <c r="H10" s="6" t="n">
        <v>2.68127263546218</v>
      </c>
      <c r="I10" s="5"/>
      <c r="J10" s="7" t="n">
        <f aca="false">(D10-G10)/( SQRT((E10*E10 + H10*H10)/2))</f>
        <v>0.246750969714024</v>
      </c>
    </row>
    <row r="11" customFormat="false" ht="12.8" hidden="false" customHeight="false" outlineLevel="0" collapsed="false">
      <c r="A11" s="5" t="s">
        <v>16</v>
      </c>
      <c r="B11" s="0" t="s">
        <v>12</v>
      </c>
      <c r="C11" s="5"/>
      <c r="D11" s="5" t="n">
        <v>368050</v>
      </c>
      <c r="E11" s="6" t="n">
        <v>3.05325007499356</v>
      </c>
      <c r="F11" s="5"/>
      <c r="G11" s="5" t="n">
        <v>96286</v>
      </c>
      <c r="H11" s="6" t="n">
        <v>2.48920991640674</v>
      </c>
      <c r="I11" s="5"/>
      <c r="J11" s="7" t="n">
        <f aca="false">(E11/100 - H11/100)/( SQRT( ( (E11/100)*(1-(E11/100)) + (H11/100)*(1-(H11/100)) )/2))</f>
        <v>0.0343669073762774</v>
      </c>
    </row>
    <row r="12" customFormat="false" ht="12.8" hidden="false" customHeight="false" outlineLevel="0" collapsed="false">
      <c r="A12" s="5" t="s">
        <v>17</v>
      </c>
      <c r="B12" s="0" t="s">
        <v>12</v>
      </c>
      <c r="C12" s="5"/>
      <c r="D12" s="5" t="n">
        <v>12471</v>
      </c>
      <c r="E12" s="6" t="n">
        <v>0.103456274107444</v>
      </c>
      <c r="F12" s="9"/>
      <c r="G12" s="9" t="n">
        <v>12650</v>
      </c>
      <c r="H12" s="6" t="n">
        <v>0.32703098521639</v>
      </c>
      <c r="I12" s="5"/>
      <c r="J12" s="7" t="n">
        <f aca="false">(E12/100 - H12/100)/( SQRT( ( (E12/100)*(1-(E12/100)) + (H12/100)*(1-(H12/100)) )/2))</f>
        <v>-0.0482560535882843</v>
      </c>
    </row>
    <row r="13" customFormat="false" ht="12.8" hidden="false" customHeight="false" outlineLevel="0" collapsed="false">
      <c r="A13" s="5" t="s">
        <v>18</v>
      </c>
      <c r="B13" s="0" t="s">
        <v>12</v>
      </c>
      <c r="C13" s="5"/>
      <c r="D13" s="5" t="n">
        <v>355579</v>
      </c>
      <c r="E13" s="6" t="n">
        <v>2.94979380088612</v>
      </c>
      <c r="F13" s="9"/>
      <c r="G13" s="9" t="n">
        <v>83636</v>
      </c>
      <c r="H13" s="6" t="n">
        <v>2.16217893119035</v>
      </c>
      <c r="I13" s="5"/>
      <c r="J13" s="7" t="n">
        <f aca="false">(E13/100 - H13/100)/( SQRT( ( (E13/100)*(1-(E13/100)) + (H13/100)*(1-(H13/100)) )/2))</f>
        <v>0.0499220384421686</v>
      </c>
    </row>
    <row r="14" customFormat="false" ht="12.8" hidden="false" customHeight="false" outlineLevel="0" collapsed="false">
      <c r="A14" s="0" t="s">
        <v>19</v>
      </c>
      <c r="E14" s="10"/>
      <c r="H14" s="10"/>
      <c r="J14" s="4"/>
    </row>
    <row r="15" customFormat="false" ht="12.8" hidden="false" customHeight="false" outlineLevel="0" collapsed="false">
      <c r="A15" s="0" t="s">
        <v>20</v>
      </c>
      <c r="B15" s="0" t="s">
        <v>12</v>
      </c>
      <c r="D15" s="1" t="n">
        <v>572270</v>
      </c>
      <c r="E15" s="2" t="n">
        <v>4.74740774464493</v>
      </c>
      <c r="F15" s="1"/>
      <c r="G15" s="1" t="n">
        <v>57642</v>
      </c>
      <c r="H15" s="2" t="n">
        <v>1.49017549801132</v>
      </c>
      <c r="J15" s="4" t="n">
        <f aca="false">(E15/100 - H15/100)/( SQRT( ( (E15/100)*(1-(E15/100)) + (H15/100)*(1-(H15/100)) )/2))</f>
        <v>0.188213329393591</v>
      </c>
    </row>
    <row r="16" customFormat="false" ht="12.8" hidden="false" customHeight="false" outlineLevel="0" collapsed="false">
      <c r="A16" s="0" t="s">
        <v>21</v>
      </c>
      <c r="B16" s="0" t="s">
        <v>12</v>
      </c>
      <c r="D16" s="1" t="n">
        <v>1417247</v>
      </c>
      <c r="E16" s="2" t="n">
        <v>11.7571240566075</v>
      </c>
      <c r="F16" s="1"/>
      <c r="G16" s="1" t="n">
        <v>107375</v>
      </c>
      <c r="H16" s="2" t="n">
        <v>2.77588553656995</v>
      </c>
      <c r="J16" s="4" t="n">
        <f aca="false">(E16/100 - H16/100)/( SQRT( ( (E16/100)*(1-(E16/100)) + (H16/100)*(1-(H16/100)) )/2))</f>
        <v>0.351279435293329</v>
      </c>
    </row>
    <row r="17" customFormat="false" ht="12.8" hidden="false" customHeight="false" outlineLevel="0" collapsed="false">
      <c r="A17" s="0" t="s">
        <v>22</v>
      </c>
      <c r="B17" s="0" t="s">
        <v>12</v>
      </c>
      <c r="D17" s="1" t="n">
        <v>1896581</v>
      </c>
      <c r="E17" s="2" t="n">
        <v>15.7335581591669</v>
      </c>
      <c r="F17" s="1"/>
      <c r="G17" s="1" t="n">
        <v>176121</v>
      </c>
      <c r="H17" s="2" t="n">
        <v>4.55312443852141</v>
      </c>
      <c r="J17" s="4" t="n">
        <f aca="false">(E17/100 - H17/100)/( SQRT( ( (E17/100)*(1-(E17/100)) + (H17/100)*(1-(H17/100)) )/2))</f>
        <v>0.376850328944537</v>
      </c>
    </row>
    <row r="18" customFormat="false" ht="12.8" hidden="false" customHeight="false" outlineLevel="0" collapsed="false">
      <c r="A18" s="0" t="s">
        <v>23</v>
      </c>
      <c r="B18" s="0" t="s">
        <v>12</v>
      </c>
      <c r="D18" s="1" t="n">
        <v>3889529</v>
      </c>
      <c r="E18" s="2" t="n">
        <v>32.2665526720273</v>
      </c>
      <c r="F18" s="1"/>
      <c r="G18" s="1" t="n">
        <v>704352</v>
      </c>
      <c r="H18" s="2" t="n">
        <v>18.2090852568486</v>
      </c>
      <c r="J18" s="4" t="n">
        <f aca="false">(E18/100 - H18/100)/( SQRT( ( (E18/100)*(1-(E18/100)) + (H18/100)*(1-(H18/100)) )/2))</f>
        <v>0.327945390725172</v>
      </c>
    </row>
    <row r="19" customFormat="false" ht="12.8" hidden="false" customHeight="false" outlineLevel="0" collapsed="false">
      <c r="A19" s="0" t="s">
        <v>24</v>
      </c>
      <c r="B19" s="0" t="s">
        <v>12</v>
      </c>
      <c r="D19" s="1" t="n">
        <v>2847376</v>
      </c>
      <c r="E19" s="2" t="n">
        <v>23.6211139397769</v>
      </c>
      <c r="F19" s="1"/>
      <c r="G19" s="1" t="n">
        <v>1115454</v>
      </c>
      <c r="H19" s="2" t="n">
        <v>28.83699767459</v>
      </c>
      <c r="J19" s="4" t="n">
        <f aca="false">(E19/100 - H19/100)/( SQRT( ( (E19/100)*(1-(E19/100)) + (H19/100)*(1-(H19/100)) )/2))</f>
        <v>-0.118784158152243</v>
      </c>
    </row>
    <row r="20" customFormat="false" ht="12.8" hidden="false" customHeight="false" outlineLevel="0" collapsed="false">
      <c r="A20" s="0" t="s">
        <v>25</v>
      </c>
      <c r="B20" s="0" t="s">
        <v>12</v>
      </c>
      <c r="D20" s="1" t="n">
        <v>1431365</v>
      </c>
      <c r="E20" s="2" t="n">
        <v>11.8742434277766</v>
      </c>
      <c r="F20" s="1"/>
      <c r="G20" s="1" t="n">
        <v>1707191</v>
      </c>
      <c r="H20" s="2" t="n">
        <v>44.1347315954588</v>
      </c>
      <c r="J20" s="4" t="n">
        <f aca="false">(E20/100 - H20/100)/( SQRT( ( (E20/100)*(1-(E20/100)) + (H20/100)*(1-(H20/100)) )/2))</f>
        <v>-0.769851772505946</v>
      </c>
    </row>
    <row r="21" customFormat="false" ht="12.8" hidden="false" customHeight="false" outlineLevel="0" collapsed="false">
      <c r="D21" s="1" t="s">
        <v>26</v>
      </c>
      <c r="E21" s="0" t="n">
        <f aca="false">SUM(E15:E20)</f>
        <v>100</v>
      </c>
      <c r="G21" s="1" t="s">
        <v>26</v>
      </c>
      <c r="H21" s="0" t="n">
        <f aca="false">SUM(H15:H20)</f>
        <v>100</v>
      </c>
    </row>
    <row r="22" customFormat="false" ht="12.8" hidden="false" customHeight="false" outlineLevel="0" collapsed="false">
      <c r="A22" s="0" t="s">
        <v>19</v>
      </c>
      <c r="I22" s="1" t="s">
        <v>26</v>
      </c>
    </row>
    <row r="23" customFormat="false" ht="12.8" hidden="false" customHeight="false" outlineLevel="0" collapsed="false">
      <c r="A23" s="0" t="s">
        <v>20</v>
      </c>
      <c r="B23" s="0" t="s">
        <v>27</v>
      </c>
      <c r="D23" s="1" t="n">
        <v>572270</v>
      </c>
      <c r="E23" s="2" t="n">
        <f aca="false">100*D23/(D23+G23)</f>
        <v>90.8491979832104</v>
      </c>
      <c r="F23" s="1"/>
      <c r="G23" s="1" t="n">
        <v>57642</v>
      </c>
      <c r="H23" s="2" t="n">
        <f aca="false">100*G23/(G23+D23)</f>
        <v>9.15080201678965</v>
      </c>
      <c r="I23" s="0" t="n">
        <f aca="false">E23+H23</f>
        <v>100</v>
      </c>
      <c r="J23" s="4"/>
    </row>
    <row r="24" customFormat="false" ht="12.8" hidden="false" customHeight="false" outlineLevel="0" collapsed="false">
      <c r="A24" s="0" t="s">
        <v>21</v>
      </c>
      <c r="B24" s="0" t="s">
        <v>27</v>
      </c>
      <c r="D24" s="1" t="n">
        <v>1417247</v>
      </c>
      <c r="E24" s="2" t="n">
        <f aca="false">100*D24/(D24+G24)</f>
        <v>92.9572707202179</v>
      </c>
      <c r="F24" s="1"/>
      <c r="G24" s="1" t="n">
        <v>107375</v>
      </c>
      <c r="H24" s="2" t="n">
        <f aca="false">100*G24/(G24+D24)</f>
        <v>7.04272927978214</v>
      </c>
      <c r="I24" s="0" t="n">
        <f aca="false">E24+H24</f>
        <v>100</v>
      </c>
      <c r="J24" s="4"/>
    </row>
    <row r="25" customFormat="false" ht="12.8" hidden="false" customHeight="false" outlineLevel="0" collapsed="false">
      <c r="A25" s="0" t="s">
        <v>22</v>
      </c>
      <c r="B25" s="0" t="s">
        <v>27</v>
      </c>
      <c r="D25" s="1" t="n">
        <v>1896581</v>
      </c>
      <c r="E25" s="2" t="n">
        <f aca="false">100*D25/(D25+G25)</f>
        <v>91.502830604689</v>
      </c>
      <c r="F25" s="1"/>
      <c r="G25" s="1" t="n">
        <v>176121</v>
      </c>
      <c r="H25" s="2" t="n">
        <f aca="false">100*G25/(G25+D25)</f>
        <v>8.49716939531105</v>
      </c>
      <c r="I25" s="0" t="n">
        <f aca="false">E25+H25</f>
        <v>100</v>
      </c>
      <c r="J25" s="4"/>
    </row>
    <row r="26" customFormat="false" ht="12.8" hidden="false" customHeight="false" outlineLevel="0" collapsed="false">
      <c r="A26" s="0" t="s">
        <v>23</v>
      </c>
      <c r="B26" s="0" t="s">
        <v>27</v>
      </c>
      <c r="D26" s="1" t="n">
        <v>3889529</v>
      </c>
      <c r="E26" s="2" t="n">
        <f aca="false">100*D26/(D26+G26)</f>
        <v>84.6676045809632</v>
      </c>
      <c r="F26" s="1"/>
      <c r="G26" s="1" t="n">
        <v>704352</v>
      </c>
      <c r="H26" s="2" t="n">
        <f aca="false">100*G26/(G26+D26)</f>
        <v>15.3323954190368</v>
      </c>
      <c r="I26" s="0" t="n">
        <f aca="false">E26+H26</f>
        <v>100</v>
      </c>
      <c r="J26" s="4"/>
    </row>
    <row r="27" customFormat="false" ht="12.8" hidden="false" customHeight="false" outlineLevel="0" collapsed="false">
      <c r="A27" s="0" t="s">
        <v>24</v>
      </c>
      <c r="B27" s="0" t="s">
        <v>27</v>
      </c>
      <c r="D27" s="1" t="n">
        <v>2847376</v>
      </c>
      <c r="E27" s="2" t="n">
        <f aca="false">100*D27/(D27+G27)</f>
        <v>71.852085504551</v>
      </c>
      <c r="F27" s="1"/>
      <c r="G27" s="1" t="n">
        <v>1115454</v>
      </c>
      <c r="H27" s="2" t="n">
        <f aca="false">100*G27/(G27+D27)</f>
        <v>28.147914495449</v>
      </c>
      <c r="I27" s="0" t="n">
        <f aca="false">E27+H27</f>
        <v>100</v>
      </c>
      <c r="J27" s="4"/>
    </row>
    <row r="28" customFormat="false" ht="12.8" hidden="false" customHeight="false" outlineLevel="0" collapsed="false">
      <c r="A28" s="0" t="s">
        <v>25</v>
      </c>
      <c r="B28" s="0" t="s">
        <v>27</v>
      </c>
      <c r="D28" s="1" t="n">
        <v>1431365</v>
      </c>
      <c r="E28" s="2" t="n">
        <f aca="false">100*D28/(D28+G28)</f>
        <v>45.6058454907289</v>
      </c>
      <c r="F28" s="1"/>
      <c r="G28" s="1" t="n">
        <v>1707191</v>
      </c>
      <c r="H28" s="2" t="n">
        <f aca="false">100*G28/(G28+D28)</f>
        <v>54.3941545092711</v>
      </c>
      <c r="I28" s="0" t="n">
        <f aca="false">E28+H28</f>
        <v>100</v>
      </c>
      <c r="J28" s="4"/>
    </row>
    <row r="29" customFormat="false" ht="12.8" hidden="false" customHeight="false" outlineLevel="0" collapsed="false">
      <c r="D29" s="1"/>
      <c r="G29" s="1"/>
    </row>
    <row r="31" customFormat="false" ht="12.8" hidden="false" customHeight="false" outlineLevel="0" collapsed="false">
      <c r="A31" s="0" t="s">
        <v>28</v>
      </c>
      <c r="B31" s="0" t="s">
        <v>12</v>
      </c>
      <c r="D31" s="0" t="n">
        <v>9831788</v>
      </c>
      <c r="E31" s="2" t="n">
        <v>81.5620362676832</v>
      </c>
      <c r="G31" s="0" t="n">
        <v>2509387</v>
      </c>
      <c r="H31" s="2" t="n">
        <v>64.8733045770119</v>
      </c>
      <c r="J31" s="4" t="n">
        <f aca="false">(E31/100 - H31/100)/( SQRT( ( (E31/100)*(1-(E31/100)) + (H31/100)*(1-(H31/100)) )/2))</f>
        <v>0.383744195417511</v>
      </c>
    </row>
    <row r="32" customFormat="false" ht="12.8" hidden="false" customHeight="false" outlineLevel="0" collapsed="false">
      <c r="A32" s="0" t="s">
        <v>29</v>
      </c>
      <c r="B32" s="0" t="s">
        <v>12</v>
      </c>
      <c r="D32" s="0" t="n">
        <v>955892</v>
      </c>
      <c r="E32" s="2" t="n">
        <v>7.92983920849272</v>
      </c>
      <c r="G32" s="0" t="n">
        <v>808339</v>
      </c>
      <c r="H32" s="2" t="n">
        <v>20.8973833643345</v>
      </c>
      <c r="J32" s="4" t="n">
        <f aca="false">(E32/100 - H32/100)/( SQRT( ( (E32/100)*(1-(E32/100)) + (H32/100)*(1-(H32/100)) )/2))</f>
        <v>-0.375662652965541</v>
      </c>
    </row>
    <row r="33" customFormat="false" ht="12.8" hidden="false" customHeight="false" outlineLevel="0" collapsed="false">
      <c r="A33" s="0" t="s">
        <v>30</v>
      </c>
      <c r="B33" s="0" t="s">
        <v>12</v>
      </c>
      <c r="D33" s="0" t="n">
        <v>1266688</v>
      </c>
      <c r="E33" s="2" t="n">
        <v>10.5081245238241</v>
      </c>
      <c r="G33" s="0" t="n">
        <v>550409</v>
      </c>
      <c r="H33" s="2" t="n">
        <v>14.2293120586536</v>
      </c>
      <c r="J33" s="4" t="n">
        <f aca="false">(E33/100 - H33/100)/( SQRT( ( (E33/100)*(1-(E33/100)) + (H33/100)*(1-(H33/100)) )/2))</f>
        <v>-0.113209866877448</v>
      </c>
    </row>
    <row r="34" customFormat="false" ht="12.8" hidden="false" customHeight="false" outlineLevel="0" collapsed="false">
      <c r="D34" s="1" t="s">
        <v>26</v>
      </c>
      <c r="E34" s="0" t="n">
        <f aca="false">SUM(E31:E33)</f>
        <v>100</v>
      </c>
      <c r="G34" s="1" t="s">
        <v>26</v>
      </c>
      <c r="H34" s="0" t="n">
        <f aca="false">SUM(H31:H33)</f>
        <v>100</v>
      </c>
    </row>
    <row r="36" customFormat="false" ht="12.8" hidden="false" customHeight="false" outlineLevel="0" collapsed="false">
      <c r="A36" s="0" t="s">
        <v>31</v>
      </c>
      <c r="B36" s="0" t="s">
        <v>10</v>
      </c>
      <c r="D36" s="4" t="n">
        <v>0.0996111989542549</v>
      </c>
      <c r="E36" s="2" t="n">
        <v>0.309673416347516</v>
      </c>
      <c r="G36" s="4" t="n">
        <v>-0.0359673465961413</v>
      </c>
      <c r="H36" s="2" t="n">
        <v>0.363285651287895</v>
      </c>
      <c r="J36" s="4" t="n">
        <f aca="false">(D36-G36)/( SQRT((E36*E36 + H36*H36)/2) )</f>
        <v>0.401659918226845</v>
      </c>
    </row>
    <row r="37" customFormat="false" ht="12.8" hidden="false" customHeight="false" outlineLevel="0" collapsed="false">
      <c r="A37" s="0" t="s">
        <v>32</v>
      </c>
      <c r="B37" s="0" t="s">
        <v>10</v>
      </c>
      <c r="D37" s="4" t="n">
        <v>0.0575617133902902</v>
      </c>
      <c r="E37" s="2" t="n">
        <v>0.269587416991366</v>
      </c>
      <c r="G37" s="4" t="n">
        <v>0.0172438214018703</v>
      </c>
      <c r="H37" s="2" t="n">
        <v>0.283414904713435</v>
      </c>
      <c r="J37" s="4" t="n">
        <f aca="false">(D37-G37)/( SQRT((E37*E37 + H37*H37)/2) )</f>
        <v>0.145768987012621</v>
      </c>
    </row>
    <row r="38" customFormat="false" ht="12.8" hidden="false" customHeight="false" outlineLevel="0" collapsed="false">
      <c r="A38" s="0" t="s">
        <v>33</v>
      </c>
      <c r="B38" s="0" t="s">
        <v>10</v>
      </c>
      <c r="D38" s="4" t="n">
        <v>0.0799296406020135</v>
      </c>
      <c r="E38" s="2" t="n">
        <v>0.281936459198674</v>
      </c>
      <c r="G38" s="4" t="n">
        <v>0.0402839518256919</v>
      </c>
      <c r="H38" s="2" t="n">
        <v>0.374253041717682</v>
      </c>
      <c r="J38" s="4" t="n">
        <f aca="false">(D38-G38)/( SQRT((E38*E38 + H38*H38)/2) )</f>
        <v>0.119657734670299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2026-05-19T13:51:00Z</dcterms:created>
  <dc:creator/>
  <dc:description/>
  <dc:language>nl-NL</dc:language>
  <cp:lastModifiedBy/>
  <dcterms:modified xsi:type="dcterms:W3CDTF">2026-05-21T12:27:38Z</dcterms:modified>
  <cp:revision>22</cp:revision>
  <dc:subject/>
  <dc:title/>
</cp:coreProperties>
</file>