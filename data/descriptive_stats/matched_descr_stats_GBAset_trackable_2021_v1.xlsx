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amb\datastore\tech\projects\Oversterfte_PostCovid\export_uit_CBS\2026_05_LIGHT_export_3_proj3023_descrstats_vaccinatie_Bijlagen\"/>
    </mc:Choice>
  </mc:AlternateContent>
  <xr:revisionPtr revIDLastSave="0" documentId="13_ncr:1_{BCA01516-74A0-4271-BC32-EEF5996A2E86}" xr6:coauthVersionLast="47" xr6:coauthVersionMax="47" xr10:uidLastSave="{00000000-0000-0000-0000-000000000000}"/>
  <bookViews>
    <workbookView xWindow="14303" yWindow="-2985" windowWidth="28995" windowHeight="15675" tabRatio="500" xr2:uid="{00000000-000D-0000-FFFF-FFFF00000000}"/>
  </bookViews>
  <sheets>
    <sheet name="Blad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95" i="1" l="1"/>
  <c r="K94" i="1"/>
  <c r="K92" i="1"/>
  <c r="K91" i="1"/>
  <c r="K90" i="1"/>
  <c r="K87" i="1"/>
  <c r="K86" i="1"/>
  <c r="K84" i="1"/>
  <c r="K83" i="1"/>
  <c r="K82" i="1"/>
  <c r="K79" i="1"/>
  <c r="K78" i="1"/>
  <c r="K76" i="1"/>
  <c r="K75" i="1"/>
  <c r="K74" i="1"/>
  <c r="K71" i="1"/>
  <c r="K70" i="1"/>
  <c r="K68" i="1"/>
  <c r="K67" i="1"/>
  <c r="K66" i="1"/>
  <c r="K63" i="1"/>
  <c r="K62" i="1"/>
  <c r="K60" i="1"/>
  <c r="K59" i="1"/>
  <c r="K58" i="1"/>
  <c r="K55" i="1"/>
  <c r="K54" i="1"/>
  <c r="K52" i="1"/>
  <c r="K51" i="1"/>
  <c r="K50" i="1"/>
  <c r="K39" i="1"/>
  <c r="K38" i="1"/>
  <c r="K37" i="1"/>
  <c r="K33" i="1"/>
  <c r="K32" i="1"/>
  <c r="K31" i="1"/>
  <c r="K27" i="1"/>
  <c r="K26" i="1"/>
  <c r="K25" i="1"/>
  <c r="K21" i="1"/>
  <c r="K20" i="1"/>
  <c r="K19" i="1"/>
  <c r="K15" i="1"/>
  <c r="K14" i="1"/>
  <c r="K13" i="1"/>
  <c r="K9" i="1"/>
  <c r="K8" i="1"/>
  <c r="K7" i="1"/>
  <c r="H1" i="1"/>
  <c r="E1" i="1"/>
  <c r="C1" i="1"/>
  <c r="I35" i="1" l="1"/>
  <c r="I17" i="1"/>
  <c r="I29" i="1"/>
  <c r="I23" i="1"/>
  <c r="I11" i="1"/>
  <c r="I5" i="1"/>
  <c r="F35" i="1"/>
  <c r="F29" i="1"/>
  <c r="F17" i="1"/>
  <c r="F23" i="1"/>
  <c r="F11" i="1"/>
  <c r="F5" i="1"/>
</calcChain>
</file>

<file path=xl/sharedStrings.xml><?xml version="1.0" encoding="utf-8"?>
<sst xmlns="http://schemas.openxmlformats.org/spreadsheetml/2006/main" count="189" uniqueCount="27">
  <si>
    <t>WLZ=0</t>
  </si>
  <si>
    <t>TOTAL:</t>
  </si>
  <si>
    <t>VACCINATED</t>
  </si>
  <si>
    <t>UNVACCINATED</t>
  </si>
  <si>
    <t>AGE GROUP</t>
  </si>
  <si>
    <t>VALUE 1, VALUE 2</t>
  </si>
  <si>
    <t>VALUE 1</t>
  </si>
  <si>
    <t>VALUE 2</t>
  </si>
  <si>
    <t>STANDARDIZED_MEAN_DIFFERENCE</t>
  </si>
  <si>
    <t>1930-1940</t>
  </si>
  <si>
    <t xml:space="preserve">Number of people: </t>
  </si>
  <si>
    <t>N, % of total in vaccination status group</t>
  </si>
  <si>
    <t>N, % vaccination status in age group</t>
  </si>
  <si>
    <t>age</t>
  </si>
  <si>
    <t>mean, stddev</t>
  </si>
  <si>
    <t>male</t>
  </si>
  <si>
    <t>N, %</t>
  </si>
  <si>
    <t xml:space="preserve">Rx-Risk: </t>
  </si>
  <si>
    <t>1940-1950</t>
  </si>
  <si>
    <t>1950-1960</t>
  </si>
  <si>
    <t>1960-1980</t>
  </si>
  <si>
    <t>1980-2000</t>
  </si>
  <si>
    <t>2000-2020</t>
  </si>
  <si>
    <t>WLZ=1</t>
  </si>
  <si>
    <t>WLZ type mode</t>
  </si>
  <si>
    <t>mode</t>
  </si>
  <si>
    <t>WLZ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</si>
</sst>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164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topLeftCell="A55" zoomScaleNormal="100" workbookViewId="0">
      <selection activeCell="A56" sqref="A56:XFD56"/>
    </sheetView>
  </sheetViews>
  <sheetFormatPr defaultColWidth="11.54296875" defaultRowHeight="12.75" customHeight="1" x14ac:dyDescent="0.25"/>
  <cols>
    <col min="1" max="1" width="16.90625" customWidth="1"/>
    <col min="2" max="2" width="20.1796875" customWidth="1"/>
    <col min="3" max="3" width="19.08984375" customWidth="1"/>
    <col min="4" max="4" width="15.453125" customWidth="1"/>
    <col min="5" max="6" width="18.6328125" customWidth="1"/>
    <col min="7" max="7" width="16.26953125" customWidth="1"/>
    <col min="8" max="8" width="17.7265625" customWidth="1"/>
    <col min="9" max="9" width="18.6328125" customWidth="1"/>
  </cols>
  <sheetData>
    <row r="1" spans="1:11" ht="12.75" customHeight="1" x14ac:dyDescent="0.25">
      <c r="A1" t="s">
        <v>0</v>
      </c>
      <c r="B1" t="s">
        <v>1</v>
      </c>
      <c r="C1">
        <f>E5+H5+E11+H11+E17+H17+E23+H23+E29+H29+E35+H35</f>
        <v>9075324</v>
      </c>
      <c r="E1">
        <f>E5+E11+E17+E23+E29+E35</f>
        <v>6806493</v>
      </c>
      <c r="H1">
        <f>H5+H11+H17+H23+H29+H35</f>
        <v>2268831</v>
      </c>
      <c r="I1" s="1"/>
    </row>
    <row r="3" spans="1:11" ht="12.75" customHeight="1" x14ac:dyDescent="0.25">
      <c r="E3" s="1" t="s">
        <v>2</v>
      </c>
      <c r="F3" s="1"/>
      <c r="G3" s="1"/>
      <c r="H3" s="1" t="s">
        <v>3</v>
      </c>
      <c r="I3" s="1"/>
    </row>
    <row r="4" spans="1:11" ht="12.75" customHeight="1" x14ac:dyDescent="0.25">
      <c r="A4" t="s">
        <v>4</v>
      </c>
      <c r="C4" t="s">
        <v>5</v>
      </c>
      <c r="E4" s="1" t="s">
        <v>6</v>
      </c>
      <c r="F4" s="1" t="s">
        <v>7</v>
      </c>
      <c r="G4" s="1"/>
      <c r="H4" s="1" t="s">
        <v>6</v>
      </c>
      <c r="I4" s="1" t="s">
        <v>7</v>
      </c>
      <c r="K4" t="s">
        <v>8</v>
      </c>
    </row>
    <row r="5" spans="1:11" ht="12.75" customHeight="1" x14ac:dyDescent="0.25">
      <c r="A5" t="s">
        <v>9</v>
      </c>
      <c r="B5" t="s">
        <v>10</v>
      </c>
      <c r="C5" t="s">
        <v>11</v>
      </c>
      <c r="E5">
        <v>136203</v>
      </c>
      <c r="F5" s="2">
        <f>100*E5/$E$1</f>
        <v>2.0010745621864299</v>
      </c>
      <c r="H5">
        <v>45401</v>
      </c>
      <c r="I5" s="2">
        <f>100*H5/$H$1</f>
        <v>2.0010745621864299</v>
      </c>
    </row>
    <row r="6" spans="1:11" ht="12.75" customHeight="1" x14ac:dyDescent="0.25">
      <c r="B6" t="s">
        <v>10</v>
      </c>
      <c r="C6" t="s">
        <v>12</v>
      </c>
      <c r="E6">
        <v>136203</v>
      </c>
      <c r="F6">
        <v>75</v>
      </c>
      <c r="H6">
        <v>45401</v>
      </c>
      <c r="I6">
        <v>25</v>
      </c>
    </row>
    <row r="7" spans="1:11" ht="12.75" customHeight="1" x14ac:dyDescent="0.25">
      <c r="B7" t="s">
        <v>13</v>
      </c>
      <c r="C7" t="s">
        <v>14</v>
      </c>
      <c r="E7" s="3">
        <v>85.605867712164894</v>
      </c>
      <c r="F7" s="3">
        <v>2.7415644993965</v>
      </c>
      <c r="H7" s="3">
        <v>85.673068875134902</v>
      </c>
      <c r="I7" s="3">
        <v>2.7594465755625501</v>
      </c>
      <c r="K7" s="4">
        <f>(E7-H7)/( SQRT((F7*F7 + I7*I7)/2) )</f>
        <v>-2.4432166014748478E-2</v>
      </c>
    </row>
    <row r="8" spans="1:11" ht="12.75" customHeight="1" x14ac:dyDescent="0.25">
      <c r="B8" t="s">
        <v>15</v>
      </c>
      <c r="C8" t="s">
        <v>16</v>
      </c>
      <c r="E8">
        <v>56028</v>
      </c>
      <c r="F8" s="3">
        <v>41.135657804894201</v>
      </c>
      <c r="H8">
        <v>18676</v>
      </c>
      <c r="I8" s="3">
        <v>41.135657804894201</v>
      </c>
      <c r="K8" s="4">
        <f>(F8/100 - I8/100)/( SQRT( ( (F8/100)*(1-(F8/100)) + (I8/100)*(1-(I8/100)) )/2))</f>
        <v>0</v>
      </c>
    </row>
    <row r="9" spans="1:11" ht="12.75" customHeight="1" x14ac:dyDescent="0.25">
      <c r="B9" s="5" t="s">
        <v>17</v>
      </c>
      <c r="C9" s="5" t="s">
        <v>14</v>
      </c>
      <c r="E9" s="3">
        <v>5.60121289545752</v>
      </c>
      <c r="F9" s="3">
        <v>5.3965911041202999</v>
      </c>
      <c r="H9" s="3">
        <v>5.6907557102266502</v>
      </c>
      <c r="I9" s="3">
        <v>5.3948217343698701</v>
      </c>
      <c r="K9" s="4">
        <f>(E9-H9)/( SQRT((F9*F9 + I9*I9)/2) )</f>
        <v>-1.6595197478898514E-2</v>
      </c>
    </row>
    <row r="11" spans="1:11" ht="12.75" customHeight="1" x14ac:dyDescent="0.25">
      <c r="A11" t="s">
        <v>18</v>
      </c>
      <c r="B11" t="s">
        <v>10</v>
      </c>
      <c r="C11" t="s">
        <v>11</v>
      </c>
      <c r="E11">
        <v>299337</v>
      </c>
      <c r="F11" s="2">
        <f>100*E11/$E$1</f>
        <v>4.3978154388757913</v>
      </c>
      <c r="H11">
        <v>99779</v>
      </c>
      <c r="I11" s="2">
        <f>100*H11/$H$1</f>
        <v>4.3978154388757913</v>
      </c>
    </row>
    <row r="12" spans="1:11" ht="12.75" customHeight="1" x14ac:dyDescent="0.25">
      <c r="B12" t="s">
        <v>10</v>
      </c>
      <c r="C12" t="s">
        <v>12</v>
      </c>
      <c r="E12">
        <v>299337</v>
      </c>
      <c r="F12">
        <v>75</v>
      </c>
      <c r="H12">
        <v>99779</v>
      </c>
      <c r="I12">
        <v>25</v>
      </c>
    </row>
    <row r="13" spans="1:11" ht="12.75" customHeight="1" x14ac:dyDescent="0.25">
      <c r="B13" t="s">
        <v>13</v>
      </c>
      <c r="C13" t="s">
        <v>14</v>
      </c>
      <c r="E13" s="3">
        <v>75.876015995349704</v>
      </c>
      <c r="F13" s="3">
        <v>2.78950436925459</v>
      </c>
      <c r="H13" s="3">
        <v>75.850419426933499</v>
      </c>
      <c r="I13" s="3">
        <v>2.8189192784761801</v>
      </c>
      <c r="K13" s="4">
        <f>(E13-H13)/( SQRT((F13*F13 + I13*I13)/2) )</f>
        <v>9.1277756391222754E-3</v>
      </c>
    </row>
    <row r="14" spans="1:11" ht="12.75" customHeight="1" x14ac:dyDescent="0.25">
      <c r="B14" t="s">
        <v>15</v>
      </c>
      <c r="C14" t="s">
        <v>16</v>
      </c>
      <c r="E14">
        <v>137430</v>
      </c>
      <c r="F14" s="3">
        <v>45.911464336183002</v>
      </c>
      <c r="H14">
        <v>45810</v>
      </c>
      <c r="I14" s="3">
        <v>45.911464336183002</v>
      </c>
      <c r="K14" s="4">
        <f>(F14/100 - I14/100)/( SQRT( ( (F14/100)*(1-(F14/100)) + (I14/100)*(1-(I14/100)) )/2))</f>
        <v>0</v>
      </c>
    </row>
    <row r="15" spans="1:11" ht="12.75" customHeight="1" x14ac:dyDescent="0.25">
      <c r="B15" s="5" t="s">
        <v>17</v>
      </c>
      <c r="C15" s="5" t="s">
        <v>14</v>
      </c>
      <c r="E15" s="3">
        <v>3.5575254646101202</v>
      </c>
      <c r="F15" s="3">
        <v>4.7305972306420401</v>
      </c>
      <c r="H15" s="3">
        <v>3.6542759498491701</v>
      </c>
      <c r="I15" s="3">
        <v>4.68954591815658</v>
      </c>
      <c r="K15" s="4">
        <f>(E15-H15)/( SQRT((F15*F15 + I15*I15)/2) )</f>
        <v>-2.0540997105492814E-2</v>
      </c>
    </row>
    <row r="17" spans="1:11" ht="12.75" customHeight="1" x14ac:dyDescent="0.25">
      <c r="A17" t="s">
        <v>19</v>
      </c>
      <c r="B17" t="s">
        <v>10</v>
      </c>
      <c r="C17" t="s">
        <v>11</v>
      </c>
      <c r="E17">
        <v>517875</v>
      </c>
      <c r="F17" s="2">
        <f>100*E17/$E$1</f>
        <v>7.6085437831200293</v>
      </c>
      <c r="H17">
        <v>172625</v>
      </c>
      <c r="I17" s="2">
        <f>100*H17/$H$1</f>
        <v>7.6085437831200293</v>
      </c>
    </row>
    <row r="18" spans="1:11" ht="12.75" customHeight="1" x14ac:dyDescent="0.25">
      <c r="B18" t="s">
        <v>10</v>
      </c>
      <c r="C18" t="s">
        <v>12</v>
      </c>
      <c r="E18">
        <v>517875</v>
      </c>
      <c r="F18">
        <v>75</v>
      </c>
      <c r="H18">
        <v>172625</v>
      </c>
      <c r="I18">
        <v>25</v>
      </c>
    </row>
    <row r="19" spans="1:11" ht="12.75" customHeight="1" x14ac:dyDescent="0.25">
      <c r="B19" t="s">
        <v>13</v>
      </c>
      <c r="C19" t="s">
        <v>14</v>
      </c>
      <c r="E19" s="3">
        <v>66.149819937243606</v>
      </c>
      <c r="F19" s="3">
        <v>2.8573094176573099</v>
      </c>
      <c r="H19" s="3">
        <v>66.102377986966005</v>
      </c>
      <c r="I19" s="3">
        <v>2.8633789762490398</v>
      </c>
      <c r="K19" s="4">
        <f>(E19-H19)/( SQRT((F19*F19 + I19*I19)/2) )</f>
        <v>1.6586089053816269E-2</v>
      </c>
    </row>
    <row r="20" spans="1:11" ht="12.75" customHeight="1" x14ac:dyDescent="0.25">
      <c r="B20" t="s">
        <v>15</v>
      </c>
      <c r="C20" t="s">
        <v>16</v>
      </c>
      <c r="E20">
        <v>240441</v>
      </c>
      <c r="F20" s="3">
        <v>46.4283852280956</v>
      </c>
      <c r="H20">
        <v>80147</v>
      </c>
      <c r="I20" s="3">
        <v>46.4283852280956</v>
      </c>
      <c r="K20" s="4">
        <f>(F20/100 - I20/100)/( SQRT( ( (F20/100)*(1-(F20/100)) + (I20/100)*(1-(I20/100)) )/2))</f>
        <v>0</v>
      </c>
    </row>
    <row r="21" spans="1:11" ht="12.75" customHeight="1" x14ac:dyDescent="0.25">
      <c r="B21" s="5" t="s">
        <v>17</v>
      </c>
      <c r="C21" s="5" t="s">
        <v>14</v>
      </c>
      <c r="E21" s="3">
        <v>2.3461762008206599</v>
      </c>
      <c r="F21" s="3">
        <v>4.08582405551895</v>
      </c>
      <c r="H21" s="3">
        <v>2.4414134685010902</v>
      </c>
      <c r="I21" s="3">
        <v>4.0423594000758198</v>
      </c>
      <c r="K21" s="4">
        <f>(E21-H21)/( SQRT((F21*F21 + I21*I21)/2) )</f>
        <v>-2.3433503091937979E-2</v>
      </c>
    </row>
    <row r="23" spans="1:11" ht="12.75" customHeight="1" x14ac:dyDescent="0.25">
      <c r="A23" t="s">
        <v>20</v>
      </c>
      <c r="B23" t="s">
        <v>10</v>
      </c>
      <c r="C23" t="s">
        <v>11</v>
      </c>
      <c r="E23">
        <v>1748340</v>
      </c>
      <c r="F23" s="2">
        <f>100*E23/$E$1</f>
        <v>25.686355660690463</v>
      </c>
      <c r="H23">
        <v>582780</v>
      </c>
      <c r="I23" s="2">
        <f>100*H23/$H$1</f>
        <v>25.686355660690463</v>
      </c>
    </row>
    <row r="24" spans="1:11" ht="12.75" customHeight="1" x14ac:dyDescent="0.25">
      <c r="B24" t="s">
        <v>10</v>
      </c>
      <c r="C24" t="s">
        <v>12</v>
      </c>
      <c r="E24">
        <v>1748340</v>
      </c>
      <c r="F24">
        <v>75</v>
      </c>
      <c r="H24">
        <v>582780</v>
      </c>
      <c r="I24">
        <v>25</v>
      </c>
    </row>
    <row r="25" spans="1:11" ht="12.75" customHeight="1" x14ac:dyDescent="0.25">
      <c r="B25" t="s">
        <v>13</v>
      </c>
      <c r="C25" t="s">
        <v>14</v>
      </c>
      <c r="E25" s="3">
        <v>51.782703593122598</v>
      </c>
      <c r="F25" s="3">
        <v>5.6441127956745802</v>
      </c>
      <c r="H25" s="3">
        <v>51.6903119530526</v>
      </c>
      <c r="I25" s="3">
        <v>5.6280301333598999</v>
      </c>
      <c r="K25" s="4">
        <f>(E25-H25)/( SQRT((F25*F25 + I25*I25)/2) )</f>
        <v>1.6392898247179519E-2</v>
      </c>
    </row>
    <row r="26" spans="1:11" ht="12.75" customHeight="1" x14ac:dyDescent="0.25">
      <c r="B26" t="s">
        <v>15</v>
      </c>
      <c r="C26" t="s">
        <v>16</v>
      </c>
      <c r="E26">
        <v>908703</v>
      </c>
      <c r="F26" s="3">
        <v>51.975187892515201</v>
      </c>
      <c r="H26">
        <v>302901</v>
      </c>
      <c r="I26" s="3">
        <v>51.975187892515201</v>
      </c>
      <c r="K26" s="4">
        <f>(F26/100 - I26/100)/( SQRT( ( (F26/100)*(1-(F26/100)) + (I26/100)*(1-(I26/100)) )/2))</f>
        <v>0</v>
      </c>
    </row>
    <row r="27" spans="1:11" ht="12.75" customHeight="1" x14ac:dyDescent="0.25">
      <c r="B27" s="5" t="s">
        <v>17</v>
      </c>
      <c r="C27" s="5" t="s">
        <v>14</v>
      </c>
      <c r="E27" s="3">
        <v>0.79724481508173495</v>
      </c>
      <c r="F27" s="3">
        <v>2.8526214140631398</v>
      </c>
      <c r="H27" s="3">
        <v>0.855964514911287</v>
      </c>
      <c r="I27" s="3">
        <v>2.8382443332068998</v>
      </c>
      <c r="K27" s="4">
        <f>(E27-H27)/( SQRT((F27*F27 + I27*I27)/2) )</f>
        <v>-2.0636407552575248E-2</v>
      </c>
    </row>
    <row r="29" spans="1:11" ht="12.75" customHeight="1" x14ac:dyDescent="0.25">
      <c r="A29" t="s">
        <v>21</v>
      </c>
      <c r="B29" t="s">
        <v>10</v>
      </c>
      <c r="C29" t="s">
        <v>11</v>
      </c>
      <c r="E29">
        <v>2765700</v>
      </c>
      <c r="F29" s="2">
        <f>100*E29/$E$1</f>
        <v>40.633260035674759</v>
      </c>
      <c r="H29">
        <v>921900</v>
      </c>
      <c r="I29" s="2">
        <f>100*H29/$H$1</f>
        <v>40.633260035674759</v>
      </c>
    </row>
    <row r="30" spans="1:11" ht="12.75" customHeight="1" x14ac:dyDescent="0.25">
      <c r="B30" t="s">
        <v>10</v>
      </c>
      <c r="C30" t="s">
        <v>12</v>
      </c>
      <c r="E30">
        <v>2765700</v>
      </c>
      <c r="F30">
        <v>75</v>
      </c>
      <c r="H30">
        <v>921900</v>
      </c>
      <c r="I30">
        <v>25</v>
      </c>
    </row>
    <row r="31" spans="1:11" ht="12.75" customHeight="1" x14ac:dyDescent="0.25">
      <c r="B31" t="s">
        <v>13</v>
      </c>
      <c r="C31" t="s">
        <v>14</v>
      </c>
      <c r="E31" s="3">
        <v>31.5297107423076</v>
      </c>
      <c r="F31" s="3">
        <v>5.7798547802207603</v>
      </c>
      <c r="H31" s="3">
        <v>31.492620674693601</v>
      </c>
      <c r="I31" s="3">
        <v>5.7191923363497299</v>
      </c>
      <c r="K31" s="4">
        <f>(E31-H31)/( SQRT((F31*F31 + I31*I31)/2) )</f>
        <v>6.4508913020448026E-3</v>
      </c>
    </row>
    <row r="32" spans="1:11" ht="12.75" customHeight="1" x14ac:dyDescent="0.25">
      <c r="B32" t="s">
        <v>15</v>
      </c>
      <c r="C32" t="s">
        <v>16</v>
      </c>
      <c r="E32">
        <v>1396077</v>
      </c>
      <c r="F32" s="3">
        <v>50.478251437249199</v>
      </c>
      <c r="H32">
        <v>465359</v>
      </c>
      <c r="I32" s="3">
        <v>50.478251437249199</v>
      </c>
      <c r="K32" s="4">
        <f>(F32/100 - I32/100)/( SQRT( ( (F32/100)*(1-(F32/100)) + (I32/100)*(1-(I32/100)) )/2))</f>
        <v>0</v>
      </c>
    </row>
    <row r="33" spans="1:11" ht="12.75" customHeight="1" x14ac:dyDescent="0.25">
      <c r="B33" s="5" t="s">
        <v>17</v>
      </c>
      <c r="C33" s="5" t="s">
        <v>14</v>
      </c>
      <c r="E33" s="3">
        <v>0.57128213472177003</v>
      </c>
      <c r="F33" s="3">
        <v>2.10056531043324</v>
      </c>
      <c r="H33" s="3">
        <v>0.59972556676429101</v>
      </c>
      <c r="I33" s="3">
        <v>2.1129980631744698</v>
      </c>
      <c r="K33" s="4">
        <f>(E33-H33)/( SQRT((F33*F33 + I33*I33)/2) )</f>
        <v>-1.3500833238877654E-2</v>
      </c>
    </row>
    <row r="35" spans="1:11" ht="12.75" customHeight="1" x14ac:dyDescent="0.25">
      <c r="A35" t="s">
        <v>22</v>
      </c>
      <c r="B35" t="s">
        <v>10</v>
      </c>
      <c r="C35" t="s">
        <v>11</v>
      </c>
      <c r="E35">
        <v>1339038</v>
      </c>
      <c r="F35" s="2">
        <f>100*E35/$E$1</f>
        <v>19.672950519452527</v>
      </c>
      <c r="H35">
        <v>446346</v>
      </c>
      <c r="I35" s="2">
        <f>100*H35/$H$1</f>
        <v>19.672950519452527</v>
      </c>
    </row>
    <row r="36" spans="1:11" ht="12.75" customHeight="1" x14ac:dyDescent="0.25">
      <c r="B36" t="s">
        <v>10</v>
      </c>
      <c r="C36" t="s">
        <v>12</v>
      </c>
      <c r="E36">
        <v>1339038</v>
      </c>
      <c r="F36">
        <v>75</v>
      </c>
      <c r="H36">
        <v>446346</v>
      </c>
      <c r="I36">
        <v>25</v>
      </c>
    </row>
    <row r="37" spans="1:11" ht="12.75" customHeight="1" x14ac:dyDescent="0.25">
      <c r="B37" t="s">
        <v>13</v>
      </c>
      <c r="C37" t="s">
        <v>14</v>
      </c>
      <c r="E37" s="3">
        <v>16.785910482002802</v>
      </c>
      <c r="F37" s="3">
        <v>2.8126558897354399</v>
      </c>
      <c r="H37" s="3">
        <v>16.6397413665632</v>
      </c>
      <c r="I37" s="3">
        <v>2.9785239174312399</v>
      </c>
      <c r="K37" s="4">
        <f>(E37-H37)/( SQRT((F37*F37 + I37*I37)/2) )</f>
        <v>5.0459216720114518E-2</v>
      </c>
    </row>
    <row r="38" spans="1:11" ht="12.75" customHeight="1" x14ac:dyDescent="0.25">
      <c r="B38" t="s">
        <v>15</v>
      </c>
      <c r="C38" t="s">
        <v>16</v>
      </c>
      <c r="E38">
        <v>679686</v>
      </c>
      <c r="F38" s="3">
        <v>50.7592764357696</v>
      </c>
      <c r="H38">
        <v>226562</v>
      </c>
      <c r="I38" s="3">
        <v>50.7592764357696</v>
      </c>
      <c r="K38" s="4">
        <f>(F38/100 - I38/100)/( SQRT( ( (F38/100)*(1-(F38/100)) + (I38/100)*(1-(I38/100)) )/2))</f>
        <v>0</v>
      </c>
    </row>
    <row r="39" spans="1:11" ht="12.75" customHeight="1" x14ac:dyDescent="0.25">
      <c r="B39" s="5" t="s">
        <v>17</v>
      </c>
      <c r="C39" s="5" t="s">
        <v>14</v>
      </c>
      <c r="E39" s="3">
        <v>0.193002737786381</v>
      </c>
      <c r="F39" s="3">
        <v>1.2759721560125801</v>
      </c>
      <c r="H39" s="3">
        <v>0.211705717089433</v>
      </c>
      <c r="I39" s="3">
        <v>1.2809985504813599</v>
      </c>
      <c r="K39" s="4">
        <f>(E39-H39)/( SQRT((F39*F39 + I39*I39)/2) )</f>
        <v>-1.462898508728405E-2</v>
      </c>
    </row>
    <row r="43" spans="1:11" ht="12.75" customHeight="1" x14ac:dyDescent="0.25">
      <c r="A43" t="s">
        <v>23</v>
      </c>
      <c r="B43" t="s">
        <v>1</v>
      </c>
    </row>
    <row r="45" spans="1:11" ht="12.75" customHeight="1" x14ac:dyDescent="0.25">
      <c r="E45" s="1" t="s">
        <v>2</v>
      </c>
      <c r="F45" s="1"/>
      <c r="G45" s="1"/>
      <c r="H45" s="1" t="s">
        <v>3</v>
      </c>
      <c r="I45" s="1"/>
    </row>
    <row r="46" spans="1:11" ht="12.75" customHeight="1" x14ac:dyDescent="0.25">
      <c r="C46" t="s">
        <v>5</v>
      </c>
      <c r="E46" s="1" t="s">
        <v>6</v>
      </c>
      <c r="F46" s="1" t="s">
        <v>7</v>
      </c>
      <c r="G46" s="1"/>
      <c r="H46" s="1" t="s">
        <v>6</v>
      </c>
      <c r="I46" s="1" t="s">
        <v>7</v>
      </c>
      <c r="K46" t="s">
        <v>8</v>
      </c>
    </row>
    <row r="48" spans="1:11" ht="12.5" x14ac:dyDescent="0.25">
      <c r="A48" t="s">
        <v>9</v>
      </c>
      <c r="B48" t="s">
        <v>10</v>
      </c>
      <c r="C48" t="s">
        <v>11</v>
      </c>
      <c r="E48">
        <v>22524</v>
      </c>
      <c r="H48">
        <v>7508</v>
      </c>
    </row>
    <row r="49" spans="1:11" ht="12.5" x14ac:dyDescent="0.25">
      <c r="B49" t="s">
        <v>10</v>
      </c>
      <c r="C49" t="s">
        <v>12</v>
      </c>
      <c r="E49">
        <v>22524</v>
      </c>
      <c r="F49">
        <v>75</v>
      </c>
      <c r="H49">
        <v>7508</v>
      </c>
      <c r="I49">
        <v>25</v>
      </c>
    </row>
    <row r="50" spans="1:11" ht="12.5" x14ac:dyDescent="0.25">
      <c r="B50" t="s">
        <v>13</v>
      </c>
      <c r="C50" t="s">
        <v>14</v>
      </c>
      <c r="E50" s="3">
        <v>86.837595453738203</v>
      </c>
      <c r="F50" s="3">
        <v>2.8171962617696198</v>
      </c>
      <c r="H50" s="3">
        <v>86.846963239211505</v>
      </c>
      <c r="I50" s="3">
        <v>2.8017188382066598</v>
      </c>
      <c r="K50" s="4">
        <f>(E50-H50)/( SQRT((F50*F50 + I50*I50)/2) )</f>
        <v>-3.334362512444265E-3</v>
      </c>
    </row>
    <row r="51" spans="1:11" ht="12.5" x14ac:dyDescent="0.25">
      <c r="B51" t="s">
        <v>15</v>
      </c>
      <c r="C51" t="s">
        <v>16</v>
      </c>
      <c r="E51">
        <v>6723</v>
      </c>
      <c r="F51" s="3">
        <v>29.8481619605754</v>
      </c>
      <c r="H51">
        <v>2241</v>
      </c>
      <c r="I51" s="3">
        <v>29.8481619605754</v>
      </c>
      <c r="K51" s="4">
        <f>(F51/100 - I51/100)/( SQRT( ( (F51/100)*(1-(F51/100)) + (I51/100)*(1-(I51/100)) )/2))</f>
        <v>0</v>
      </c>
    </row>
    <row r="52" spans="1:11" ht="12.5" x14ac:dyDescent="0.25">
      <c r="B52" s="5" t="s">
        <v>17</v>
      </c>
      <c r="C52" s="5" t="s">
        <v>14</v>
      </c>
      <c r="E52" s="3">
        <v>5.16320369383768</v>
      </c>
      <c r="F52" s="3">
        <v>6.3977518445923502</v>
      </c>
      <c r="H52" s="3">
        <v>6.5756526371869999</v>
      </c>
      <c r="I52" s="3">
        <v>6.9146158814746403</v>
      </c>
      <c r="K52" s="4">
        <f>(E52-H52)/( SQRT((F52*F52 + I52*I52)/2) )</f>
        <v>-0.21204125045471445</v>
      </c>
    </row>
    <row r="53" spans="1:11" ht="12.5" x14ac:dyDescent="0.25">
      <c r="B53" t="s">
        <v>24</v>
      </c>
      <c r="C53" s="5" t="s">
        <v>25</v>
      </c>
      <c r="E53">
        <v>1</v>
      </c>
      <c r="H53">
        <v>1</v>
      </c>
      <c r="K53">
        <v>0</v>
      </c>
    </row>
    <row r="54" spans="1:11" ht="12.5" x14ac:dyDescent="0.25">
      <c r="B54" t="s">
        <v>24</v>
      </c>
      <c r="C54" t="s">
        <v>16</v>
      </c>
      <c r="E54">
        <v>22053</v>
      </c>
      <c r="F54" s="3">
        <v>97.908897176345207</v>
      </c>
      <c r="H54">
        <v>7351</v>
      </c>
      <c r="I54" s="3">
        <v>97.908897176345207</v>
      </c>
      <c r="K54" s="4">
        <f>(F54/100 - I54/100)/( SQRT( ( (F54/100)*(1-(F54/100)) + (I54/100)*(1-(I54/100)) )/2))</f>
        <v>0</v>
      </c>
    </row>
    <row r="55" spans="1:11" ht="12.5" x14ac:dyDescent="0.25">
      <c r="B55" t="s">
        <v>26</v>
      </c>
      <c r="C55" s="5" t="s">
        <v>14</v>
      </c>
      <c r="E55" s="3">
        <v>5.0446190729888096</v>
      </c>
      <c r="F55" s="3">
        <v>1.0083819964869301</v>
      </c>
      <c r="H55" s="3">
        <v>5.0446190729888096</v>
      </c>
      <c r="I55" s="3">
        <v>1.00842677068035</v>
      </c>
      <c r="K55" s="4">
        <f>(E55-H55)/( SQRT((F55*F55 + I55*I55)/2) )</f>
        <v>0</v>
      </c>
    </row>
    <row r="56" spans="1:11" ht="12.5" x14ac:dyDescent="0.25">
      <c r="A56" t="s">
        <v>18</v>
      </c>
      <c r="B56" t="s">
        <v>10</v>
      </c>
      <c r="C56" t="s">
        <v>11</v>
      </c>
      <c r="E56">
        <v>11223</v>
      </c>
      <c r="H56">
        <v>3741</v>
      </c>
    </row>
    <row r="57" spans="1:11" ht="12.5" x14ac:dyDescent="0.25">
      <c r="B57" t="s">
        <v>10</v>
      </c>
      <c r="C57" t="s">
        <v>12</v>
      </c>
      <c r="E57">
        <v>11223</v>
      </c>
      <c r="H57">
        <v>3741</v>
      </c>
    </row>
    <row r="58" spans="1:11" ht="12.5" x14ac:dyDescent="0.25">
      <c r="B58" t="s">
        <v>13</v>
      </c>
      <c r="C58" t="s">
        <v>14</v>
      </c>
      <c r="E58" s="3">
        <v>77.108348926312004</v>
      </c>
      <c r="F58" s="3">
        <v>2.8589837163507301</v>
      </c>
      <c r="H58" s="3">
        <v>77.106388666132105</v>
      </c>
      <c r="I58" s="3">
        <v>2.8705426880233902</v>
      </c>
      <c r="K58" s="4">
        <f>(E58-H58)/( SQRT((F58*F58 + I58*I58)/2) )</f>
        <v>6.8426465029482457E-4</v>
      </c>
    </row>
    <row r="59" spans="1:11" ht="12.5" x14ac:dyDescent="0.25">
      <c r="B59" t="s">
        <v>15</v>
      </c>
      <c r="C59" t="s">
        <v>16</v>
      </c>
      <c r="E59">
        <v>4908</v>
      </c>
      <c r="F59" s="3">
        <v>43.731622560812603</v>
      </c>
      <c r="H59">
        <v>1636</v>
      </c>
      <c r="I59" s="3">
        <v>43.731622560812603</v>
      </c>
      <c r="K59" s="4">
        <f>(F59/100 - I59/100)/( SQRT( ( (F59/100)*(1-(F59/100)) + (I59/100)*(1-(I59/100)) )/2))</f>
        <v>0</v>
      </c>
    </row>
    <row r="60" spans="1:11" ht="12.5" x14ac:dyDescent="0.25">
      <c r="B60" s="5" t="s">
        <v>17</v>
      </c>
      <c r="C60" s="5" t="s">
        <v>14</v>
      </c>
      <c r="E60" s="3">
        <v>4.54521963824289</v>
      </c>
      <c r="F60" s="3">
        <v>6.2522624743577104</v>
      </c>
      <c r="H60" s="3">
        <v>5.60144346431436</v>
      </c>
      <c r="I60" s="3">
        <v>6.7303040472374001</v>
      </c>
      <c r="K60" s="4">
        <f>(E60-H60)/( SQRT((F60*F60 + I60*I60)/2) )</f>
        <v>-0.16260398333942289</v>
      </c>
    </row>
    <row r="61" spans="1:11" ht="12.5" x14ac:dyDescent="0.25">
      <c r="B61" t="s">
        <v>24</v>
      </c>
      <c r="C61" s="5" t="s">
        <v>25</v>
      </c>
      <c r="E61">
        <v>1</v>
      </c>
      <c r="H61">
        <v>1</v>
      </c>
      <c r="K61">
        <v>0</v>
      </c>
    </row>
    <row r="62" spans="1:11" ht="12.5" x14ac:dyDescent="0.25">
      <c r="B62" t="s">
        <v>24</v>
      </c>
      <c r="C62" t="s">
        <v>16</v>
      </c>
      <c r="E62">
        <v>9660</v>
      </c>
      <c r="F62" s="3">
        <v>86.073242448543198</v>
      </c>
      <c r="H62">
        <v>3220</v>
      </c>
      <c r="I62" s="3">
        <v>86.073242448543198</v>
      </c>
      <c r="K62" s="4">
        <f>(F62/100 - I62/100)/( SQRT( ( (F62/100)*(1-(F62/100)) + (I62/100)*(1-(I62/100)) )/2))</f>
        <v>0</v>
      </c>
    </row>
    <row r="63" spans="1:11" ht="12.5" x14ac:dyDescent="0.25">
      <c r="B63" t="s">
        <v>26</v>
      </c>
      <c r="C63" s="5" t="s">
        <v>14</v>
      </c>
      <c r="E63" s="3">
        <v>5.24832932371024</v>
      </c>
      <c r="F63" s="3">
        <v>1.18314464033734</v>
      </c>
      <c r="H63" s="3">
        <v>5.24832932371024</v>
      </c>
      <c r="I63" s="3">
        <v>1.1832500852500201</v>
      </c>
      <c r="K63" s="4">
        <f>(E63-H63)/( SQRT((F63*F63 + I63*I63)/2) )</f>
        <v>0</v>
      </c>
    </row>
    <row r="64" spans="1:11" ht="12.5" x14ac:dyDescent="0.25">
      <c r="A64" t="s">
        <v>19</v>
      </c>
      <c r="B64" t="s">
        <v>10</v>
      </c>
      <c r="C64" t="s">
        <v>11</v>
      </c>
      <c r="E64">
        <v>6084</v>
      </c>
      <c r="H64">
        <v>2028</v>
      </c>
    </row>
    <row r="65" spans="1:11" ht="12.5" x14ac:dyDescent="0.25">
      <c r="B65" t="s">
        <v>10</v>
      </c>
      <c r="C65" t="s">
        <v>12</v>
      </c>
      <c r="E65">
        <v>6084</v>
      </c>
      <c r="H65">
        <v>2028</v>
      </c>
    </row>
    <row r="66" spans="1:11" ht="12.5" x14ac:dyDescent="0.25">
      <c r="B66" t="s">
        <v>13</v>
      </c>
      <c r="C66" t="s">
        <v>14</v>
      </c>
      <c r="E66" s="3">
        <v>66.8333333333333</v>
      </c>
      <c r="F66" s="3">
        <v>2.8513791939302799</v>
      </c>
      <c r="H66" s="3">
        <v>66.816568047337299</v>
      </c>
      <c r="I66" s="3">
        <v>2.9242840583427201</v>
      </c>
      <c r="K66" s="4">
        <f>(E66-H66)/( SQRT((F66*F66 + I66*I66)/2) )</f>
        <v>5.8050304461266487E-3</v>
      </c>
    </row>
    <row r="67" spans="1:11" ht="12.5" x14ac:dyDescent="0.25">
      <c r="B67" t="s">
        <v>15</v>
      </c>
      <c r="C67" t="s">
        <v>16</v>
      </c>
      <c r="E67">
        <v>3276</v>
      </c>
      <c r="F67" s="3">
        <v>53.846153846153904</v>
      </c>
      <c r="H67">
        <v>1092</v>
      </c>
      <c r="I67" s="3">
        <v>53.846153846153904</v>
      </c>
      <c r="K67" s="4">
        <f>(F67/100 - I67/100)/( SQRT( ( (F67/100)*(1-(F67/100)) + (I67/100)*(1-(I67/100)) )/2))</f>
        <v>0</v>
      </c>
    </row>
    <row r="68" spans="1:11" ht="12.5" x14ac:dyDescent="0.25">
      <c r="B68" s="5" t="s">
        <v>17</v>
      </c>
      <c r="C68" s="5" t="s">
        <v>14</v>
      </c>
      <c r="E68" s="3">
        <v>3.2504930966469399</v>
      </c>
      <c r="F68" s="3">
        <v>5.5750118929524204</v>
      </c>
      <c r="H68" s="3">
        <v>4.3653846153846203</v>
      </c>
      <c r="I68" s="3">
        <v>6.2568068508166599</v>
      </c>
      <c r="K68" s="4">
        <f>(E68-H68)/( SQRT((F68*F68 + I68*I68)/2) )</f>
        <v>-0.18814438196240449</v>
      </c>
    </row>
    <row r="69" spans="1:11" ht="12.5" x14ac:dyDescent="0.25">
      <c r="B69" t="s">
        <v>24</v>
      </c>
      <c r="C69" s="5" t="s">
        <v>25</v>
      </c>
      <c r="E69">
        <v>1</v>
      </c>
      <c r="H69">
        <v>1</v>
      </c>
      <c r="K69">
        <v>0</v>
      </c>
    </row>
    <row r="70" spans="1:11" ht="12.5" x14ac:dyDescent="0.25">
      <c r="B70" t="s">
        <v>24</v>
      </c>
      <c r="C70" t="s">
        <v>16</v>
      </c>
      <c r="E70">
        <v>3042</v>
      </c>
      <c r="F70" s="3">
        <v>50</v>
      </c>
      <c r="H70">
        <v>1014</v>
      </c>
      <c r="I70" s="3">
        <v>50</v>
      </c>
      <c r="K70" s="4">
        <f>(F70/100 - I70/100)/( SQRT( ( (F70/100)*(1-(F70/100)) + (I70/100)*(1-(I70/100)) )/2))</f>
        <v>0</v>
      </c>
    </row>
    <row r="71" spans="1:11" ht="12.5" x14ac:dyDescent="0.25">
      <c r="B71" t="s">
        <v>26</v>
      </c>
      <c r="C71" s="5" t="s">
        <v>14</v>
      </c>
      <c r="E71" s="3">
        <v>5.4319526627218897</v>
      </c>
      <c r="F71" s="3">
        <v>1.40094777824075</v>
      </c>
      <c r="H71" s="3">
        <v>5.4319526627218897</v>
      </c>
      <c r="I71" s="3">
        <v>1.4011781404520001</v>
      </c>
      <c r="K71" s="4">
        <f>(E71-H71)/( SQRT((F71*F71 + I71*I71)/2) )</f>
        <v>0</v>
      </c>
    </row>
    <row r="72" spans="1:11" ht="12.5" x14ac:dyDescent="0.25">
      <c r="A72" t="s">
        <v>20</v>
      </c>
      <c r="B72" t="s">
        <v>10</v>
      </c>
      <c r="C72" t="s">
        <v>11</v>
      </c>
      <c r="E72">
        <v>8847</v>
      </c>
      <c r="H72">
        <v>2949</v>
      </c>
    </row>
    <row r="73" spans="1:11" ht="12.5" x14ac:dyDescent="0.25">
      <c r="B73" t="s">
        <v>10</v>
      </c>
      <c r="C73" t="s">
        <v>12</v>
      </c>
      <c r="E73">
        <v>8847</v>
      </c>
      <c r="H73">
        <v>2949</v>
      </c>
    </row>
    <row r="74" spans="1:11" ht="12.5" x14ac:dyDescent="0.25">
      <c r="B74" t="s">
        <v>13</v>
      </c>
      <c r="C74" t="s">
        <v>14</v>
      </c>
      <c r="E74" s="3">
        <v>52.194416186277799</v>
      </c>
      <c r="F74" s="3">
        <v>5.8678028747127096</v>
      </c>
      <c r="H74" s="3">
        <v>52.130213631739601</v>
      </c>
      <c r="I74" s="3">
        <v>5.9184300940329804</v>
      </c>
      <c r="K74" s="4">
        <f>(E74-H74)/( SQRT((F74*F74 + I74*I74)/2) )</f>
        <v>1.0894398985398266E-2</v>
      </c>
    </row>
    <row r="75" spans="1:11" ht="12.5" x14ac:dyDescent="0.25">
      <c r="B75" t="s">
        <v>15</v>
      </c>
      <c r="C75" t="s">
        <v>16</v>
      </c>
      <c r="E75">
        <v>5172</v>
      </c>
      <c r="F75" s="3">
        <v>58.460495083079003</v>
      </c>
      <c r="H75">
        <v>1724</v>
      </c>
      <c r="I75" s="3">
        <v>58.460495083079003</v>
      </c>
      <c r="K75" s="4">
        <f>(F75/100 - I75/100)/( SQRT( ( (F75/100)*(1-(F75/100)) + (I75/100)*(1-(I75/100)) )/2))</f>
        <v>0</v>
      </c>
    </row>
    <row r="76" spans="1:11" ht="12.5" x14ac:dyDescent="0.25">
      <c r="B76" s="5" t="s">
        <v>17</v>
      </c>
      <c r="C76" s="5" t="s">
        <v>14</v>
      </c>
      <c r="E76" s="3">
        <v>2.1333785463999102</v>
      </c>
      <c r="F76" s="3">
        <v>4.4527896754340697</v>
      </c>
      <c r="H76" s="3">
        <v>3.0508646998982698</v>
      </c>
      <c r="I76" s="3">
        <v>5.1485520581479696</v>
      </c>
      <c r="K76" s="4">
        <f>(E76-H76)/( SQRT((F76*F76 + I76*I76)/2) )</f>
        <v>-0.19061641096140491</v>
      </c>
    </row>
    <row r="77" spans="1:11" ht="12.5" x14ac:dyDescent="0.25">
      <c r="B77" t="s">
        <v>24</v>
      </c>
      <c r="C77" s="5" t="s">
        <v>25</v>
      </c>
      <c r="E77">
        <v>4</v>
      </c>
      <c r="H77">
        <v>4</v>
      </c>
      <c r="K77">
        <v>0</v>
      </c>
    </row>
    <row r="78" spans="1:11" ht="12.5" x14ac:dyDescent="0.25">
      <c r="B78" t="s">
        <v>24</v>
      </c>
      <c r="C78" t="s">
        <v>16</v>
      </c>
      <c r="E78">
        <v>5133</v>
      </c>
      <c r="F78" s="3">
        <v>58.019667683960698</v>
      </c>
      <c r="H78">
        <v>1711</v>
      </c>
      <c r="I78" s="3">
        <v>58.019667683960698</v>
      </c>
      <c r="K78" s="4">
        <f>(F78/100 - I78/100)/( SQRT( ( (F78/100)*(1-(F78/100)) + (I78/100)*(1-(I78/100)) )/2))</f>
        <v>0</v>
      </c>
    </row>
    <row r="79" spans="1:11" ht="12.5" x14ac:dyDescent="0.25">
      <c r="B79" t="s">
        <v>26</v>
      </c>
      <c r="C79" s="5" t="s">
        <v>14</v>
      </c>
      <c r="E79" s="3">
        <v>5.2271956595456102</v>
      </c>
      <c r="F79" s="3">
        <v>1.5744877301889799</v>
      </c>
      <c r="H79" s="3">
        <v>5.2271956595456102</v>
      </c>
      <c r="I79" s="3">
        <v>1.57466574904083</v>
      </c>
      <c r="K79" s="4">
        <f>(E79-H79)/( SQRT((F79*F79 + I79*I79)/2) )</f>
        <v>0</v>
      </c>
    </row>
    <row r="80" spans="1:11" ht="12.5" x14ac:dyDescent="0.25">
      <c r="A80" t="s">
        <v>21</v>
      </c>
      <c r="B80" t="s">
        <v>10</v>
      </c>
      <c r="C80" t="s">
        <v>11</v>
      </c>
      <c r="E80">
        <v>21639</v>
      </c>
      <c r="H80">
        <v>7213</v>
      </c>
    </row>
    <row r="81" spans="1:11" ht="12.5" x14ac:dyDescent="0.25">
      <c r="B81" t="s">
        <v>10</v>
      </c>
      <c r="C81" t="s">
        <v>12</v>
      </c>
      <c r="E81">
        <v>21639</v>
      </c>
      <c r="H81">
        <v>7213</v>
      </c>
    </row>
    <row r="82" spans="1:11" ht="12.5" x14ac:dyDescent="0.25">
      <c r="B82" t="s">
        <v>13</v>
      </c>
      <c r="C82" t="s">
        <v>14</v>
      </c>
      <c r="E82" s="3">
        <v>29.834049632607801</v>
      </c>
      <c r="F82" s="3">
        <v>5.25847777520943</v>
      </c>
      <c r="H82" s="3">
        <v>29.744350478303101</v>
      </c>
      <c r="I82" s="3">
        <v>5.2225377435500802</v>
      </c>
      <c r="K82" s="4">
        <f>(E82-H82)/( SQRT((F82*F82 + I82*I82)/2) )</f>
        <v>1.7116399987608857E-2</v>
      </c>
    </row>
    <row r="83" spans="1:11" ht="12.5" x14ac:dyDescent="0.25">
      <c r="B83" t="s">
        <v>15</v>
      </c>
      <c r="C83" t="s">
        <v>16</v>
      </c>
      <c r="E83">
        <v>13356</v>
      </c>
      <c r="F83" s="3">
        <v>61.721891030084599</v>
      </c>
      <c r="H83">
        <v>4452</v>
      </c>
      <c r="I83" s="3">
        <v>61.721891030084599</v>
      </c>
      <c r="K83" s="4">
        <f>(F83/100 - I83/100)/( SQRT( ( (F83/100)*(1-(F83/100)) + (I83/100)*(1-(I83/100)) )/2))</f>
        <v>0</v>
      </c>
    </row>
    <row r="84" spans="1:11" ht="12.5" x14ac:dyDescent="0.25">
      <c r="B84" s="5" t="s">
        <v>17</v>
      </c>
      <c r="C84" s="5" t="s">
        <v>14</v>
      </c>
      <c r="E84" s="3">
        <v>1.4338462960395599</v>
      </c>
      <c r="F84" s="3">
        <v>3.2225939684108602</v>
      </c>
      <c r="H84" s="3">
        <v>1.5925412449743499</v>
      </c>
      <c r="I84" s="3">
        <v>3.3765257375638198</v>
      </c>
      <c r="K84" s="4">
        <f>(E84-H84)/( SQRT((F84*F84 + I84*I84)/2) )</f>
        <v>-4.8082714082518248E-2</v>
      </c>
    </row>
    <row r="85" spans="1:11" ht="12.5" x14ac:dyDescent="0.25">
      <c r="B85" t="s">
        <v>24</v>
      </c>
      <c r="C85" s="5" t="s">
        <v>25</v>
      </c>
      <c r="E85">
        <v>4</v>
      </c>
      <c r="H85">
        <v>4</v>
      </c>
      <c r="K85">
        <v>0</v>
      </c>
    </row>
    <row r="86" spans="1:11" ht="12.5" x14ac:dyDescent="0.25">
      <c r="B86" t="s">
        <v>24</v>
      </c>
      <c r="C86" t="s">
        <v>16</v>
      </c>
      <c r="E86">
        <v>19821</v>
      </c>
      <c r="F86" s="3">
        <v>91.598502703452098</v>
      </c>
      <c r="H86">
        <v>6607</v>
      </c>
      <c r="I86" s="3">
        <v>91.598502703452098</v>
      </c>
      <c r="K86" s="4">
        <f>(F86/100 - I86/100)/( SQRT( ( (F86/100)*(1-(F86/100)) + (I86/100)*(1-(I86/100)) )/2))</f>
        <v>0</v>
      </c>
    </row>
    <row r="87" spans="1:11" ht="12.5" x14ac:dyDescent="0.25">
      <c r="B87" t="s">
        <v>26</v>
      </c>
      <c r="C87" s="5" t="s">
        <v>14</v>
      </c>
      <c r="E87" s="3">
        <v>4.8731457091362804</v>
      </c>
      <c r="F87" s="3">
        <v>1.66182410259914</v>
      </c>
      <c r="H87" s="3">
        <v>4.8731457091362804</v>
      </c>
      <c r="I87" s="3">
        <v>1.6619009091114501</v>
      </c>
      <c r="K87" s="4">
        <f>(E87-H87)/( SQRT((F87*F87 + I87*I87)/2) )</f>
        <v>0</v>
      </c>
    </row>
    <row r="88" spans="1:11" ht="12.5" x14ac:dyDescent="0.25">
      <c r="A88" t="s">
        <v>22</v>
      </c>
      <c r="B88" t="s">
        <v>10</v>
      </c>
      <c r="C88" t="s">
        <v>11</v>
      </c>
      <c r="E88">
        <v>3441</v>
      </c>
      <c r="H88">
        <v>1147</v>
      </c>
    </row>
    <row r="89" spans="1:11" ht="12.5" x14ac:dyDescent="0.25">
      <c r="B89" t="s">
        <v>10</v>
      </c>
      <c r="C89" t="s">
        <v>12</v>
      </c>
      <c r="E89">
        <v>3441</v>
      </c>
      <c r="H89">
        <v>1147</v>
      </c>
    </row>
    <row r="90" spans="1:11" ht="12.5" x14ac:dyDescent="0.25">
      <c r="B90" t="s">
        <v>13</v>
      </c>
      <c r="C90" t="s">
        <v>14</v>
      </c>
      <c r="E90" s="3">
        <v>20.067712874164499</v>
      </c>
      <c r="F90" s="3">
        <v>0.80788679632379401</v>
      </c>
      <c r="H90" s="3">
        <v>20.017436791630299</v>
      </c>
      <c r="I90" s="3">
        <v>0.81202312581914204</v>
      </c>
      <c r="K90" s="4">
        <f>(E90-H90)/( SQRT((F90*F90 + I90*I90)/2) )</f>
        <v>6.2072486806073787E-2</v>
      </c>
    </row>
    <row r="91" spans="1:11" ht="12.5" x14ac:dyDescent="0.25">
      <c r="B91" t="s">
        <v>15</v>
      </c>
      <c r="C91" t="s">
        <v>16</v>
      </c>
      <c r="E91">
        <v>2163</v>
      </c>
      <c r="F91" s="3">
        <v>62.859633827375802</v>
      </c>
      <c r="H91">
        <v>721</v>
      </c>
      <c r="I91" s="3">
        <v>62.859633827375802</v>
      </c>
      <c r="K91" s="4">
        <f>(F91/100 - I91/100)/( SQRT( ( (F91/100)*(1-(F91/100)) + (I91/100)*(1-(I91/100)) )/2))</f>
        <v>0</v>
      </c>
    </row>
    <row r="92" spans="1:11" ht="12.5" x14ac:dyDescent="0.25">
      <c r="B92" s="5" t="s">
        <v>17</v>
      </c>
      <c r="C92" s="5" t="s">
        <v>14</v>
      </c>
      <c r="E92" s="3">
        <v>1.3496076721883199</v>
      </c>
      <c r="F92" s="3">
        <v>2.7801425203113999</v>
      </c>
      <c r="H92" s="3">
        <v>1.1778552746294699</v>
      </c>
      <c r="I92" s="3">
        <v>2.6664022868467501</v>
      </c>
      <c r="K92" s="4">
        <f>(E92-H92)/( SQRT((F92*F92 + I92*I92)/2) )</f>
        <v>6.305463932624103E-2</v>
      </c>
    </row>
    <row r="93" spans="1:11" ht="12.5" x14ac:dyDescent="0.25">
      <c r="B93" t="s">
        <v>24</v>
      </c>
      <c r="C93" s="5" t="s">
        <v>25</v>
      </c>
      <c r="E93">
        <v>4</v>
      </c>
      <c r="H93">
        <v>4</v>
      </c>
      <c r="K93">
        <v>0</v>
      </c>
    </row>
    <row r="94" spans="1:11" ht="12.5" x14ac:dyDescent="0.25">
      <c r="B94" t="s">
        <v>24</v>
      </c>
      <c r="C94" t="s">
        <v>16</v>
      </c>
      <c r="E94">
        <v>3039</v>
      </c>
      <c r="F94" s="3">
        <v>88.317349607672199</v>
      </c>
      <c r="H94">
        <v>1013</v>
      </c>
      <c r="I94" s="3">
        <v>88.317349607672199</v>
      </c>
      <c r="K94" s="4">
        <f>(F94/100 - I94/100)/( SQRT( ( (F94/100)*(1-(F94/100)) + (I94/100)*(1-(I94/100)) )/2))</f>
        <v>0</v>
      </c>
    </row>
    <row r="95" spans="1:11" ht="12.5" x14ac:dyDescent="0.25">
      <c r="B95" t="s">
        <v>26</v>
      </c>
      <c r="C95" s="5" t="s">
        <v>14</v>
      </c>
      <c r="E95" s="3">
        <v>5.1752397558849204</v>
      </c>
      <c r="F95" s="3">
        <v>1.5045792917346299</v>
      </c>
      <c r="H95" s="3">
        <v>5.1752397558849204</v>
      </c>
      <c r="I95" s="3">
        <v>1.5050168602451901</v>
      </c>
      <c r="K95" s="4">
        <f>(E95-H95)/( SQRT((F95*F95 + I95*I95)/2) )</f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Marlies Vink</cp:lastModifiedBy>
  <cp:revision>10</cp:revision>
  <dcterms:created xsi:type="dcterms:W3CDTF">2026-05-20T14:04:03Z</dcterms:created>
  <dcterms:modified xsi:type="dcterms:W3CDTF">2026-10-02T13:36:09Z</dcterms:modified>
  <dc:language>nl-NL</dc:language>
</cp:coreProperties>
</file>